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W:\공용 드라이브\2C AI도입관련\보유, 3자양도, 가족간 양수도, 가족증여, 상속세 계산프로그램\"/>
    </mc:Choice>
  </mc:AlternateContent>
  <xr:revisionPtr revIDLastSave="0" documentId="13_ncr:1_{5F5F3258-DD06-4180-8EBF-D01EEF8775AF}" xr6:coauthVersionLast="47" xr6:coauthVersionMax="47" xr10:uidLastSave="{00000000-0000-0000-0000-000000000000}"/>
  <bookViews>
    <workbookView xWindow="-120" yWindow="-120" windowWidth="29040" windowHeight="15720" activeTab="3" xr2:uid="{83D29757-B2E2-4CBB-A50E-3DBF3DD81095}"/>
  </bookViews>
  <sheets>
    <sheet name="요약" sheetId="1" r:id="rId1"/>
    <sheet name="기초" sheetId="2" r:id="rId2"/>
    <sheet name="1 보유" sheetId="6" r:id="rId3"/>
    <sheet name="2 보유" sheetId="13" r:id="rId4"/>
    <sheet name="3 보유" sheetId="14" r:id="rId5"/>
    <sheet name="취득" sheetId="3" r:id="rId6"/>
    <sheet name="증여" sheetId="5" r:id="rId7"/>
    <sheet name="양도" sheetId="7" r:id="rId8"/>
    <sheet name="부담부증여" sheetId="8" r:id="rId9"/>
    <sheet name="저가양수도" sheetId="11" r:id="rId10"/>
    <sheet name="상속" sheetId="9" r:id="rId11"/>
    <sheet name="t" sheetId="10" r:id="rId12"/>
  </sheets>
  <definedNames>
    <definedName name="주택특징">t!$BD$2:$BD$9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2" i="6" l="1"/>
  <c r="B53" i="6" s="1"/>
  <c r="F26" i="6"/>
  <c r="B27" i="1"/>
  <c r="B42" i="6"/>
  <c r="B11" i="6"/>
  <c r="B23" i="2"/>
  <c r="L20" i="1"/>
  <c r="AO80" i="14"/>
  <c r="AN80" i="14"/>
  <c r="AM80" i="14"/>
  <c r="AL80" i="14"/>
  <c r="AF80" i="14"/>
  <c r="AE80" i="14"/>
  <c r="AD80" i="14"/>
  <c r="AC80" i="14"/>
  <c r="W80" i="14"/>
  <c r="V80" i="14"/>
  <c r="U80" i="14"/>
  <c r="T80" i="14"/>
  <c r="N80" i="14"/>
  <c r="M80" i="14"/>
  <c r="L80" i="14"/>
  <c r="K80" i="14"/>
  <c r="B80" i="14"/>
  <c r="AM72" i="14"/>
  <c r="AL72" i="14"/>
  <c r="B72" i="14"/>
  <c r="AO68" i="14"/>
  <c r="AN68" i="14"/>
  <c r="AM68" i="14"/>
  <c r="AL68" i="14"/>
  <c r="AF68" i="14"/>
  <c r="AE68" i="14"/>
  <c r="AD68" i="14"/>
  <c r="AC68" i="14"/>
  <c r="W68" i="14"/>
  <c r="V68" i="14"/>
  <c r="U68" i="14"/>
  <c r="T68" i="14"/>
  <c r="N68" i="14"/>
  <c r="M68" i="14"/>
  <c r="L68" i="14"/>
  <c r="K68" i="14"/>
  <c r="B67" i="14"/>
  <c r="K67" i="14" s="1"/>
  <c r="T67" i="14" s="1"/>
  <c r="AC67" i="14" s="1"/>
  <c r="AL67" i="14" s="1"/>
  <c r="AO66" i="14"/>
  <c r="AN66" i="14"/>
  <c r="AM66" i="14"/>
  <c r="AL66" i="14"/>
  <c r="AF66" i="14"/>
  <c r="AE66" i="14"/>
  <c r="AD66" i="14"/>
  <c r="AC66" i="14"/>
  <c r="W66" i="14"/>
  <c r="V66" i="14"/>
  <c r="U66" i="14"/>
  <c r="T66" i="14"/>
  <c r="N66" i="14"/>
  <c r="M66" i="14"/>
  <c r="L66" i="14"/>
  <c r="K66" i="14"/>
  <c r="N62" i="14"/>
  <c r="M62" i="14"/>
  <c r="L62" i="14"/>
  <c r="AO50" i="14"/>
  <c r="AN50" i="14"/>
  <c r="AM50" i="14"/>
  <c r="AF50" i="14"/>
  <c r="AE50" i="14"/>
  <c r="AD50" i="14"/>
  <c r="W50" i="14"/>
  <c r="V50" i="14"/>
  <c r="U50" i="14"/>
  <c r="N50" i="14"/>
  <c r="M50" i="14"/>
  <c r="L50" i="14"/>
  <c r="B42" i="14"/>
  <c r="S40" i="14"/>
  <c r="AB40" i="14" s="1"/>
  <c r="AK40" i="14" s="1"/>
  <c r="A40" i="14"/>
  <c r="J40" i="14" s="1"/>
  <c r="AO38" i="14"/>
  <c r="AN38" i="14"/>
  <c r="AM38" i="14"/>
  <c r="AF38" i="14"/>
  <c r="AE38" i="14"/>
  <c r="AD38" i="14"/>
  <c r="W38" i="14"/>
  <c r="V38" i="14"/>
  <c r="U38" i="14"/>
  <c r="N38" i="14"/>
  <c r="M38" i="14"/>
  <c r="L38" i="14"/>
  <c r="AO36" i="14"/>
  <c r="AN36" i="14"/>
  <c r="AM36" i="14"/>
  <c r="AF36" i="14"/>
  <c r="AE36" i="14"/>
  <c r="AD36" i="14"/>
  <c r="W36" i="14"/>
  <c r="V36" i="14"/>
  <c r="U36" i="14"/>
  <c r="N36" i="14"/>
  <c r="M36" i="14"/>
  <c r="L36" i="14"/>
  <c r="E35" i="14"/>
  <c r="N35" i="14" s="1"/>
  <c r="W35" i="14" s="1"/>
  <c r="AF35" i="14" s="1"/>
  <c r="AO35" i="14" s="1"/>
  <c r="D35" i="14"/>
  <c r="M35" i="14" s="1"/>
  <c r="V35" i="14" s="1"/>
  <c r="AE35" i="14" s="1"/>
  <c r="AN35" i="14" s="1"/>
  <c r="C35" i="14"/>
  <c r="L35" i="14" s="1"/>
  <c r="U35" i="14" s="1"/>
  <c r="AD35" i="14" s="1"/>
  <c r="AM35" i="14" s="1"/>
  <c r="B35" i="14"/>
  <c r="K35" i="14" s="1"/>
  <c r="T35" i="14" s="1"/>
  <c r="AC35" i="14" s="1"/>
  <c r="AL35" i="14" s="1"/>
  <c r="AL36" i="14" s="1"/>
  <c r="N32" i="14"/>
  <c r="M32" i="14"/>
  <c r="L32" i="14"/>
  <c r="E31" i="14"/>
  <c r="N31" i="14" s="1"/>
  <c r="D31" i="14"/>
  <c r="M31" i="14" s="1"/>
  <c r="C31" i="14"/>
  <c r="L31" i="14" s="1"/>
  <c r="B31" i="14"/>
  <c r="K31" i="14" s="1"/>
  <c r="K32" i="14" s="1"/>
  <c r="E30" i="14"/>
  <c r="N30" i="14" s="1"/>
  <c r="D30" i="14"/>
  <c r="M30" i="14" s="1"/>
  <c r="C30" i="14"/>
  <c r="B30" i="14"/>
  <c r="K30" i="14" s="1"/>
  <c r="T30" i="14" s="1"/>
  <c r="AL30" i="14" s="1"/>
  <c r="J28" i="14"/>
  <c r="S28" i="14" s="1"/>
  <c r="AB28" i="14" s="1"/>
  <c r="AK28" i="14" s="1"/>
  <c r="A28" i="14"/>
  <c r="A58" i="14" s="1"/>
  <c r="F24" i="14"/>
  <c r="F26" i="14" s="1"/>
  <c r="F23" i="14"/>
  <c r="AR12" i="14"/>
  <c r="AQ12" i="14"/>
  <c r="AO12" i="14"/>
  <c r="AN12" i="14"/>
  <c r="AM12" i="14"/>
  <c r="AI12" i="14"/>
  <c r="AH12" i="14"/>
  <c r="AF12" i="14"/>
  <c r="AE12" i="14"/>
  <c r="AD12" i="14"/>
  <c r="Z12" i="14"/>
  <c r="Y12" i="14"/>
  <c r="W12" i="14"/>
  <c r="V12" i="14"/>
  <c r="U12" i="14"/>
  <c r="Q12" i="14"/>
  <c r="P12" i="14"/>
  <c r="N12" i="14"/>
  <c r="M12" i="14"/>
  <c r="L12" i="14"/>
  <c r="H12" i="14"/>
  <c r="G12" i="14"/>
  <c r="E12" i="14"/>
  <c r="D12" i="14"/>
  <c r="C12" i="14"/>
  <c r="H11" i="14"/>
  <c r="G11" i="14"/>
  <c r="P11" i="14" s="1"/>
  <c r="Y11" i="14" s="1"/>
  <c r="E11" i="14"/>
  <c r="D11" i="14"/>
  <c r="C11" i="14"/>
  <c r="L23" i="14" s="1"/>
  <c r="B11" i="14"/>
  <c r="B12" i="14" s="1"/>
  <c r="J9" i="14"/>
  <c r="S9" i="14" s="1"/>
  <c r="AB9" i="14" s="1"/>
  <c r="AK9" i="14" s="1"/>
  <c r="K12" i="13"/>
  <c r="K32" i="13"/>
  <c r="K36" i="13"/>
  <c r="K38" i="13"/>
  <c r="K50" i="13"/>
  <c r="K62" i="13"/>
  <c r="AO80" i="13"/>
  <c r="AN80" i="13"/>
  <c r="AM80" i="13"/>
  <c r="AF80" i="13"/>
  <c r="AE80" i="13"/>
  <c r="AD80" i="13"/>
  <c r="W80" i="13"/>
  <c r="V80" i="13"/>
  <c r="U80" i="13"/>
  <c r="N80" i="13"/>
  <c r="M80" i="13"/>
  <c r="L80" i="13"/>
  <c r="B80" i="13"/>
  <c r="AM72" i="13"/>
  <c r="AL72" i="13"/>
  <c r="B72" i="13"/>
  <c r="AO68" i="13"/>
  <c r="AN68" i="13"/>
  <c r="AM68" i="13"/>
  <c r="AF68" i="13"/>
  <c r="AE68" i="13"/>
  <c r="AD68" i="13"/>
  <c r="W68" i="13"/>
  <c r="V68" i="13"/>
  <c r="U68" i="13"/>
  <c r="N68" i="13"/>
  <c r="M68" i="13"/>
  <c r="L68" i="13"/>
  <c r="B68" i="13"/>
  <c r="B67" i="13"/>
  <c r="K67" i="13" s="1"/>
  <c r="K68" i="13" s="1"/>
  <c r="AO66" i="13"/>
  <c r="AN66" i="13"/>
  <c r="AM66" i="13"/>
  <c r="AF66" i="13"/>
  <c r="AE66" i="13"/>
  <c r="AD66" i="13"/>
  <c r="W66" i="13"/>
  <c r="V66" i="13"/>
  <c r="U66" i="13"/>
  <c r="N66" i="13"/>
  <c r="M66" i="13"/>
  <c r="L66" i="13"/>
  <c r="N62" i="13"/>
  <c r="M62" i="13"/>
  <c r="L62" i="13"/>
  <c r="B62" i="13"/>
  <c r="AO50" i="13"/>
  <c r="AN50" i="13"/>
  <c r="AM50" i="13"/>
  <c r="AL50" i="13"/>
  <c r="AF50" i="13"/>
  <c r="AE50" i="13"/>
  <c r="AD50" i="13"/>
  <c r="W50" i="13"/>
  <c r="V50" i="13"/>
  <c r="U50" i="13"/>
  <c r="T50" i="13"/>
  <c r="N50" i="13"/>
  <c r="M50" i="13"/>
  <c r="L50" i="13"/>
  <c r="B50" i="13"/>
  <c r="B42" i="13"/>
  <c r="A40" i="13"/>
  <c r="J40" i="13" s="1"/>
  <c r="S40" i="13" s="1"/>
  <c r="AB40" i="13" s="1"/>
  <c r="AK40" i="13" s="1"/>
  <c r="AO38" i="13"/>
  <c r="AN38" i="13"/>
  <c r="AM38" i="13"/>
  <c r="AL38" i="13"/>
  <c r="AF38" i="13"/>
  <c r="AE38" i="13"/>
  <c r="AD38" i="13"/>
  <c r="AC38" i="13"/>
  <c r="W38" i="13"/>
  <c r="V38" i="13"/>
  <c r="U38" i="13"/>
  <c r="T38" i="13"/>
  <c r="N38" i="13"/>
  <c r="M38" i="13"/>
  <c r="L38" i="13"/>
  <c r="B38" i="13"/>
  <c r="AO36" i="13"/>
  <c r="AN36" i="13"/>
  <c r="AM36" i="13"/>
  <c r="AL36" i="13"/>
  <c r="AF36" i="13"/>
  <c r="AE36" i="13"/>
  <c r="AD36" i="13"/>
  <c r="AC36" i="13"/>
  <c r="W36" i="13"/>
  <c r="V36" i="13"/>
  <c r="U36" i="13"/>
  <c r="T36" i="13"/>
  <c r="N36" i="13"/>
  <c r="M36" i="13"/>
  <c r="L36" i="13"/>
  <c r="E35" i="13"/>
  <c r="N35" i="13" s="1"/>
  <c r="W35" i="13" s="1"/>
  <c r="AF35" i="13" s="1"/>
  <c r="AO35" i="13" s="1"/>
  <c r="D35" i="13"/>
  <c r="M35" i="13" s="1"/>
  <c r="V35" i="13" s="1"/>
  <c r="AE35" i="13" s="1"/>
  <c r="AN35" i="13" s="1"/>
  <c r="C35" i="13"/>
  <c r="L35" i="13" s="1"/>
  <c r="U35" i="13" s="1"/>
  <c r="AD35" i="13" s="1"/>
  <c r="AM35" i="13" s="1"/>
  <c r="B35" i="13"/>
  <c r="K35" i="13" s="1"/>
  <c r="N32" i="13"/>
  <c r="M32" i="13"/>
  <c r="L32" i="13"/>
  <c r="B32" i="13"/>
  <c r="E31" i="13"/>
  <c r="N31" i="13" s="1"/>
  <c r="D31" i="13"/>
  <c r="M31" i="13" s="1"/>
  <c r="C31" i="13"/>
  <c r="L31" i="13" s="1"/>
  <c r="B31" i="13"/>
  <c r="K31" i="13" s="1"/>
  <c r="E30" i="13"/>
  <c r="N30" i="13" s="1"/>
  <c r="AF30" i="13" s="1"/>
  <c r="D30" i="13"/>
  <c r="M30" i="13" s="1"/>
  <c r="AE30" i="13" s="1"/>
  <c r="C30" i="13"/>
  <c r="L30" i="13" s="1"/>
  <c r="AD30" i="13" s="1"/>
  <c r="B30" i="13"/>
  <c r="K30" i="13" s="1"/>
  <c r="T30" i="13" s="1"/>
  <c r="A28" i="13"/>
  <c r="A58" i="13" s="1"/>
  <c r="F24" i="13"/>
  <c r="F26" i="13" s="1"/>
  <c r="F23" i="13"/>
  <c r="AR12" i="13"/>
  <c r="AQ12" i="13"/>
  <c r="AO12" i="13"/>
  <c r="AN12" i="13"/>
  <c r="AM12" i="13"/>
  <c r="AL12" i="13"/>
  <c r="AI12" i="13"/>
  <c r="AH12" i="13"/>
  <c r="AF12" i="13"/>
  <c r="AE12" i="13"/>
  <c r="AD12" i="13"/>
  <c r="AC12" i="13"/>
  <c r="Z12" i="13"/>
  <c r="Y12" i="13"/>
  <c r="W12" i="13"/>
  <c r="V12" i="13"/>
  <c r="U12" i="13"/>
  <c r="T12" i="13"/>
  <c r="Q12" i="13"/>
  <c r="P12" i="13"/>
  <c r="N12" i="13"/>
  <c r="M12" i="13"/>
  <c r="L12" i="13"/>
  <c r="H12" i="13"/>
  <c r="G12" i="13"/>
  <c r="E12" i="13"/>
  <c r="D12" i="13"/>
  <c r="C12" i="13"/>
  <c r="B12" i="13"/>
  <c r="H11" i="13"/>
  <c r="Q11" i="13" s="1"/>
  <c r="G11" i="13"/>
  <c r="P11" i="13" s="1"/>
  <c r="Y11" i="13" s="1"/>
  <c r="E11" i="13"/>
  <c r="D11" i="13"/>
  <c r="C11" i="13"/>
  <c r="B11" i="13"/>
  <c r="J9" i="13"/>
  <c r="S9" i="13" s="1"/>
  <c r="AB9" i="13" s="1"/>
  <c r="AK9" i="13" s="1"/>
  <c r="B3" i="13"/>
  <c r="AE63" i="13" s="1"/>
  <c r="AE64" i="13" s="1"/>
  <c r="B2" i="13"/>
  <c r="AM72" i="6"/>
  <c r="AL72" i="6"/>
  <c r="AO80" i="6"/>
  <c r="AN80" i="6"/>
  <c r="AM80" i="6"/>
  <c r="AM50" i="6"/>
  <c r="AN50" i="6"/>
  <c r="AO50" i="6"/>
  <c r="AO68" i="6"/>
  <c r="AN68" i="6"/>
  <c r="AM68" i="6"/>
  <c r="AO66" i="6"/>
  <c r="AN66" i="6"/>
  <c r="AM66" i="6"/>
  <c r="AM36" i="6"/>
  <c r="AN36" i="6"/>
  <c r="AO36" i="6"/>
  <c r="AM38" i="6"/>
  <c r="AN38" i="6"/>
  <c r="AO38" i="6"/>
  <c r="AL38" i="6"/>
  <c r="AD80" i="6"/>
  <c r="AE80" i="6"/>
  <c r="AF80" i="6"/>
  <c r="AF68" i="6"/>
  <c r="AE68" i="6"/>
  <c r="AD68" i="6"/>
  <c r="AC68" i="6"/>
  <c r="N68" i="6"/>
  <c r="M68" i="6"/>
  <c r="L68" i="6"/>
  <c r="K68" i="6"/>
  <c r="W68" i="6"/>
  <c r="V68" i="6"/>
  <c r="U68" i="6"/>
  <c r="T68" i="6"/>
  <c r="N66" i="6"/>
  <c r="M66" i="6"/>
  <c r="L66" i="6"/>
  <c r="U66" i="6"/>
  <c r="V66" i="6"/>
  <c r="W66" i="6"/>
  <c r="AD66" i="6"/>
  <c r="AE66" i="6"/>
  <c r="AF66" i="6"/>
  <c r="AD50" i="6"/>
  <c r="AE50" i="6"/>
  <c r="AF50" i="6"/>
  <c r="U80" i="6"/>
  <c r="V80" i="6"/>
  <c r="W80" i="6"/>
  <c r="U50" i="6"/>
  <c r="V50" i="6"/>
  <c r="W50" i="6"/>
  <c r="L80" i="6"/>
  <c r="M80" i="6"/>
  <c r="N80" i="6"/>
  <c r="L50" i="6"/>
  <c r="M50" i="6"/>
  <c r="N50" i="6"/>
  <c r="C35" i="6"/>
  <c r="L35" i="6" s="1"/>
  <c r="U35" i="6" s="1"/>
  <c r="AD35" i="6" s="1"/>
  <c r="AM35" i="6" s="1"/>
  <c r="D35" i="6"/>
  <c r="M35" i="6" s="1"/>
  <c r="V35" i="6" s="1"/>
  <c r="AE35" i="6" s="1"/>
  <c r="AN35" i="6" s="1"/>
  <c r="E35" i="6"/>
  <c r="N35" i="6" s="1"/>
  <c r="W35" i="6" s="1"/>
  <c r="AF35" i="6" s="1"/>
  <c r="AO35" i="6" s="1"/>
  <c r="B35" i="6"/>
  <c r="K35" i="6" s="1"/>
  <c r="T35" i="6" s="1"/>
  <c r="AC35" i="6" s="1"/>
  <c r="N62" i="6"/>
  <c r="M62" i="6"/>
  <c r="L62" i="6"/>
  <c r="B72" i="6"/>
  <c r="B30" i="6"/>
  <c r="B3" i="6"/>
  <c r="K63" i="6" s="1"/>
  <c r="K64" i="6" s="1"/>
  <c r="B80" i="6"/>
  <c r="B67" i="6"/>
  <c r="B68" i="6" s="1"/>
  <c r="E31" i="10"/>
  <c r="AD36" i="6"/>
  <c r="AE36" i="6"/>
  <c r="AF36" i="6"/>
  <c r="AD38" i="6"/>
  <c r="AE38" i="6"/>
  <c r="AF38" i="6"/>
  <c r="U36" i="6"/>
  <c r="V36" i="6"/>
  <c r="W36" i="6"/>
  <c r="U38" i="6"/>
  <c r="V38" i="6"/>
  <c r="W38" i="6"/>
  <c r="N38" i="6"/>
  <c r="M38" i="6"/>
  <c r="L38" i="6"/>
  <c r="N36" i="6"/>
  <c r="M36" i="6"/>
  <c r="L36" i="6"/>
  <c r="L32" i="6"/>
  <c r="M32" i="6"/>
  <c r="N32" i="6"/>
  <c r="B2" i="2"/>
  <c r="AR12" i="6"/>
  <c r="AQ12" i="6"/>
  <c r="AO12" i="6"/>
  <c r="AN12" i="6"/>
  <c r="AM12" i="6"/>
  <c r="AL12" i="6"/>
  <c r="AI12" i="6"/>
  <c r="AH12" i="6"/>
  <c r="AF12" i="6"/>
  <c r="AE12" i="6"/>
  <c r="AD12" i="6"/>
  <c r="C4" i="1"/>
  <c r="D4" i="1"/>
  <c r="E4" i="1"/>
  <c r="F4" i="1"/>
  <c r="G4" i="1"/>
  <c r="H4" i="1"/>
  <c r="B4" i="1"/>
  <c r="I16" i="11"/>
  <c r="N16" i="11" s="1"/>
  <c r="S16" i="11" s="1"/>
  <c r="H16" i="11"/>
  <c r="M16" i="11" s="1"/>
  <c r="R16" i="11" s="1"/>
  <c r="E13" i="14" l="1"/>
  <c r="E17" i="14" s="1"/>
  <c r="H13" i="14"/>
  <c r="W30" i="14"/>
  <c r="AO30" i="14" s="1"/>
  <c r="AF30" i="14"/>
  <c r="V30" i="13"/>
  <c r="AN30" i="13" s="1"/>
  <c r="U30" i="13"/>
  <c r="AM30" i="13" s="1"/>
  <c r="AE30" i="14"/>
  <c r="V30" i="14"/>
  <c r="AN30" i="14" s="1"/>
  <c r="B68" i="14"/>
  <c r="B37" i="14"/>
  <c r="B32" i="14"/>
  <c r="D13" i="14"/>
  <c r="Q11" i="14"/>
  <c r="Z11" i="14" s="1"/>
  <c r="Z13" i="14" s="1"/>
  <c r="W30" i="13"/>
  <c r="AO30" i="13" s="1"/>
  <c r="T36" i="14"/>
  <c r="B37" i="13"/>
  <c r="K37" i="13" s="1"/>
  <c r="T37" i="13" s="1"/>
  <c r="AC37" i="13" s="1"/>
  <c r="AL37" i="13" s="1"/>
  <c r="K33" i="13"/>
  <c r="K34" i="13" s="1"/>
  <c r="AC30" i="14"/>
  <c r="K36" i="14"/>
  <c r="V63" i="6"/>
  <c r="V64" i="6" s="1"/>
  <c r="AC36" i="14"/>
  <c r="L30" i="14"/>
  <c r="U30" i="14" s="1"/>
  <c r="AM30" i="14" s="1"/>
  <c r="D17" i="14"/>
  <c r="D14" i="14" a="1"/>
  <c r="D14" i="14" s="1"/>
  <c r="D15" i="14" s="1"/>
  <c r="D16" i="14" s="1"/>
  <c r="AH11" i="14"/>
  <c r="Y13" i="14"/>
  <c r="AH23" i="14"/>
  <c r="Y23" i="14"/>
  <c r="L67" i="14"/>
  <c r="AC63" i="14"/>
  <c r="AC64" i="14" s="1"/>
  <c r="B63" i="14"/>
  <c r="B64" i="14" s="1"/>
  <c r="W63" i="14"/>
  <c r="W64" i="14" s="1"/>
  <c r="V63" i="14"/>
  <c r="V64" i="14" s="1"/>
  <c r="U63" i="14"/>
  <c r="U64" i="14" s="1"/>
  <c r="N33" i="14"/>
  <c r="T63" i="14"/>
  <c r="T64" i="14" s="1"/>
  <c r="M33" i="14"/>
  <c r="AO63" i="14"/>
  <c r="AO64" i="14" s="1"/>
  <c r="N63" i="14"/>
  <c r="N64" i="14" s="1"/>
  <c r="L33" i="14"/>
  <c r="AN63" i="14"/>
  <c r="AN64" i="14" s="1"/>
  <c r="M63" i="14"/>
  <c r="M64" i="14" s="1"/>
  <c r="K33" i="14"/>
  <c r="AM63" i="14"/>
  <c r="AM64" i="14" s="1"/>
  <c r="L63" i="14"/>
  <c r="L64" i="14" s="1"/>
  <c r="E33" i="14"/>
  <c r="AL63" i="14"/>
  <c r="AL64" i="14" s="1"/>
  <c r="K63" i="14"/>
  <c r="K64" i="14" s="1"/>
  <c r="D33" i="14"/>
  <c r="AE63" i="14"/>
  <c r="AE64" i="14" s="1"/>
  <c r="D63" i="14"/>
  <c r="B33" i="14"/>
  <c r="B34" i="14" s="1"/>
  <c r="AD63" i="14"/>
  <c r="AD64" i="14" s="1"/>
  <c r="C63" i="14"/>
  <c r="B41" i="14"/>
  <c r="B43" i="14" s="1"/>
  <c r="B45" i="14" s="1"/>
  <c r="K23" i="14"/>
  <c r="P13" i="14"/>
  <c r="E63" i="14"/>
  <c r="AF63" i="14"/>
  <c r="AF64" i="14" s="1"/>
  <c r="M23" i="14"/>
  <c r="N23" i="14"/>
  <c r="C33" i="14"/>
  <c r="F11" i="14"/>
  <c r="F13" i="14" s="1"/>
  <c r="G13" i="14"/>
  <c r="P23" i="14"/>
  <c r="H15" i="14"/>
  <c r="H16" i="14" s="1"/>
  <c r="H17" i="14"/>
  <c r="A70" i="14"/>
  <c r="J70" i="14" s="1"/>
  <c r="S70" i="14" s="1"/>
  <c r="AB70" i="14" s="1"/>
  <c r="AK70" i="14" s="1"/>
  <c r="J58" i="14"/>
  <c r="S58" i="14" s="1"/>
  <c r="AB58" i="14" s="1"/>
  <c r="AK58" i="14" s="1"/>
  <c r="K11" i="14"/>
  <c r="K12" i="14" s="1"/>
  <c r="B13" i="14"/>
  <c r="B14" i="14" s="1" a="1"/>
  <c r="B14" i="14" s="1"/>
  <c r="C13" i="14"/>
  <c r="K23" i="13"/>
  <c r="K13" i="13" s="1"/>
  <c r="K63" i="13"/>
  <c r="K64" i="13" s="1"/>
  <c r="D63" i="13"/>
  <c r="J28" i="13"/>
  <c r="S28" i="13" s="1"/>
  <c r="AB28" i="13" s="1"/>
  <c r="AK28" i="13" s="1"/>
  <c r="AC30" i="13"/>
  <c r="B33" i="13"/>
  <c r="B34" i="13" s="1"/>
  <c r="T35" i="13"/>
  <c r="AC35" i="13" s="1"/>
  <c r="AL35" i="13" s="1"/>
  <c r="C63" i="13"/>
  <c r="Q13" i="13"/>
  <c r="Q15" i="13" s="1"/>
  <c r="Q16" i="13" s="1"/>
  <c r="Q19" i="13" s="1"/>
  <c r="AD63" i="13"/>
  <c r="AD64" i="13" s="1"/>
  <c r="B13" i="13"/>
  <c r="B17" i="13" s="1"/>
  <c r="C13" i="13"/>
  <c r="C17" i="13" s="1"/>
  <c r="AC50" i="13"/>
  <c r="E13" i="13"/>
  <c r="E17" i="13" s="1"/>
  <c r="AL30" i="13"/>
  <c r="L11" i="13"/>
  <c r="K43" i="13" s="1"/>
  <c r="K45" i="13" s="1"/>
  <c r="Y13" i="13"/>
  <c r="AH23" i="13"/>
  <c r="AH11" i="13"/>
  <c r="T67" i="13"/>
  <c r="L67" i="13"/>
  <c r="B41" i="13"/>
  <c r="B43" i="13" s="1"/>
  <c r="B45" i="13" s="1"/>
  <c r="D13" i="13"/>
  <c r="M23" i="13"/>
  <c r="N11" i="13"/>
  <c r="N23" i="13"/>
  <c r="P13" i="13"/>
  <c r="L23" i="13"/>
  <c r="F11" i="13"/>
  <c r="F13" i="13" s="1"/>
  <c r="Y23" i="13"/>
  <c r="A70" i="13"/>
  <c r="J70" i="13" s="1"/>
  <c r="S70" i="13" s="1"/>
  <c r="AB70" i="13" s="1"/>
  <c r="AK70" i="13" s="1"/>
  <c r="J58" i="13"/>
  <c r="S58" i="13" s="1"/>
  <c r="AB58" i="13" s="1"/>
  <c r="AK58" i="13" s="1"/>
  <c r="G13" i="13"/>
  <c r="P23" i="13"/>
  <c r="H13" i="13"/>
  <c r="Z11" i="13"/>
  <c r="AC63" i="13"/>
  <c r="AC64" i="13" s="1"/>
  <c r="B63" i="13"/>
  <c r="B64" i="13" s="1"/>
  <c r="W63" i="13"/>
  <c r="W64" i="13" s="1"/>
  <c r="V63" i="13"/>
  <c r="V64" i="13" s="1"/>
  <c r="U63" i="13"/>
  <c r="U64" i="13" s="1"/>
  <c r="N33" i="13"/>
  <c r="T63" i="13"/>
  <c r="T64" i="13" s="1"/>
  <c r="M33" i="13"/>
  <c r="AO63" i="13"/>
  <c r="AO64" i="13" s="1"/>
  <c r="N63" i="13"/>
  <c r="N64" i="13" s="1"/>
  <c r="L33" i="13"/>
  <c r="AN63" i="13"/>
  <c r="AN64" i="13" s="1"/>
  <c r="M63" i="13"/>
  <c r="M64" i="13" s="1"/>
  <c r="AM63" i="13"/>
  <c r="AM64" i="13" s="1"/>
  <c r="L63" i="13"/>
  <c r="L64" i="13" s="1"/>
  <c r="E33" i="13"/>
  <c r="AL63" i="13"/>
  <c r="AL64" i="13" s="1"/>
  <c r="D33" i="13"/>
  <c r="AF63" i="13"/>
  <c r="AF64" i="13" s="1"/>
  <c r="E63" i="13"/>
  <c r="C33" i="13"/>
  <c r="M11" i="13"/>
  <c r="W63" i="6"/>
  <c r="W64" i="6" s="1"/>
  <c r="AL63" i="6"/>
  <c r="AL64" i="6" s="1"/>
  <c r="AM63" i="6"/>
  <c r="AM64" i="6" s="1"/>
  <c r="AN63" i="6"/>
  <c r="AN64" i="6" s="1"/>
  <c r="AO63" i="6"/>
  <c r="AO64" i="6" s="1"/>
  <c r="AC63" i="6"/>
  <c r="AC64" i="6" s="1"/>
  <c r="AD63" i="6"/>
  <c r="AD64" i="6" s="1"/>
  <c r="AE63" i="6"/>
  <c r="AE64" i="6" s="1"/>
  <c r="AF63" i="6"/>
  <c r="AF64" i="6" s="1"/>
  <c r="T63" i="6"/>
  <c r="T64" i="6" s="1"/>
  <c r="U63" i="6"/>
  <c r="U64" i="6" s="1"/>
  <c r="M63" i="6"/>
  <c r="M64" i="6" s="1"/>
  <c r="N63" i="6"/>
  <c r="N64" i="6" s="1"/>
  <c r="K67" i="6"/>
  <c r="T67" i="6" s="1"/>
  <c r="AC67" i="6" s="1"/>
  <c r="AL67" i="6" s="1"/>
  <c r="AL68" i="6" s="1"/>
  <c r="L63" i="6"/>
  <c r="L64" i="6" s="1"/>
  <c r="L67" i="6"/>
  <c r="E33" i="6"/>
  <c r="B63" i="6"/>
  <c r="B64" i="6" s="1"/>
  <c r="N33" i="6"/>
  <c r="M33" i="6"/>
  <c r="K33" i="6"/>
  <c r="C33" i="6"/>
  <c r="E63" i="6"/>
  <c r="L33" i="6"/>
  <c r="C63" i="6"/>
  <c r="D33" i="6"/>
  <c r="D63" i="6"/>
  <c r="AC36" i="6"/>
  <c r="AL35" i="6"/>
  <c r="AL36" i="6" s="1"/>
  <c r="AL50" i="6" s="1"/>
  <c r="E14" i="14" l="1" a="1"/>
  <c r="E14" i="14" s="1"/>
  <c r="E15" i="14" s="1"/>
  <c r="E16" i="14" s="1"/>
  <c r="N24" i="14" s="1"/>
  <c r="AI11" i="14"/>
  <c r="AR11" i="14" s="1"/>
  <c r="AR13" i="14" s="1"/>
  <c r="Q13" i="14"/>
  <c r="Q15" i="14" s="1"/>
  <c r="Q16" i="14" s="1"/>
  <c r="Q17" i="13"/>
  <c r="B46" i="14" a="1"/>
  <c r="B46" i="14" s="1"/>
  <c r="AD30" i="14"/>
  <c r="M67" i="6"/>
  <c r="U67" i="6"/>
  <c r="AD67" i="6" s="1"/>
  <c r="AM67" i="6" s="1"/>
  <c r="L37" i="13"/>
  <c r="K37" i="14"/>
  <c r="B38" i="14"/>
  <c r="B50" i="14" s="1"/>
  <c r="M24" i="14"/>
  <c r="D19" i="14"/>
  <c r="D20" i="14" s="1"/>
  <c r="L34" i="14"/>
  <c r="U33" i="14"/>
  <c r="T11" i="14"/>
  <c r="T12" i="14" s="1"/>
  <c r="N41" i="14"/>
  <c r="K13" i="14"/>
  <c r="K14" i="14" s="1" a="1"/>
  <c r="K14" i="14" s="1"/>
  <c r="M41" i="14"/>
  <c r="O11" i="14"/>
  <c r="L41" i="14"/>
  <c r="L43" i="14" s="1"/>
  <c r="L45" i="14" s="1"/>
  <c r="T23" i="14"/>
  <c r="K41" i="14"/>
  <c r="K43" i="14" s="1"/>
  <c r="K45" i="14" s="1"/>
  <c r="M13" i="14"/>
  <c r="M14" i="14" s="1" a="1"/>
  <c r="M14" i="14" s="1"/>
  <c r="V23" i="14"/>
  <c r="V11" i="14"/>
  <c r="AI13" i="14"/>
  <c r="Z15" i="14"/>
  <c r="Z16" i="14" s="1"/>
  <c r="Z17" i="14"/>
  <c r="V33" i="14"/>
  <c r="M34" i="14"/>
  <c r="Y15" i="14"/>
  <c r="Y18" i="14"/>
  <c r="Y17" i="14"/>
  <c r="AQ11" i="14"/>
  <c r="AQ13" i="14" s="1"/>
  <c r="AH13" i="14"/>
  <c r="AQ23" i="14"/>
  <c r="H19" i="14"/>
  <c r="H20" i="14" s="1"/>
  <c r="P17" i="14"/>
  <c r="P18" i="14"/>
  <c r="P15" i="14"/>
  <c r="N34" i="14"/>
  <c r="W33" i="14"/>
  <c r="G15" i="14"/>
  <c r="G16" i="14" s="1"/>
  <c r="G18" i="14"/>
  <c r="G17" i="14"/>
  <c r="O23" i="14"/>
  <c r="B76" i="14" a="1"/>
  <c r="B76" i="14" s="1"/>
  <c r="B17" i="14"/>
  <c r="B15" i="14"/>
  <c r="B16" i="14" s="1"/>
  <c r="B47" i="14"/>
  <c r="C17" i="14"/>
  <c r="C14" i="14" a="1"/>
  <c r="C14" i="14" s="1"/>
  <c r="C15" i="14" s="1"/>
  <c r="C16" i="14" s="1"/>
  <c r="F14" i="14" a="1"/>
  <c r="F14" i="14" s="1"/>
  <c r="L13" i="14"/>
  <c r="L14" i="14" s="1" a="1"/>
  <c r="L14" i="14" s="1"/>
  <c r="U23" i="14"/>
  <c r="U11" i="14"/>
  <c r="K34" i="14"/>
  <c r="T33" i="14"/>
  <c r="W23" i="14"/>
  <c r="N13" i="14"/>
  <c r="N14" i="14" s="1" a="1"/>
  <c r="N14" i="14" s="1"/>
  <c r="W11" i="14"/>
  <c r="U67" i="14"/>
  <c r="AD67" i="14" s="1"/>
  <c r="AM67" i="14" s="1"/>
  <c r="M67" i="14"/>
  <c r="K46" i="13" a="1"/>
  <c r="K46" i="13" s="1"/>
  <c r="K47" i="13" s="1"/>
  <c r="K17" i="13"/>
  <c r="K14" i="13" a="1"/>
  <c r="K14" i="13" s="1"/>
  <c r="K15" i="13" s="1"/>
  <c r="K16" i="13" s="1"/>
  <c r="C14" i="13" a="1"/>
  <c r="C14" i="13" s="1"/>
  <c r="C15" i="13" s="1"/>
  <c r="C16" i="13" s="1"/>
  <c r="L24" i="13" s="1"/>
  <c r="B14" i="13" a="1"/>
  <c r="B14" i="13" s="1"/>
  <c r="B15" i="13" s="1"/>
  <c r="B16" i="13" s="1"/>
  <c r="E14" i="13" a="1"/>
  <c r="E14" i="13" s="1"/>
  <c r="E15" i="13" s="1"/>
  <c r="E16" i="13" s="1"/>
  <c r="E19" i="13" s="1"/>
  <c r="E20" i="13" s="1"/>
  <c r="B76" i="13" a="1"/>
  <c r="B76" i="13" s="1"/>
  <c r="Q20" i="13"/>
  <c r="T68" i="13"/>
  <c r="AC67" i="13"/>
  <c r="P17" i="13"/>
  <c r="P18" i="13"/>
  <c r="P15" i="13"/>
  <c r="G15" i="13"/>
  <c r="G16" i="13" s="1"/>
  <c r="G18" i="13"/>
  <c r="G17" i="13"/>
  <c r="H15" i="13"/>
  <c r="H16" i="13" s="1"/>
  <c r="H17" i="13"/>
  <c r="U67" i="13"/>
  <c r="AD67" i="13" s="1"/>
  <c r="AM67" i="13" s="1"/>
  <c r="M67" i="13"/>
  <c r="O23" i="13"/>
  <c r="Z13" i="13"/>
  <c r="AI11" i="13"/>
  <c r="F14" i="13" a="1"/>
  <c r="F14" i="13" s="1"/>
  <c r="F15" i="13" s="1"/>
  <c r="AQ11" i="13"/>
  <c r="AQ13" i="13" s="1"/>
  <c r="AH13" i="13"/>
  <c r="AQ23" i="13"/>
  <c r="V33" i="13"/>
  <c r="M34" i="13"/>
  <c r="D14" i="13" a="1"/>
  <c r="D14" i="13" s="1"/>
  <c r="D15" i="13" s="1"/>
  <c r="D16" i="13" s="1"/>
  <c r="D17" i="13"/>
  <c r="M13" i="13"/>
  <c r="M14" i="13" s="1" a="1"/>
  <c r="M14" i="13" s="1"/>
  <c r="V23" i="13"/>
  <c r="V11" i="13"/>
  <c r="T33" i="13"/>
  <c r="L13" i="13"/>
  <c r="U23" i="13"/>
  <c r="U11" i="13"/>
  <c r="L34" i="13"/>
  <c r="U33" i="13"/>
  <c r="N41" i="13"/>
  <c r="M41" i="13"/>
  <c r="L41" i="13"/>
  <c r="L43" i="13" s="1"/>
  <c r="L45" i="13" s="1"/>
  <c r="T23" i="13"/>
  <c r="O11" i="13"/>
  <c r="T11" i="13"/>
  <c r="B46" i="13" a="1"/>
  <c r="B46" i="13" s="1"/>
  <c r="B47" i="13" s="1"/>
  <c r="U37" i="13"/>
  <c r="AD37" i="13" s="1"/>
  <c r="AM37" i="13" s="1"/>
  <c r="M37" i="13"/>
  <c r="W23" i="13"/>
  <c r="W11" i="13"/>
  <c r="N13" i="13"/>
  <c r="N34" i="13"/>
  <c r="W33" i="13"/>
  <c r="Y15" i="13"/>
  <c r="Y18" i="13"/>
  <c r="Y17" i="13"/>
  <c r="U33" i="6"/>
  <c r="L34" i="6"/>
  <c r="W33" i="6"/>
  <c r="N34" i="6"/>
  <c r="V33" i="6"/>
  <c r="M34" i="6"/>
  <c r="I3" i="7"/>
  <c r="J3" i="7"/>
  <c r="K3" i="7"/>
  <c r="E14" i="7"/>
  <c r="K14" i="7" s="1"/>
  <c r="E12" i="7"/>
  <c r="E7" i="7"/>
  <c r="K7" i="7" s="1"/>
  <c r="E6" i="7"/>
  <c r="K6" i="7" s="1"/>
  <c r="E5" i="7"/>
  <c r="C5" i="1"/>
  <c r="D5" i="1"/>
  <c r="E5" i="1"/>
  <c r="F5" i="1"/>
  <c r="G5" i="1"/>
  <c r="H5" i="1"/>
  <c r="B5" i="1"/>
  <c r="G3" i="1"/>
  <c r="H3" i="1"/>
  <c r="F3" i="1"/>
  <c r="C3" i="1"/>
  <c r="D3" i="1"/>
  <c r="E3" i="1"/>
  <c r="B3" i="1"/>
  <c r="I83" i="2"/>
  <c r="H83" i="2"/>
  <c r="G83" i="2"/>
  <c r="F83" i="2"/>
  <c r="E83" i="2"/>
  <c r="D83" i="2"/>
  <c r="C83" i="2"/>
  <c r="I70" i="2"/>
  <c r="H70" i="2"/>
  <c r="G70" i="2"/>
  <c r="F70" i="2"/>
  <c r="E70" i="2"/>
  <c r="D70" i="2"/>
  <c r="C70" i="2"/>
  <c r="I57" i="2"/>
  <c r="H57" i="2"/>
  <c r="G57" i="2"/>
  <c r="F57" i="2"/>
  <c r="E57" i="2"/>
  <c r="D57" i="2"/>
  <c r="C57" i="2"/>
  <c r="I44" i="2"/>
  <c r="H44" i="2"/>
  <c r="G44" i="2"/>
  <c r="F44" i="2"/>
  <c r="E44" i="2"/>
  <c r="D44" i="2"/>
  <c r="C44" i="2"/>
  <c r="D31" i="2"/>
  <c r="E31" i="2"/>
  <c r="F31" i="2"/>
  <c r="G31" i="2"/>
  <c r="H31" i="2"/>
  <c r="I31" i="2"/>
  <c r="I78" i="2"/>
  <c r="H78" i="2"/>
  <c r="G78" i="2"/>
  <c r="F78" i="2"/>
  <c r="E78" i="2"/>
  <c r="D78" i="2"/>
  <c r="C78" i="2"/>
  <c r="B77" i="2"/>
  <c r="I65" i="2"/>
  <c r="H65" i="2"/>
  <c r="G65" i="2"/>
  <c r="F65" i="2"/>
  <c r="E65" i="2"/>
  <c r="D65" i="2"/>
  <c r="C65" i="2"/>
  <c r="B64" i="2"/>
  <c r="I52" i="2"/>
  <c r="H52" i="2"/>
  <c r="G52" i="2"/>
  <c r="F52" i="2"/>
  <c r="E52" i="2"/>
  <c r="D52" i="2"/>
  <c r="C52" i="2"/>
  <c r="B51" i="2"/>
  <c r="I39" i="2"/>
  <c r="H39" i="2"/>
  <c r="G39" i="2"/>
  <c r="F39" i="2"/>
  <c r="E39" i="2"/>
  <c r="D39" i="2"/>
  <c r="C39" i="2"/>
  <c r="D26" i="2"/>
  <c r="E26" i="2"/>
  <c r="F26" i="2"/>
  <c r="G26" i="2"/>
  <c r="H26" i="2"/>
  <c r="I26" i="2"/>
  <c r="C26" i="2"/>
  <c r="B6" i="7"/>
  <c r="Z12" i="6"/>
  <c r="Y12" i="6"/>
  <c r="W12" i="6"/>
  <c r="V12" i="6"/>
  <c r="U12" i="6"/>
  <c r="B37" i="6"/>
  <c r="Q12" i="6"/>
  <c r="P12" i="6"/>
  <c r="E19" i="14" l="1"/>
  <c r="E20" i="14" s="1"/>
  <c r="Q17" i="14"/>
  <c r="C19" i="13"/>
  <c r="C20" i="13" s="1"/>
  <c r="K38" i="14"/>
  <c r="K50" i="14" s="1"/>
  <c r="T37" i="14"/>
  <c r="L37" i="14"/>
  <c r="N67" i="6"/>
  <c r="W67" i="6" s="1"/>
  <c r="AF67" i="6" s="1"/>
  <c r="AO67" i="6" s="1"/>
  <c r="V67" i="6"/>
  <c r="AE67" i="6" s="1"/>
  <c r="AN67" i="6" s="1"/>
  <c r="K15" i="14"/>
  <c r="K16" i="14" s="1"/>
  <c r="K17" i="14"/>
  <c r="L24" i="14"/>
  <c r="C19" i="14"/>
  <c r="C20" i="14" s="1"/>
  <c r="P24" i="14"/>
  <c r="P16" i="14" s="1"/>
  <c r="G19" i="14"/>
  <c r="G20" i="14" s="1"/>
  <c r="W34" i="14"/>
  <c r="AF33" i="14"/>
  <c r="F16" i="14"/>
  <c r="K24" i="14"/>
  <c r="B19" i="14"/>
  <c r="B20" i="14" s="1"/>
  <c r="Q19" i="14"/>
  <c r="Q20" i="14" s="1"/>
  <c r="U41" i="14"/>
  <c r="U43" i="14" s="1"/>
  <c r="U45" i="14" s="1"/>
  <c r="T41" i="14"/>
  <c r="T43" i="14" s="1"/>
  <c r="T45" i="14" s="1"/>
  <c r="AC11" i="14"/>
  <c r="AC12" i="14" s="1"/>
  <c r="W41" i="14"/>
  <c r="AC23" i="14"/>
  <c r="V41" i="14"/>
  <c r="T13" i="14"/>
  <c r="X11" i="14"/>
  <c r="K46" i="14" a="1"/>
  <c r="K46" i="14" s="1"/>
  <c r="K47" i="14" s="1"/>
  <c r="X23" i="14"/>
  <c r="N17" i="14"/>
  <c r="N15" i="14"/>
  <c r="N16" i="14" s="1"/>
  <c r="V34" i="14"/>
  <c r="AE33" i="14"/>
  <c r="Z19" i="14"/>
  <c r="Z20" i="14" s="1"/>
  <c r="L46" i="14" a="1"/>
  <c r="L46" i="14" s="1"/>
  <c r="L47" i="14" s="1"/>
  <c r="AD11" i="14"/>
  <c r="U13" i="14"/>
  <c r="AD23" i="14"/>
  <c r="V67" i="14"/>
  <c r="AE67" i="14" s="1"/>
  <c r="AN67" i="14" s="1"/>
  <c r="N67" i="14"/>
  <c r="W67" i="14" s="1"/>
  <c r="AF67" i="14" s="1"/>
  <c r="AO67" i="14" s="1"/>
  <c r="F15" i="14"/>
  <c r="AI15" i="14"/>
  <c r="AI16" i="14" s="1"/>
  <c r="AI17" i="14"/>
  <c r="M17" i="14"/>
  <c r="M15" i="14"/>
  <c r="M16" i="14" s="1"/>
  <c r="AC33" i="14"/>
  <c r="T34" i="14"/>
  <c r="U34" i="14"/>
  <c r="AD33" i="14"/>
  <c r="L15" i="14"/>
  <c r="L16" i="14" s="1"/>
  <c r="L17" i="14"/>
  <c r="AH17" i="14"/>
  <c r="AH18" i="14"/>
  <c r="AH15" i="14"/>
  <c r="AR17" i="14"/>
  <c r="AR15" i="14"/>
  <c r="AR16" i="14" s="1"/>
  <c r="M42" i="14"/>
  <c r="M43" i="14" s="1"/>
  <c r="M45" i="14" s="1"/>
  <c r="N72" i="14"/>
  <c r="M72" i="14"/>
  <c r="O13" i="14"/>
  <c r="N42" i="14"/>
  <c r="N43" i="14" s="1"/>
  <c r="N45" i="14" s="1"/>
  <c r="W13" i="14"/>
  <c r="AF23" i="14"/>
  <c r="W14" i="14" a="1"/>
  <c r="W14" i="14" s="1"/>
  <c r="AF11" i="14"/>
  <c r="AQ18" i="14"/>
  <c r="AQ17" i="14"/>
  <c r="AQ15" i="14"/>
  <c r="AE11" i="14"/>
  <c r="V13" i="14"/>
  <c r="V14" i="14" s="1" a="1"/>
  <c r="V14" i="14" s="1"/>
  <c r="AE23" i="14"/>
  <c r="K19" i="13"/>
  <c r="K20" i="13" s="1"/>
  <c r="B19" i="13"/>
  <c r="B20" i="13" s="1"/>
  <c r="N24" i="13"/>
  <c r="M24" i="13"/>
  <c r="D19" i="13"/>
  <c r="D20" i="13" s="1"/>
  <c r="F16" i="13"/>
  <c r="B48" i="13" s="1"/>
  <c r="B49" i="13" s="1"/>
  <c r="P24" i="13"/>
  <c r="P16" i="13" s="1"/>
  <c r="G19" i="13"/>
  <c r="G20" i="13" s="1"/>
  <c r="L17" i="13"/>
  <c r="T34" i="13"/>
  <c r="AC33" i="13"/>
  <c r="Z15" i="13"/>
  <c r="Z16" i="13" s="1"/>
  <c r="Z17" i="13"/>
  <c r="V13" i="13"/>
  <c r="V14" i="13" s="1" a="1"/>
  <c r="V14" i="13" s="1"/>
  <c r="AE23" i="13"/>
  <c r="AE11" i="13"/>
  <c r="V67" i="13"/>
  <c r="AE67" i="13" s="1"/>
  <c r="AN67" i="13" s="1"/>
  <c r="N67" i="13"/>
  <c r="W67" i="13" s="1"/>
  <c r="AF67" i="13" s="1"/>
  <c r="AO67" i="13" s="1"/>
  <c r="AC68" i="13"/>
  <c r="AL67" i="13"/>
  <c r="AL68" i="13" s="1"/>
  <c r="N17" i="13"/>
  <c r="U41" i="13"/>
  <c r="U43" i="13" s="1"/>
  <c r="U45" i="13" s="1"/>
  <c r="T41" i="13"/>
  <c r="T43" i="13" s="1"/>
  <c r="T45" i="13" s="1"/>
  <c r="AC11" i="13"/>
  <c r="T13" i="13"/>
  <c r="W41" i="13"/>
  <c r="AC23" i="13"/>
  <c r="X11" i="13"/>
  <c r="V41" i="13"/>
  <c r="AR11" i="13"/>
  <c r="AR13" i="13" s="1"/>
  <c r="AI13" i="13"/>
  <c r="L46" i="13" a="1"/>
  <c r="L46" i="13" s="1"/>
  <c r="L47" i="13" s="1"/>
  <c r="M42" i="13"/>
  <c r="M43" i="13" s="1"/>
  <c r="M45" i="13" s="1"/>
  <c r="N72" i="13"/>
  <c r="M72" i="13"/>
  <c r="N42" i="13"/>
  <c r="N43" i="13" s="1"/>
  <c r="N45" i="13" s="1"/>
  <c r="O13" i="13"/>
  <c r="U34" i="13"/>
  <c r="AD33" i="13"/>
  <c r="M17" i="13"/>
  <c r="M15" i="13"/>
  <c r="M16" i="13" s="1"/>
  <c r="AH17" i="13"/>
  <c r="AH18" i="13"/>
  <c r="AH15" i="13"/>
  <c r="H19" i="13"/>
  <c r="H20" i="13" s="1"/>
  <c r="V34" i="13"/>
  <c r="AE33" i="13"/>
  <c r="AQ18" i="13"/>
  <c r="AQ17" i="13"/>
  <c r="AQ15" i="13"/>
  <c r="W13" i="13"/>
  <c r="W14" i="13" s="1" a="1"/>
  <c r="W14" i="13" s="1"/>
  <c r="AF23" i="13"/>
  <c r="AF11" i="13"/>
  <c r="N14" i="13" a="1"/>
  <c r="N14" i="13" s="1"/>
  <c r="N15" i="13" s="1"/>
  <c r="N16" i="13" s="1"/>
  <c r="W34" i="13"/>
  <c r="AF33" i="13"/>
  <c r="AD11" i="13"/>
  <c r="U13" i="13"/>
  <c r="U14" i="13" s="1" a="1"/>
  <c r="U14" i="13" s="1"/>
  <c r="AD23" i="13"/>
  <c r="X23" i="13"/>
  <c r="V37" i="13"/>
  <c r="AE37" i="13" s="1"/>
  <c r="AN37" i="13" s="1"/>
  <c r="N37" i="13"/>
  <c r="W37" i="13" s="1"/>
  <c r="AF37" i="13" s="1"/>
  <c r="AO37" i="13" s="1"/>
  <c r="L14" i="13" a="1"/>
  <c r="L14" i="13" s="1"/>
  <c r="L15" i="13" s="1"/>
  <c r="L16" i="13" s="1"/>
  <c r="V34" i="6"/>
  <c r="AE33" i="6"/>
  <c r="W34" i="6"/>
  <c r="AF33" i="6"/>
  <c r="U34" i="6"/>
  <c r="AD33" i="6"/>
  <c r="K36" i="6"/>
  <c r="T36" i="6"/>
  <c r="T50" i="6" s="1"/>
  <c r="E8" i="7"/>
  <c r="E17" i="7" s="1"/>
  <c r="K5" i="7"/>
  <c r="E13" i="7"/>
  <c r="E15" i="7" s="1"/>
  <c r="E16" i="7" s="1"/>
  <c r="K12" i="7"/>
  <c r="B57" i="2"/>
  <c r="B83" i="2"/>
  <c r="B70" i="2"/>
  <c r="B44" i="2"/>
  <c r="A40" i="6"/>
  <c r="J40" i="6" s="1"/>
  <c r="S40" i="6" s="1"/>
  <c r="AB40" i="6" s="1"/>
  <c r="AK40" i="6" s="1"/>
  <c r="H12" i="6"/>
  <c r="H11" i="6"/>
  <c r="Q11" i="6" s="1"/>
  <c r="B10" i="5"/>
  <c r="B9" i="5"/>
  <c r="E10" i="3"/>
  <c r="F10" i="3"/>
  <c r="E11" i="3"/>
  <c r="F11" i="3"/>
  <c r="C6" i="3"/>
  <c r="G7" i="3"/>
  <c r="G11" i="3" s="1"/>
  <c r="D7" i="3"/>
  <c r="D10" i="3" s="1"/>
  <c r="B7" i="3"/>
  <c r="B11" i="3" s="1"/>
  <c r="G5" i="14" l="1"/>
  <c r="O24" i="13"/>
  <c r="U37" i="14"/>
  <c r="AD37" i="14" s="1"/>
  <c r="AM37" i="14" s="1"/>
  <c r="M37" i="14"/>
  <c r="AC37" i="14"/>
  <c r="T38" i="14"/>
  <c r="T50" i="14" s="1"/>
  <c r="AF34" i="14"/>
  <c r="AO33" i="14"/>
  <c r="AO34" i="14" s="1"/>
  <c r="AO23" i="14"/>
  <c r="AF13" i="14"/>
  <c r="AO11" i="14"/>
  <c r="T46" i="14" a="1"/>
  <c r="T46" i="14" s="1"/>
  <c r="T47" i="14" s="1"/>
  <c r="U24" i="14"/>
  <c r="L19" i="14"/>
  <c r="L20" i="14" s="1"/>
  <c r="P19" i="14"/>
  <c r="P20" i="14" s="1"/>
  <c r="Y24" i="14"/>
  <c r="Y16" i="14" s="1"/>
  <c r="AI19" i="14"/>
  <c r="AI20" i="14" s="1"/>
  <c r="M46" i="14" a="1"/>
  <c r="M46" i="14" s="1"/>
  <c r="M47" i="14" s="1"/>
  <c r="AD34" i="14"/>
  <c r="AM33" i="14"/>
  <c r="AM34" i="14" s="1"/>
  <c r="T17" i="14"/>
  <c r="U46" i="14" a="1"/>
  <c r="U46" i="14" s="1"/>
  <c r="U47" i="14" s="1"/>
  <c r="O14" i="14" a="1"/>
  <c r="O14" i="14" s="1"/>
  <c r="O15" i="14" s="1"/>
  <c r="U17" i="14"/>
  <c r="AE34" i="14"/>
  <c r="AN33" i="14"/>
  <c r="AN34" i="14" s="1"/>
  <c r="AG23" i="14"/>
  <c r="V15" i="14"/>
  <c r="V16" i="14" s="1"/>
  <c r="V17" i="14"/>
  <c r="AM23" i="14"/>
  <c r="AD13" i="14"/>
  <c r="AD14" i="14" s="1" a="1"/>
  <c r="AD14" i="14" s="1"/>
  <c r="AM11" i="14"/>
  <c r="AC34" i="14"/>
  <c r="AL33" i="14"/>
  <c r="AL34" i="14" s="1"/>
  <c r="U14" i="14" a="1"/>
  <c r="U14" i="14" s="1"/>
  <c r="U15" i="14" s="1"/>
  <c r="U16" i="14" s="1"/>
  <c r="AC13" i="14"/>
  <c r="AC14" i="14" s="1" a="1"/>
  <c r="AC14" i="14" s="1"/>
  <c r="AL23" i="14"/>
  <c r="AF41" i="14"/>
  <c r="AE41" i="14"/>
  <c r="AD41" i="14"/>
  <c r="AD43" i="14" s="1"/>
  <c r="AD45" i="14" s="1"/>
  <c r="AL11" i="14"/>
  <c r="AL12" i="14" s="1"/>
  <c r="AG11" i="14"/>
  <c r="AC41" i="14"/>
  <c r="AC43" i="14" s="1"/>
  <c r="AC45" i="14" s="1"/>
  <c r="O24" i="14"/>
  <c r="V72" i="14"/>
  <c r="X13" i="14"/>
  <c r="V42" i="14"/>
  <c r="V43" i="14" s="1"/>
  <c r="V45" i="14" s="1"/>
  <c r="W72" i="14"/>
  <c r="W42" i="14"/>
  <c r="W43" i="14" s="1"/>
  <c r="W45" i="14" s="1"/>
  <c r="AR19" i="14"/>
  <c r="AR20" i="14" s="1"/>
  <c r="V24" i="14"/>
  <c r="M19" i="14"/>
  <c r="M20" i="14" s="1"/>
  <c r="B48" i="14"/>
  <c r="B49" i="14" s="1"/>
  <c r="T24" i="14"/>
  <c r="K19" i="14"/>
  <c r="K20" i="14" s="1"/>
  <c r="O16" i="14"/>
  <c r="N46" i="14" a="1"/>
  <c r="N46" i="14" s="1"/>
  <c r="N47" i="14" s="1"/>
  <c r="W15" i="14"/>
  <c r="W16" i="14" s="1"/>
  <c r="W17" i="14"/>
  <c r="AN23" i="14"/>
  <c r="AE13" i="14"/>
  <c r="AE14" i="14" s="1" a="1"/>
  <c r="AE14" i="14" s="1"/>
  <c r="AN11" i="14"/>
  <c r="W24" i="14"/>
  <c r="N19" i="14"/>
  <c r="N20" i="14" s="1"/>
  <c r="T14" i="14" a="1"/>
  <c r="T14" i="14" s="1"/>
  <c r="T15" i="14" s="1"/>
  <c r="T16" i="14" s="1"/>
  <c r="AG23" i="13"/>
  <c r="U24" i="13"/>
  <c r="L19" i="13"/>
  <c r="L20" i="13" s="1"/>
  <c r="W24" i="13"/>
  <c r="N19" i="13"/>
  <c r="N20" i="13" s="1"/>
  <c r="N46" i="13" a="1"/>
  <c r="N46" i="13" s="1"/>
  <c r="N47" i="13" s="1"/>
  <c r="M46" i="13" a="1"/>
  <c r="M46" i="13" s="1"/>
  <c r="M47" i="13" s="1"/>
  <c r="T24" i="13"/>
  <c r="O16" i="13"/>
  <c r="G5" i="13"/>
  <c r="AR17" i="13"/>
  <c r="AR15" i="13"/>
  <c r="AR16" i="13" s="1"/>
  <c r="AD34" i="13"/>
  <c r="AM33" i="13"/>
  <c r="AM34" i="13" s="1"/>
  <c r="AN23" i="13"/>
  <c r="AE13" i="13"/>
  <c r="AN11" i="13"/>
  <c r="V72" i="13"/>
  <c r="X13" i="13"/>
  <c r="W42" i="13"/>
  <c r="W43" i="13" s="1"/>
  <c r="W45" i="13" s="1"/>
  <c r="V42" i="13"/>
  <c r="V43" i="13" s="1"/>
  <c r="V45" i="13" s="1"/>
  <c r="W72" i="13"/>
  <c r="AM23" i="13"/>
  <c r="AD13" i="13"/>
  <c r="AM11" i="13"/>
  <c r="AF34" i="13"/>
  <c r="AO33" i="13"/>
  <c r="AO34" i="13" s="1"/>
  <c r="O14" i="13" a="1"/>
  <c r="O14" i="13" s="1"/>
  <c r="O15" i="13" s="1"/>
  <c r="B51" i="13"/>
  <c r="B52" i="13" s="1"/>
  <c r="B53" i="13"/>
  <c r="V15" i="13"/>
  <c r="V16" i="13" s="1"/>
  <c r="V17" i="13"/>
  <c r="P19" i="13"/>
  <c r="P20" i="13" s="1"/>
  <c r="Y24" i="13"/>
  <c r="Y16" i="13" s="1"/>
  <c r="AE34" i="13"/>
  <c r="AN33" i="13"/>
  <c r="AN34" i="13" s="1"/>
  <c r="T17" i="13"/>
  <c r="V24" i="13"/>
  <c r="M19" i="13"/>
  <c r="M20" i="13" s="1"/>
  <c r="AO23" i="13"/>
  <c r="AO11" i="13"/>
  <c r="AF13" i="13"/>
  <c r="AF14" i="13" s="1" a="1"/>
  <c r="AF14" i="13" s="1"/>
  <c r="AC13" i="13"/>
  <c r="AL23" i="13"/>
  <c r="AF41" i="13"/>
  <c r="AE41" i="13"/>
  <c r="AD41" i="13"/>
  <c r="AD43" i="13" s="1"/>
  <c r="AD45" i="13" s="1"/>
  <c r="AC41" i="13"/>
  <c r="AC43" i="13" s="1"/>
  <c r="AC45" i="13" s="1"/>
  <c r="AG11" i="13"/>
  <c r="AL11" i="13"/>
  <c r="T14" i="13" a="1"/>
  <c r="T14" i="13" s="1"/>
  <c r="T15" i="13" s="1"/>
  <c r="T16" i="13" s="1"/>
  <c r="Z19" i="13"/>
  <c r="Z20" i="13" s="1"/>
  <c r="W15" i="13"/>
  <c r="W16" i="13" s="1"/>
  <c r="W17" i="13"/>
  <c r="AC34" i="13"/>
  <c r="AL33" i="13"/>
  <c r="AL34" i="13" s="1"/>
  <c r="U46" i="13" a="1"/>
  <c r="U46" i="13" s="1"/>
  <c r="U47" i="13" s="1"/>
  <c r="U15" i="13"/>
  <c r="U16" i="13" s="1"/>
  <c r="U17" i="13"/>
  <c r="AI15" i="13"/>
  <c r="AI16" i="13" s="1"/>
  <c r="AI17" i="13"/>
  <c r="T46" i="13" a="1"/>
  <c r="T46" i="13" s="1"/>
  <c r="T47" i="13" s="1"/>
  <c r="AM33" i="6"/>
  <c r="AM34" i="6" s="1"/>
  <c r="AD34" i="6"/>
  <c r="AO33" i="6"/>
  <c r="AO34" i="6" s="1"/>
  <c r="AF34" i="6"/>
  <c r="AN33" i="6"/>
  <c r="AN34" i="6" s="1"/>
  <c r="AE34" i="6"/>
  <c r="E18" i="7"/>
  <c r="E20" i="7" s="1"/>
  <c r="E21" i="7" s="1" a="1"/>
  <c r="E21" i="7" s="1"/>
  <c r="E22" i="7" s="1"/>
  <c r="E23" i="7" s="1"/>
  <c r="Q13" i="6"/>
  <c r="Q17" i="6" s="1"/>
  <c r="Z11" i="6"/>
  <c r="H13" i="6"/>
  <c r="H15" i="6" s="1"/>
  <c r="H16" i="6" s="1"/>
  <c r="H19" i="6" s="1"/>
  <c r="G10" i="3"/>
  <c r="B10" i="3"/>
  <c r="D11" i="3"/>
  <c r="C7" i="3"/>
  <c r="C10" i="3" s="1"/>
  <c r="AL37" i="14" l="1"/>
  <c r="AL38" i="14" s="1"/>
  <c r="AL50" i="14" s="1"/>
  <c r="AC38" i="14"/>
  <c r="AC50" i="14" s="1"/>
  <c r="V37" i="14"/>
  <c r="AE37" i="14" s="1"/>
  <c r="AN37" i="14" s="1"/>
  <c r="N37" i="14"/>
  <c r="W37" i="14" s="1"/>
  <c r="AF37" i="14" s="1"/>
  <c r="AO37" i="14" s="1"/>
  <c r="X24" i="14"/>
  <c r="P5" i="14"/>
  <c r="L19" i="1" s="1"/>
  <c r="V46" i="14" a="1"/>
  <c r="V46" i="14" s="1"/>
  <c r="V47" i="14" s="1"/>
  <c r="W46" i="14" a="1"/>
  <c r="W46" i="14" s="1"/>
  <c r="W47" i="14" s="1"/>
  <c r="AD24" i="14"/>
  <c r="U19" i="14"/>
  <c r="U20" i="14" s="1"/>
  <c r="X16" i="14"/>
  <c r="AC24" i="14"/>
  <c r="T19" i="14"/>
  <c r="T20" i="14" s="1"/>
  <c r="AN13" i="14"/>
  <c r="B51" i="14"/>
  <c r="B52" i="14" s="1"/>
  <c r="B53" i="14" s="1"/>
  <c r="X14" i="14" a="1"/>
  <c r="X14" i="14" s="1"/>
  <c r="X15" i="14" s="1"/>
  <c r="AP23" i="14"/>
  <c r="AC46" i="14" a="1"/>
  <c r="AC46" i="14" s="1"/>
  <c r="AC47" i="14" s="1"/>
  <c r="AC17" i="14"/>
  <c r="AC15" i="14"/>
  <c r="AC16" i="14" s="1"/>
  <c r="AF24" i="14"/>
  <c r="W19" i="14"/>
  <c r="W20" i="14" s="1"/>
  <c r="AF42" i="14"/>
  <c r="AF43" i="14" s="1"/>
  <c r="AF45" i="14" s="1"/>
  <c r="AE42" i="14"/>
  <c r="AE43" i="14" s="1"/>
  <c r="AE45" i="14" s="1"/>
  <c r="AE72" i="14"/>
  <c r="AF72" i="14"/>
  <c r="AG13" i="14"/>
  <c r="AE24" i="14"/>
  <c r="V19" i="14"/>
  <c r="V20" i="14" s="1"/>
  <c r="AE17" i="14"/>
  <c r="AE15" i="14"/>
  <c r="AE16" i="14" s="1"/>
  <c r="AO41" i="14"/>
  <c r="AN41" i="14"/>
  <c r="AM41" i="14"/>
  <c r="AM43" i="14" s="1"/>
  <c r="AM45" i="14" s="1"/>
  <c r="AL41" i="14"/>
  <c r="AL43" i="14" s="1"/>
  <c r="AL45" i="14" s="1"/>
  <c r="AL13" i="14"/>
  <c r="AL14" i="14" s="1" a="1"/>
  <c r="AL14" i="14" s="1"/>
  <c r="AP11" i="14"/>
  <c r="AO13" i="14"/>
  <c r="AO14" i="14" s="1" a="1"/>
  <c r="AO14" i="14" s="1"/>
  <c r="AH24" i="14"/>
  <c r="AH16" i="14" s="1"/>
  <c r="Y19" i="14"/>
  <c r="Y20" i="14" s="1"/>
  <c r="M48" i="14"/>
  <c r="M49" i="14" s="1"/>
  <c r="L48" i="14"/>
  <c r="L49" i="14" s="1"/>
  <c r="K48" i="14"/>
  <c r="K49" i="14" s="1"/>
  <c r="N48" i="14"/>
  <c r="N49" i="14" s="1"/>
  <c r="AM13" i="14"/>
  <c r="AM14" i="14" s="1" a="1"/>
  <c r="AM14" i="14" s="1"/>
  <c r="AF17" i="14"/>
  <c r="AD46" i="14" a="1"/>
  <c r="AD46" i="14" s="1"/>
  <c r="AD47" i="14" s="1"/>
  <c r="AD17" i="14"/>
  <c r="AD15" i="14"/>
  <c r="AD16" i="14" s="1"/>
  <c r="AF14" i="14" a="1"/>
  <c r="AF14" i="14" s="1"/>
  <c r="AF15" i="14" s="1"/>
  <c r="AF16" i="14" s="1"/>
  <c r="K48" i="13"/>
  <c r="K49" i="13" s="1"/>
  <c r="AP23" i="13"/>
  <c r="V46" i="13" a="1"/>
  <c r="V46" i="13" s="1"/>
  <c r="V47" i="13" s="1"/>
  <c r="W46" i="13" a="1"/>
  <c r="W46" i="13" s="1"/>
  <c r="W47" i="13" s="1"/>
  <c r="AR19" i="13"/>
  <c r="AR20" i="13" s="1"/>
  <c r="AO13" i="13"/>
  <c r="AO14" i="13" s="1" a="1"/>
  <c r="AO14" i="13" s="1"/>
  <c r="AN13" i="13"/>
  <c r="AN14" i="13" s="1" a="1"/>
  <c r="AN14" i="13" s="1"/>
  <c r="AC17" i="13"/>
  <c r="AH24" i="13"/>
  <c r="AH16" i="13" s="1"/>
  <c r="Y19" i="13"/>
  <c r="Y20" i="13" s="1"/>
  <c r="AM13" i="13"/>
  <c r="AM14" i="13" s="1" a="1"/>
  <c r="AM14" i="13" s="1"/>
  <c r="AE17" i="13"/>
  <c r="AF24" i="13"/>
  <c r="W19" i="13"/>
  <c r="W20" i="13" s="1"/>
  <c r="AD46" i="13" a="1"/>
  <c r="AD46" i="13" s="1"/>
  <c r="AD47" i="13" s="1"/>
  <c r="AD17" i="13"/>
  <c r="AF42" i="13"/>
  <c r="AF43" i="13" s="1"/>
  <c r="AF45" i="13" s="1"/>
  <c r="AE42" i="13"/>
  <c r="AE43" i="13" s="1"/>
  <c r="AE45" i="13" s="1"/>
  <c r="AG13" i="13"/>
  <c r="AF72" i="13"/>
  <c r="AE72" i="13"/>
  <c r="AF17" i="13"/>
  <c r="AF15" i="13"/>
  <c r="AF16" i="13" s="1"/>
  <c r="AI19" i="13"/>
  <c r="AI20" i="13" s="1"/>
  <c r="AE14" i="13" a="1"/>
  <c r="AE14" i="13" s="1"/>
  <c r="AE15" i="13" s="1"/>
  <c r="AE16" i="13" s="1"/>
  <c r="P5" i="13"/>
  <c r="L9" i="1" s="1"/>
  <c r="X16" i="13"/>
  <c r="T19" i="13"/>
  <c r="T20" i="13" s="1"/>
  <c r="AC24" i="13"/>
  <c r="AO41" i="13"/>
  <c r="AN41" i="13"/>
  <c r="AM41" i="13"/>
  <c r="AM43" i="13" s="1"/>
  <c r="AM45" i="13" s="1"/>
  <c r="AL41" i="13"/>
  <c r="AL43" i="13" s="1"/>
  <c r="AL45" i="13" s="1"/>
  <c r="AL13" i="13"/>
  <c r="AL14" i="13" s="1" a="1"/>
  <c r="AL14" i="13" s="1"/>
  <c r="AP11" i="13"/>
  <c r="X14" i="13" a="1"/>
  <c r="X14" i="13" s="1"/>
  <c r="X15" i="13" s="1"/>
  <c r="AC46" i="13" a="1"/>
  <c r="AC46" i="13" s="1"/>
  <c r="AC47" i="13" s="1"/>
  <c r="AE24" i="13"/>
  <c r="V19" i="13"/>
  <c r="V20" i="13" s="1"/>
  <c r="AD14" i="13" a="1"/>
  <c r="AD14" i="13" s="1"/>
  <c r="AD15" i="13" s="1"/>
  <c r="AD16" i="13" s="1"/>
  <c r="M48" i="13"/>
  <c r="M49" i="13" s="1"/>
  <c r="L48" i="13"/>
  <c r="L49" i="13" s="1"/>
  <c r="N48" i="13"/>
  <c r="N49" i="13" s="1"/>
  <c r="B54" i="13"/>
  <c r="B55" i="13" s="1"/>
  <c r="O25" i="13"/>
  <c r="O26" i="13" s="1"/>
  <c r="AD24" i="13"/>
  <c r="U19" i="13"/>
  <c r="U20" i="13" s="1"/>
  <c r="AC14" i="13" a="1"/>
  <c r="AC14" i="13" s="1"/>
  <c r="AC15" i="13" s="1"/>
  <c r="AC16" i="13" s="1"/>
  <c r="X24" i="13"/>
  <c r="Z13" i="6"/>
  <c r="Z17" i="6" s="1"/>
  <c r="AI11" i="6"/>
  <c r="E24" i="7"/>
  <c r="E25" i="7" s="1"/>
  <c r="B14" i="1" s="1"/>
  <c r="Q15" i="6"/>
  <c r="Q16" i="6" s="1"/>
  <c r="Q19" i="6" s="1"/>
  <c r="Q20" i="6" s="1"/>
  <c r="H17" i="6"/>
  <c r="H20" i="6" s="1"/>
  <c r="C11" i="3"/>
  <c r="Y5" i="14" l="1"/>
  <c r="M19" i="1" s="1"/>
  <c r="N51" i="14"/>
  <c r="AO24" i="14"/>
  <c r="AF19" i="14"/>
  <c r="AF20" i="14"/>
  <c r="AE46" i="14" a="1"/>
  <c r="AE46" i="14" s="1"/>
  <c r="AE47" i="14" s="1"/>
  <c r="AF46" i="14" a="1"/>
  <c r="AF46" i="14" s="1"/>
  <c r="AF47" i="14" s="1"/>
  <c r="AH19" i="14"/>
  <c r="AH20" i="14" s="1"/>
  <c r="AQ24" i="14"/>
  <c r="AQ16" i="14" s="1"/>
  <c r="AN17" i="14"/>
  <c r="AG14" i="14" a="1"/>
  <c r="AG14" i="14" s="1"/>
  <c r="AG15" i="14" s="1"/>
  <c r="AN14" i="14" a="1"/>
  <c r="AN14" i="14" s="1"/>
  <c r="AN15" i="14" s="1"/>
  <c r="AN16" i="14" s="1"/>
  <c r="AM46" i="14" a="1"/>
  <c r="AM46" i="14" s="1"/>
  <c r="AM47" i="14" s="1"/>
  <c r="M51" i="14"/>
  <c r="AN24" i="14"/>
  <c r="AE19" i="14"/>
  <c r="AE20" i="14"/>
  <c r="AG24" i="14"/>
  <c r="K51" i="14"/>
  <c r="L51" i="14"/>
  <c r="AP13" i="14"/>
  <c r="AO72" i="14"/>
  <c r="AO42" i="14"/>
  <c r="AO43" i="14" s="1"/>
  <c r="AO45" i="14" s="1"/>
  <c r="AN72" i="14"/>
  <c r="AN42" i="14"/>
  <c r="AN43" i="14" s="1"/>
  <c r="AN45" i="14" s="1"/>
  <c r="AO15" i="14"/>
  <c r="AO16" i="14" s="1"/>
  <c r="AO17" i="14"/>
  <c r="W48" i="14"/>
  <c r="W49" i="14" s="1"/>
  <c r="V48" i="14"/>
  <c r="V49" i="14" s="1"/>
  <c r="T48" i="14"/>
  <c r="T49" i="14" s="1"/>
  <c r="U48" i="14"/>
  <c r="U49" i="14" s="1"/>
  <c r="AL46" i="14" a="1"/>
  <c r="AL46" i="14" s="1"/>
  <c r="AL47" i="14" s="1"/>
  <c r="AM24" i="14"/>
  <c r="AD19" i="14"/>
  <c r="AD20" i="14"/>
  <c r="AL24" i="14"/>
  <c r="AC19" i="14"/>
  <c r="AC20" i="14" s="1"/>
  <c r="AG16" i="14"/>
  <c r="B54" i="14"/>
  <c r="B55" i="14" s="1"/>
  <c r="O25" i="14"/>
  <c r="O26" i="14" s="1"/>
  <c r="AM15" i="14"/>
  <c r="AM16" i="14" s="1"/>
  <c r="AM17" i="14"/>
  <c r="AL15" i="14"/>
  <c r="AL16" i="14" s="1"/>
  <c r="AL17" i="14"/>
  <c r="K51" i="13"/>
  <c r="K52" i="13" s="1"/>
  <c r="K53" i="13" s="1"/>
  <c r="Y5" i="13"/>
  <c r="M9" i="1" s="1"/>
  <c r="M14" i="1" s="1"/>
  <c r="AM24" i="13"/>
  <c r="AD19" i="13"/>
  <c r="AD20" i="13" s="1"/>
  <c r="N51" i="13"/>
  <c r="N52" i="13" s="1"/>
  <c r="N53" i="13" s="1"/>
  <c r="M51" i="13"/>
  <c r="M52" i="13" s="1"/>
  <c r="M53" i="13" s="1"/>
  <c r="AE46" i="13" a="1"/>
  <c r="AE46" i="13" s="1"/>
  <c r="AE47" i="13" s="1"/>
  <c r="AM46" i="13" a="1"/>
  <c r="AM46" i="13" s="1"/>
  <c r="AM47" i="13" s="1"/>
  <c r="AL24" i="13"/>
  <c r="AC19" i="13"/>
  <c r="AC20" i="13" s="1"/>
  <c r="AG16" i="13"/>
  <c r="AN15" i="13"/>
  <c r="AN16" i="13" s="1"/>
  <c r="AN17" i="13"/>
  <c r="AN24" i="13"/>
  <c r="AE19" i="13"/>
  <c r="AE20" i="13" s="1"/>
  <c r="AO15" i="13"/>
  <c r="AO16" i="13" s="1"/>
  <c r="AO17" i="13"/>
  <c r="L51" i="13"/>
  <c r="L52" i="13" s="1"/>
  <c r="L53" i="13" s="1"/>
  <c r="AP13" i="13"/>
  <c r="AO72" i="13"/>
  <c r="AO42" i="13"/>
  <c r="AO43" i="13" s="1"/>
  <c r="AO45" i="13" s="1"/>
  <c r="AN72" i="13"/>
  <c r="AN42" i="13"/>
  <c r="AN43" i="13" s="1"/>
  <c r="AN45" i="13" s="1"/>
  <c r="AG14" i="13" a="1"/>
  <c r="AG14" i="13" s="1"/>
  <c r="AG15" i="13" s="1"/>
  <c r="AM15" i="13"/>
  <c r="AM16" i="13" s="1"/>
  <c r="AM17" i="13"/>
  <c r="W48" i="13"/>
  <c r="W49" i="13" s="1"/>
  <c r="V48" i="13"/>
  <c r="V49" i="13" s="1"/>
  <c r="U48" i="13"/>
  <c r="U49" i="13" s="1"/>
  <c r="T48" i="13"/>
  <c r="T49" i="13" s="1"/>
  <c r="AO24" i="13"/>
  <c r="AF19" i="13"/>
  <c r="AF20" i="13" s="1"/>
  <c r="AL15" i="13"/>
  <c r="AL16" i="13" s="1"/>
  <c r="AL17" i="13"/>
  <c r="AG24" i="13"/>
  <c r="AF46" i="13" a="1"/>
  <c r="AF46" i="13" s="1"/>
  <c r="AF47" i="13" s="1"/>
  <c r="AL46" i="13" a="1"/>
  <c r="AL46" i="13" s="1"/>
  <c r="AL47" i="13" s="1"/>
  <c r="AH19" i="13"/>
  <c r="AH20" i="13" s="1"/>
  <c r="AQ24" i="13"/>
  <c r="AQ16" i="13" s="1"/>
  <c r="Z15" i="6"/>
  <c r="Z16" i="6" s="1"/>
  <c r="Z19" i="6" s="1"/>
  <c r="AI13" i="6"/>
  <c r="AR11" i="6"/>
  <c r="AR13" i="6" s="1"/>
  <c r="D22" i="9"/>
  <c r="D23" i="9" s="1"/>
  <c r="E22" i="9"/>
  <c r="E23" i="9" s="1"/>
  <c r="F22" i="9"/>
  <c r="F23" i="9" s="1"/>
  <c r="G22" i="9"/>
  <c r="G23" i="9" s="1"/>
  <c r="H22" i="9"/>
  <c r="H23" i="9" s="1"/>
  <c r="I22" i="9"/>
  <c r="I23" i="9" s="1"/>
  <c r="C22" i="9"/>
  <c r="C23" i="9" s="1"/>
  <c r="D21" i="9"/>
  <c r="E21" i="9"/>
  <c r="F21" i="9"/>
  <c r="G21" i="9"/>
  <c r="H21" i="9"/>
  <c r="I21" i="9"/>
  <c r="C21" i="9"/>
  <c r="D20" i="9"/>
  <c r="E20" i="9"/>
  <c r="F20" i="9"/>
  <c r="G20" i="9"/>
  <c r="H20" i="9"/>
  <c r="I20" i="9"/>
  <c r="C20" i="9"/>
  <c r="B12" i="11"/>
  <c r="B13" i="11"/>
  <c r="G13" i="11" s="1"/>
  <c r="L13" i="11" s="1"/>
  <c r="Q13" i="11" s="1"/>
  <c r="B14" i="11"/>
  <c r="G14" i="11" s="1"/>
  <c r="L14" i="11" s="1"/>
  <c r="Q14" i="11" s="1"/>
  <c r="B11" i="11"/>
  <c r="B4" i="11"/>
  <c r="B1" i="11"/>
  <c r="C56" i="8"/>
  <c r="B56" i="8"/>
  <c r="C45" i="8"/>
  <c r="C52" i="8"/>
  <c r="B52" i="8"/>
  <c r="B45" i="8"/>
  <c r="AP24" i="14" l="1"/>
  <c r="AN19" i="14"/>
  <c r="AN20" i="14" s="1"/>
  <c r="K52" i="14"/>
  <c r="K53" i="14" s="1"/>
  <c r="AQ19" i="14"/>
  <c r="AQ20" i="14" s="1"/>
  <c r="AN46" i="14" a="1"/>
  <c r="AN46" i="14" s="1"/>
  <c r="AN47" i="14" s="1"/>
  <c r="T51" i="14"/>
  <c r="AF48" i="14"/>
  <c r="AF49" i="14" s="1"/>
  <c r="AE48" i="14"/>
  <c r="AE49" i="14" s="1"/>
  <c r="AD48" i="14"/>
  <c r="AD49" i="14" s="1"/>
  <c r="AC48" i="14"/>
  <c r="AC49" i="14" s="1"/>
  <c r="AH5" i="14"/>
  <c r="N19" i="1" s="1"/>
  <c r="AO46" i="14" a="1"/>
  <c r="AO46" i="14" s="1"/>
  <c r="AO47" i="14" s="1"/>
  <c r="M52" i="14"/>
  <c r="M53" i="14" s="1"/>
  <c r="N52" i="14"/>
  <c r="N53" i="14" s="1"/>
  <c r="AP14" i="14" a="1"/>
  <c r="AP14" i="14" s="1"/>
  <c r="AP15" i="14" s="1"/>
  <c r="AO19" i="14"/>
  <c r="AO20" i="14" s="1"/>
  <c r="AP16" i="14"/>
  <c r="AL19" i="14"/>
  <c r="AL20" i="14" s="1"/>
  <c r="L52" i="14"/>
  <c r="L53" i="14" s="1"/>
  <c r="AM19" i="14"/>
  <c r="AM20" i="14" s="1"/>
  <c r="K54" i="13"/>
  <c r="K55" i="13" s="1"/>
  <c r="L54" i="13"/>
  <c r="L55" i="13" s="1"/>
  <c r="M54" i="13"/>
  <c r="M55" i="13" s="1"/>
  <c r="N54" i="13"/>
  <c r="N55" i="13" s="1"/>
  <c r="AN19" i="13"/>
  <c r="AN20" i="13" s="1"/>
  <c r="AP14" i="13" a="1"/>
  <c r="AP14" i="13" s="1"/>
  <c r="AP15" i="13" s="1"/>
  <c r="AN46" i="13" a="1"/>
  <c r="AN46" i="13" s="1"/>
  <c r="AN47" i="13" s="1"/>
  <c r="AM19" i="13"/>
  <c r="AM20" i="13" s="1"/>
  <c r="AF48" i="13"/>
  <c r="AF49" i="13" s="1"/>
  <c r="AE48" i="13"/>
  <c r="AE49" i="13" s="1"/>
  <c r="AD48" i="13"/>
  <c r="AD49" i="13" s="1"/>
  <c r="AC48" i="13"/>
  <c r="AC49" i="13" s="1"/>
  <c r="T51" i="13"/>
  <c r="AP24" i="13"/>
  <c r="AH5" i="13"/>
  <c r="N9" i="1" s="1"/>
  <c r="N14" i="1" s="1"/>
  <c r="AP16" i="13"/>
  <c r="AL19" i="13"/>
  <c r="AL20" i="13" s="1"/>
  <c r="AO19" i="13"/>
  <c r="AO20" i="13" s="1"/>
  <c r="AO46" i="13" a="1"/>
  <c r="AO46" i="13" s="1"/>
  <c r="AO47" i="13" s="1"/>
  <c r="AQ19" i="13"/>
  <c r="AQ20" i="13" s="1"/>
  <c r="Z20" i="6"/>
  <c r="AR17" i="6"/>
  <c r="AR15" i="6"/>
  <c r="AR16" i="6" s="1"/>
  <c r="AR19" i="6" s="1"/>
  <c r="AI17" i="6"/>
  <c r="AI15" i="6"/>
  <c r="AI16" i="6" s="1"/>
  <c r="AI19" i="6" s="1"/>
  <c r="G1" i="11"/>
  <c r="L1" i="11" s="1"/>
  <c r="D1" i="11"/>
  <c r="F24" i="9"/>
  <c r="D24" i="9"/>
  <c r="E24" i="9"/>
  <c r="C24" i="9"/>
  <c r="I24" i="9"/>
  <c r="H24" i="9"/>
  <c r="G24" i="9"/>
  <c r="C1" i="11"/>
  <c r="F40" i="8"/>
  <c r="G40" i="8"/>
  <c r="G38" i="8"/>
  <c r="G56" i="8" s="1"/>
  <c r="F38" i="8"/>
  <c r="F56" i="8" s="1"/>
  <c r="C14" i="8"/>
  <c r="G14" i="8" s="1"/>
  <c r="K14" i="8" s="1"/>
  <c r="O14" i="8" s="1"/>
  <c r="C13" i="8"/>
  <c r="G13" i="8" s="1"/>
  <c r="K13" i="8" s="1"/>
  <c r="O13" i="8" s="1"/>
  <c r="B14" i="8"/>
  <c r="F14" i="8" s="1"/>
  <c r="J14" i="8" s="1"/>
  <c r="N14" i="8" s="1"/>
  <c r="B13" i="8"/>
  <c r="F13" i="8" s="1"/>
  <c r="J13" i="8" s="1"/>
  <c r="N13" i="8" s="1"/>
  <c r="C4" i="8"/>
  <c r="B4" i="8"/>
  <c r="N2" i="8"/>
  <c r="O2" i="8" s="1"/>
  <c r="N1" i="8"/>
  <c r="J2" i="8"/>
  <c r="K2" i="8" s="1"/>
  <c r="J1" i="8"/>
  <c r="F2" i="8"/>
  <c r="G2" i="8" s="1"/>
  <c r="F1" i="8"/>
  <c r="B2" i="8"/>
  <c r="C2" i="8" s="1"/>
  <c r="B1" i="8"/>
  <c r="C20" i="8"/>
  <c r="B20" i="8"/>
  <c r="O3" i="7"/>
  <c r="U3" i="7" s="1"/>
  <c r="P3" i="7"/>
  <c r="V3" i="7" s="1"/>
  <c r="Q3" i="7"/>
  <c r="W3" i="7" s="1"/>
  <c r="H3" i="7"/>
  <c r="N3" i="7" s="1"/>
  <c r="T3" i="7" s="1"/>
  <c r="C14" i="7"/>
  <c r="I14" i="7" s="1"/>
  <c r="O14" i="7" s="1"/>
  <c r="U14" i="7" s="1"/>
  <c r="D14" i="7"/>
  <c r="J14" i="7" s="1"/>
  <c r="P14" i="7" s="1"/>
  <c r="V14" i="7" s="1"/>
  <c r="Q14" i="7"/>
  <c r="W14" i="7" s="1"/>
  <c r="B14" i="7"/>
  <c r="H14" i="7" s="1"/>
  <c r="N14" i="7" s="1"/>
  <c r="T14" i="7" s="1"/>
  <c r="C12" i="7"/>
  <c r="I12" i="7" s="1"/>
  <c r="O12" i="7" s="1"/>
  <c r="U12" i="7" s="1"/>
  <c r="U13" i="7" s="1"/>
  <c r="D12" i="7"/>
  <c r="J12" i="7" s="1"/>
  <c r="P12" i="7" s="1"/>
  <c r="V12" i="7" s="1"/>
  <c r="V13" i="7" s="1"/>
  <c r="Q12" i="7"/>
  <c r="W12" i="7" s="1"/>
  <c r="W13" i="7" s="1"/>
  <c r="B12" i="7"/>
  <c r="H12" i="7" s="1"/>
  <c r="N12" i="7" s="1"/>
  <c r="T12" i="7" s="1"/>
  <c r="T13" i="7" s="1"/>
  <c r="C5" i="7"/>
  <c r="I5" i="7" s="1"/>
  <c r="O5" i="7" s="1"/>
  <c r="U5" i="7" s="1"/>
  <c r="D5" i="7"/>
  <c r="J5" i="7" s="1"/>
  <c r="P5" i="7" s="1"/>
  <c r="V5" i="7" s="1"/>
  <c r="Q5" i="7"/>
  <c r="W5" i="7" s="1"/>
  <c r="B5" i="7"/>
  <c r="H5" i="7" s="1"/>
  <c r="N5" i="7" s="1"/>
  <c r="T5" i="7" s="1"/>
  <c r="C6" i="7"/>
  <c r="I6" i="7" s="1"/>
  <c r="O6" i="7" s="1"/>
  <c r="U6" i="7" s="1"/>
  <c r="D6" i="7"/>
  <c r="J6" i="7" s="1"/>
  <c r="P6" i="7" s="1"/>
  <c r="V6" i="7" s="1"/>
  <c r="Q6" i="7"/>
  <c r="W6" i="7" s="1"/>
  <c r="C7" i="7"/>
  <c r="I7" i="7" s="1"/>
  <c r="O7" i="7" s="1"/>
  <c r="U7" i="7" s="1"/>
  <c r="D7" i="7"/>
  <c r="J7" i="7" s="1"/>
  <c r="P7" i="7" s="1"/>
  <c r="V7" i="7" s="1"/>
  <c r="Q7" i="7"/>
  <c r="W7" i="7" s="1"/>
  <c r="B7" i="7"/>
  <c r="H7" i="7" s="1"/>
  <c r="N7" i="7" s="1"/>
  <c r="T7" i="7" s="1"/>
  <c r="H6" i="7"/>
  <c r="N6" i="7" s="1"/>
  <c r="T6" i="7" s="1"/>
  <c r="B2" i="6"/>
  <c r="T33" i="6"/>
  <c r="AC33" i="6" s="1"/>
  <c r="AL33" i="6" s="1"/>
  <c r="AL34" i="6" s="1"/>
  <c r="C31" i="6"/>
  <c r="L31" i="6" s="1"/>
  <c r="D31" i="6"/>
  <c r="M31" i="6" s="1"/>
  <c r="E31" i="6"/>
  <c r="N31" i="6" s="1"/>
  <c r="K31" i="6"/>
  <c r="K32" i="6" s="1"/>
  <c r="C30" i="6"/>
  <c r="D30" i="6"/>
  <c r="E30" i="6"/>
  <c r="G11" i="6"/>
  <c r="Q12" i="11"/>
  <c r="Q11" i="11"/>
  <c r="Q15" i="11" s="1"/>
  <c r="L12" i="11"/>
  <c r="L11" i="11"/>
  <c r="G12" i="11"/>
  <c r="G11" i="11"/>
  <c r="O12" i="8"/>
  <c r="N12" i="8"/>
  <c r="O11" i="8"/>
  <c r="N11" i="8"/>
  <c r="K12" i="8"/>
  <c r="J12" i="8"/>
  <c r="K11" i="8"/>
  <c r="J11" i="8"/>
  <c r="G12" i="8"/>
  <c r="F12" i="8"/>
  <c r="G11" i="8"/>
  <c r="F11" i="8"/>
  <c r="C12" i="8"/>
  <c r="C11" i="8"/>
  <c r="B11" i="8"/>
  <c r="B12" i="8"/>
  <c r="B15" i="5"/>
  <c r="B13" i="5"/>
  <c r="Q26" i="11"/>
  <c r="L26" i="11"/>
  <c r="S20" i="11"/>
  <c r="R20" i="11"/>
  <c r="G4" i="11"/>
  <c r="G23" i="11" s="1"/>
  <c r="N20" i="11"/>
  <c r="M20" i="11"/>
  <c r="I20" i="11"/>
  <c r="H20" i="11"/>
  <c r="B15" i="11"/>
  <c r="B26" i="11" s="1"/>
  <c r="B23" i="11"/>
  <c r="B41" i="6" l="1"/>
  <c r="AQ5" i="14"/>
  <c r="O19" i="1" s="1"/>
  <c r="AE51" i="14"/>
  <c r="AF51" i="14"/>
  <c r="L54" i="14"/>
  <c r="L55" i="14" s="1"/>
  <c r="N54" i="14"/>
  <c r="N55" i="14" s="1"/>
  <c r="M54" i="14"/>
  <c r="M55" i="14" s="1"/>
  <c r="AN48" i="14"/>
  <c r="AN49" i="14" s="1"/>
  <c r="AM48" i="14"/>
  <c r="AM49" i="14" s="1"/>
  <c r="AL48" i="14"/>
  <c r="AL49" i="14" s="1"/>
  <c r="AO48" i="14"/>
  <c r="AO49" i="14" s="1"/>
  <c r="AC51" i="14"/>
  <c r="K54" i="14"/>
  <c r="K55" i="14" s="1"/>
  <c r="AD51" i="14"/>
  <c r="AQ5" i="13"/>
  <c r="O9" i="1" s="1"/>
  <c r="O14" i="1" s="1"/>
  <c r="AE51" i="13"/>
  <c r="AF51" i="13"/>
  <c r="AC51" i="13"/>
  <c r="AN48" i="13"/>
  <c r="AN49" i="13" s="1"/>
  <c r="AM48" i="13"/>
  <c r="AM49" i="13" s="1"/>
  <c r="AL48" i="13"/>
  <c r="AL49" i="13" s="1"/>
  <c r="AO48" i="13"/>
  <c r="AO49" i="13" s="1"/>
  <c r="AD51" i="13"/>
  <c r="P11" i="6"/>
  <c r="Y11" i="6" s="1"/>
  <c r="AC34" i="6"/>
  <c r="AR20" i="6"/>
  <c r="AI20" i="6"/>
  <c r="O64" i="8"/>
  <c r="N64" i="8"/>
  <c r="J64" i="8"/>
  <c r="G64" i="8"/>
  <c r="K64" i="8"/>
  <c r="F64" i="8"/>
  <c r="B24" i="9"/>
  <c r="B36" i="1" s="1"/>
  <c r="I1" i="11"/>
  <c r="H1" i="11"/>
  <c r="K1" i="8"/>
  <c r="O1" i="8"/>
  <c r="K38" i="8"/>
  <c r="K56" i="8" s="1"/>
  <c r="G52" i="8"/>
  <c r="G45" i="8"/>
  <c r="B64" i="8"/>
  <c r="C64" i="8"/>
  <c r="G1" i="8"/>
  <c r="G44" i="8" s="1"/>
  <c r="F44" i="8"/>
  <c r="J38" i="8"/>
  <c r="J56" i="8" s="1"/>
  <c r="F52" i="8"/>
  <c r="F45" i="8"/>
  <c r="C1" i="8"/>
  <c r="C44" i="8" s="1"/>
  <c r="B44" i="8"/>
  <c r="K40" i="8"/>
  <c r="J40" i="8"/>
  <c r="J44" i="8" s="1"/>
  <c r="J25" i="8"/>
  <c r="N25" i="8"/>
  <c r="T17" i="7"/>
  <c r="N17" i="7"/>
  <c r="G15" i="11"/>
  <c r="G26" i="11" s="1"/>
  <c r="L15" i="11"/>
  <c r="K30" i="6"/>
  <c r="N30" i="6"/>
  <c r="L30" i="6"/>
  <c r="M30" i="6"/>
  <c r="L4" i="11"/>
  <c r="Q1" i="11"/>
  <c r="R4" i="11"/>
  <c r="AE30" i="6" l="1"/>
  <c r="V30" i="6"/>
  <c r="AN30" i="6" s="1"/>
  <c r="AD30" i="6"/>
  <c r="U30" i="6"/>
  <c r="AM30" i="6" s="1"/>
  <c r="AF30" i="6"/>
  <c r="W30" i="6"/>
  <c r="AO30" i="6" s="1"/>
  <c r="AC30" i="6"/>
  <c r="T30" i="6"/>
  <c r="AL30" i="6" s="1"/>
  <c r="AN51" i="14"/>
  <c r="AO51" i="14"/>
  <c r="AM51" i="14"/>
  <c r="AL51" i="14"/>
  <c r="AN51" i="13"/>
  <c r="AO51" i="13"/>
  <c r="AL51" i="13"/>
  <c r="AM51" i="13"/>
  <c r="Y23" i="6"/>
  <c r="P13" i="6"/>
  <c r="P18" i="6" s="1"/>
  <c r="Y13" i="6"/>
  <c r="Y18" i="6" s="1"/>
  <c r="AH11" i="6"/>
  <c r="AH23" i="6"/>
  <c r="F65" i="8"/>
  <c r="J65" i="8"/>
  <c r="G65" i="8"/>
  <c r="C22" i="8"/>
  <c r="L23" i="11"/>
  <c r="Q4" i="11"/>
  <c r="Q23" i="11" s="1"/>
  <c r="M1" i="11"/>
  <c r="H3" i="11"/>
  <c r="N1" i="11"/>
  <c r="I3" i="11"/>
  <c r="C65" i="8"/>
  <c r="O38" i="8"/>
  <c r="O56" i="8" s="1"/>
  <c r="K52" i="8"/>
  <c r="K45" i="8"/>
  <c r="B65" i="8"/>
  <c r="N38" i="8"/>
  <c r="N56" i="8" s="1"/>
  <c r="J52" i="8"/>
  <c r="J45" i="8"/>
  <c r="K44" i="8"/>
  <c r="K65" i="8" s="1"/>
  <c r="N40" i="8"/>
  <c r="N44" i="8" s="1"/>
  <c r="N65" i="8" s="1"/>
  <c r="O40" i="8"/>
  <c r="O44" i="8" s="1"/>
  <c r="O65" i="8" s="1"/>
  <c r="S4" i="11"/>
  <c r="P17" i="6" l="1"/>
  <c r="P15" i="6"/>
  <c r="Y17" i="6"/>
  <c r="Y15" i="6"/>
  <c r="AH13" i="6"/>
  <c r="AQ11" i="6"/>
  <c r="AQ23" i="6"/>
  <c r="R1" i="11"/>
  <c r="S1" i="11"/>
  <c r="G3" i="11"/>
  <c r="N45" i="8"/>
  <c r="N52" i="8"/>
  <c r="O52" i="8"/>
  <c r="O45" i="8"/>
  <c r="N23" i="6"/>
  <c r="B14" i="9"/>
  <c r="B4" i="9"/>
  <c r="F25" i="8"/>
  <c r="B22" i="8"/>
  <c r="C21" i="8"/>
  <c r="B21" i="8"/>
  <c r="O15" i="8"/>
  <c r="O25" i="8" s="1"/>
  <c r="N15" i="8"/>
  <c r="K15" i="8"/>
  <c r="K25" i="8" s="1"/>
  <c r="J15" i="8"/>
  <c r="G15" i="8"/>
  <c r="G25" i="8" s="1"/>
  <c r="F15" i="8"/>
  <c r="C15" i="8"/>
  <c r="C25" i="8" s="1"/>
  <c r="B15" i="8"/>
  <c r="B25" i="8" s="1"/>
  <c r="G4" i="8"/>
  <c r="K4" i="8" s="1"/>
  <c r="F4" i="8"/>
  <c r="C3" i="8"/>
  <c r="C46" i="8" s="1"/>
  <c r="C47" i="8" s="1"/>
  <c r="B3" i="8"/>
  <c r="B46" i="8" s="1"/>
  <c r="W19" i="7"/>
  <c r="V19" i="7"/>
  <c r="U19" i="7"/>
  <c r="T19" i="7"/>
  <c r="Q19" i="7"/>
  <c r="P19" i="7"/>
  <c r="O19" i="7"/>
  <c r="N19" i="7"/>
  <c r="K19" i="7"/>
  <c r="J19" i="7"/>
  <c r="I19" i="7"/>
  <c r="H19" i="7"/>
  <c r="W15" i="7"/>
  <c r="W16" i="7" s="1"/>
  <c r="V15" i="7"/>
  <c r="V16" i="7" s="1"/>
  <c r="U15" i="7"/>
  <c r="U16" i="7" s="1"/>
  <c r="T15" i="7"/>
  <c r="T16" i="7" s="1"/>
  <c r="T18" i="7" s="1"/>
  <c r="Q13" i="7"/>
  <c r="Q15" i="7" s="1"/>
  <c r="Q16" i="7" s="1"/>
  <c r="P13" i="7"/>
  <c r="P15" i="7" s="1"/>
  <c r="P16" i="7" s="1"/>
  <c r="O13" i="7"/>
  <c r="O15" i="7" s="1"/>
  <c r="O16" i="7" s="1"/>
  <c r="N13" i="7"/>
  <c r="N15" i="7" s="1"/>
  <c r="N16" i="7" s="1"/>
  <c r="K13" i="7"/>
  <c r="K15" i="7" s="1"/>
  <c r="K16" i="7" s="1"/>
  <c r="J13" i="7"/>
  <c r="J15" i="7" s="1"/>
  <c r="J16" i="7" s="1"/>
  <c r="I13" i="7"/>
  <c r="I15" i="7" s="1"/>
  <c r="I16" i="7" s="1"/>
  <c r="H13" i="7"/>
  <c r="H15" i="7" s="1"/>
  <c r="H16" i="7" s="1"/>
  <c r="D13" i="7"/>
  <c r="D15" i="7" s="1"/>
  <c r="D16" i="7" s="1"/>
  <c r="C13" i="7"/>
  <c r="C15" i="7" s="1"/>
  <c r="C16" i="7" s="1"/>
  <c r="B13" i="7"/>
  <c r="B15" i="7" s="1"/>
  <c r="B16" i="7" s="1"/>
  <c r="W8" i="7"/>
  <c r="W17" i="7" s="1"/>
  <c r="V8" i="7"/>
  <c r="V17" i="7" s="1"/>
  <c r="U8" i="7"/>
  <c r="U17" i="7" s="1"/>
  <c r="T8" i="7"/>
  <c r="Q8" i="7"/>
  <c r="Q17" i="7" s="1"/>
  <c r="P8" i="7"/>
  <c r="P17" i="7" s="1"/>
  <c r="O8" i="7"/>
  <c r="O17" i="7" s="1"/>
  <c r="N8" i="7"/>
  <c r="K8" i="7"/>
  <c r="K17" i="7" s="1"/>
  <c r="J8" i="7"/>
  <c r="J17" i="7" s="1"/>
  <c r="I8" i="7"/>
  <c r="I17" i="7" s="1"/>
  <c r="H8" i="7"/>
  <c r="H17" i="7" s="1"/>
  <c r="D8" i="7"/>
  <c r="D17" i="7" s="1"/>
  <c r="C8" i="7"/>
  <c r="C17" i="7" s="1"/>
  <c r="B8" i="7"/>
  <c r="B38" i="6"/>
  <c r="K37" i="6"/>
  <c r="T34" i="6"/>
  <c r="K34" i="6"/>
  <c r="B34" i="6"/>
  <c r="B32" i="6"/>
  <c r="B50" i="6" s="1"/>
  <c r="A28" i="6"/>
  <c r="A58" i="6" s="1"/>
  <c r="J58" i="6" s="1"/>
  <c r="S58" i="6" s="1"/>
  <c r="AB58" i="6" s="1"/>
  <c r="AK58" i="6" s="1"/>
  <c r="F24" i="6"/>
  <c r="P23" i="6"/>
  <c r="N12" i="6"/>
  <c r="M12" i="6"/>
  <c r="L12" i="6"/>
  <c r="G12" i="6"/>
  <c r="E12" i="6"/>
  <c r="E13" i="6" s="1"/>
  <c r="D12" i="6"/>
  <c r="C12" i="6"/>
  <c r="B12" i="6"/>
  <c r="B13" i="6" s="1"/>
  <c r="N11" i="6"/>
  <c r="M11" i="6"/>
  <c r="L23" i="6"/>
  <c r="J9" i="6"/>
  <c r="S9" i="6" s="1"/>
  <c r="AB9" i="6" s="1"/>
  <c r="AK9" i="6" s="1"/>
  <c r="B14" i="5"/>
  <c r="B38" i="2"/>
  <c r="C31" i="2"/>
  <c r="B31" i="2" s="1"/>
  <c r="B25" i="2"/>
  <c r="R17" i="2"/>
  <c r="Q17" i="2"/>
  <c r="P17" i="2"/>
  <c r="O17" i="2"/>
  <c r="N17" i="2"/>
  <c r="M17" i="2"/>
  <c r="L17" i="2"/>
  <c r="K17" i="2"/>
  <c r="J17" i="2"/>
  <c r="B9" i="9" s="1"/>
  <c r="I17" i="2"/>
  <c r="H17" i="2"/>
  <c r="G17" i="2"/>
  <c r="F17" i="2"/>
  <c r="E17" i="2"/>
  <c r="D17" i="2"/>
  <c r="C17" i="2"/>
  <c r="AQ13" i="6" l="1"/>
  <c r="AQ15" i="6" s="1"/>
  <c r="J28" i="6"/>
  <c r="S28" i="6" s="1"/>
  <c r="AB28" i="6" s="1"/>
  <c r="AK28" i="6" s="1"/>
  <c r="T37" i="6"/>
  <c r="L37" i="6"/>
  <c r="G13" i="6"/>
  <c r="G17" i="6" s="1"/>
  <c r="T38" i="6"/>
  <c r="AC37" i="6"/>
  <c r="AH18" i="6"/>
  <c r="AH15" i="6"/>
  <c r="AH17" i="6"/>
  <c r="V23" i="6"/>
  <c r="V11" i="6"/>
  <c r="W23" i="6"/>
  <c r="W11" i="6"/>
  <c r="B16" i="5"/>
  <c r="B21" i="5"/>
  <c r="H18" i="7"/>
  <c r="H20" i="7" s="1"/>
  <c r="H21" i="7" s="1" a="1"/>
  <c r="H21" i="7" s="1"/>
  <c r="H22" i="7" s="1"/>
  <c r="H23" i="7" s="1"/>
  <c r="K38" i="6"/>
  <c r="K50" i="6" s="1"/>
  <c r="K23" i="6"/>
  <c r="F11" i="6"/>
  <c r="F13" i="6" s="1"/>
  <c r="F14" i="6" s="1" a="1"/>
  <c r="F14" i="6" s="1"/>
  <c r="F15" i="6" s="1"/>
  <c r="Q18" i="7"/>
  <c r="Q20" i="7" s="1"/>
  <c r="Q21" i="7" s="1" a="1"/>
  <c r="Q21" i="7" s="1"/>
  <c r="B17" i="2"/>
  <c r="U18" i="7"/>
  <c r="U20" i="7" s="1"/>
  <c r="U21" i="7" s="1" a="1"/>
  <c r="U21" i="7" s="1"/>
  <c r="N18" i="7"/>
  <c r="N20" i="7" s="1"/>
  <c r="N21" i="7" s="1" a="1"/>
  <c r="N21" i="7" s="1"/>
  <c r="N22" i="7" s="1"/>
  <c r="O18" i="7"/>
  <c r="O20" i="7" s="1"/>
  <c r="O21" i="7" s="1" a="1"/>
  <c r="O21" i="7" s="1"/>
  <c r="P18" i="7"/>
  <c r="P20" i="7" s="1"/>
  <c r="P21" i="7" s="1" a="1"/>
  <c r="P21" i="7" s="1"/>
  <c r="V18" i="7"/>
  <c r="V20" i="7" s="1"/>
  <c r="W18" i="7"/>
  <c r="W20" i="7" s="1"/>
  <c r="W21" i="7" s="1" a="1"/>
  <c r="W21" i="7" s="1"/>
  <c r="C18" i="7"/>
  <c r="C20" i="7" s="1"/>
  <c r="B23" i="8"/>
  <c r="B24" i="8" s="1"/>
  <c r="B26" i="8" s="1"/>
  <c r="B28" i="8" s="1"/>
  <c r="B47" i="8"/>
  <c r="G3" i="8"/>
  <c r="G46" i="8" s="1"/>
  <c r="G47" i="8" s="1"/>
  <c r="G22" i="8"/>
  <c r="F20" i="8"/>
  <c r="F27" i="8" s="1"/>
  <c r="G20" i="8"/>
  <c r="G21" i="8" s="1"/>
  <c r="F22" i="8"/>
  <c r="J4" i="8"/>
  <c r="T20" i="7"/>
  <c r="I18" i="7"/>
  <c r="I20" i="7" s="1"/>
  <c r="O4" i="8"/>
  <c r="C23" i="8"/>
  <c r="C24" i="8" s="1"/>
  <c r="C26" i="8" s="1"/>
  <c r="C28" i="8" s="1"/>
  <c r="K18" i="7"/>
  <c r="K20" i="7" s="1"/>
  <c r="E17" i="6"/>
  <c r="E14" i="6" a="1"/>
  <c r="E14" i="6" s="1"/>
  <c r="E15" i="6" s="1"/>
  <c r="E16" i="6" s="1"/>
  <c r="D18" i="7"/>
  <c r="D20" i="7" s="1"/>
  <c r="L11" i="6"/>
  <c r="N13" i="6"/>
  <c r="J18" i="7"/>
  <c r="J20" i="7" s="1"/>
  <c r="M23" i="6"/>
  <c r="M13" i="6" s="1"/>
  <c r="M14" i="6" s="1" a="1"/>
  <c r="M14" i="6" s="1"/>
  <c r="F3" i="8"/>
  <c r="F46" i="8" s="1"/>
  <c r="F47" i="8" s="1"/>
  <c r="B5" i="9"/>
  <c r="K11" i="6"/>
  <c r="D13" i="6"/>
  <c r="B65" i="6"/>
  <c r="B5" i="5"/>
  <c r="G57" i="8" a="1"/>
  <c r="C57" i="8" a="1"/>
  <c r="D10" i="11" a="1"/>
  <c r="B61" i="6"/>
  <c r="D61" i="6"/>
  <c r="E61" i="6"/>
  <c r="C65" i="6"/>
  <c r="C39" i="8" a="1"/>
  <c r="B57" i="8" a="1"/>
  <c r="B65" i="13"/>
  <c r="C3" i="13"/>
  <c r="O57" i="8" a="1"/>
  <c r="N57" i="8" a="1"/>
  <c r="E65" i="13"/>
  <c r="D65" i="6"/>
  <c r="D61" i="13"/>
  <c r="B60" i="6"/>
  <c r="E65" i="6"/>
  <c r="E61" i="13"/>
  <c r="B39" i="8" a="1"/>
  <c r="F57" i="8" a="1"/>
  <c r="C65" i="13"/>
  <c r="B60" i="13"/>
  <c r="C60" i="13"/>
  <c r="K57" i="8" a="1"/>
  <c r="D65" i="13"/>
  <c r="C60" i="6"/>
  <c r="D60" i="13"/>
  <c r="J57" i="8" a="1"/>
  <c r="C17" i="11" a="1"/>
  <c r="B61" i="13"/>
  <c r="C61" i="13"/>
  <c r="C3" i="6"/>
  <c r="E60" i="13"/>
  <c r="D17" i="11" a="1"/>
  <c r="C10" i="11" a="1"/>
  <c r="C61" i="6"/>
  <c r="D60" i="6"/>
  <c r="E60" i="6"/>
  <c r="B71" i="6" l="1"/>
  <c r="B73" i="6" s="1"/>
  <c r="B75" i="6" s="1"/>
  <c r="B78" i="6" s="1"/>
  <c r="B71" i="13"/>
  <c r="B73" i="13" s="1"/>
  <c r="B75" i="13" s="1"/>
  <c r="K61" i="13"/>
  <c r="K60" i="13"/>
  <c r="K65" i="13"/>
  <c r="K66" i="13" s="1"/>
  <c r="K80" i="13" s="1"/>
  <c r="L61" i="13"/>
  <c r="N60" i="13"/>
  <c r="W60" i="13" s="1"/>
  <c r="AF60" i="13" s="1"/>
  <c r="AO60" i="13" s="1"/>
  <c r="M60" i="13"/>
  <c r="V60" i="13" s="1"/>
  <c r="AE60" i="13" s="1"/>
  <c r="AN60" i="13" s="1"/>
  <c r="N65" i="13"/>
  <c r="W65" i="13" s="1"/>
  <c r="AF65" i="13" s="1"/>
  <c r="AO65" i="13" s="1"/>
  <c r="L60" i="13"/>
  <c r="U60" i="13" s="1"/>
  <c r="AD60" i="13" s="1"/>
  <c r="AM60" i="13" s="1"/>
  <c r="M65" i="13"/>
  <c r="V65" i="13" s="1"/>
  <c r="AE65" i="13" s="1"/>
  <c r="AN65" i="13" s="1"/>
  <c r="L65" i="13"/>
  <c r="U65" i="13" s="1"/>
  <c r="AD65" i="13" s="1"/>
  <c r="AM65" i="13" s="1"/>
  <c r="N61" i="13"/>
  <c r="M61" i="13"/>
  <c r="L41" i="6"/>
  <c r="M41" i="6"/>
  <c r="N41" i="6"/>
  <c r="N65" i="6"/>
  <c r="W65" i="6" s="1"/>
  <c r="AF65" i="6" s="1"/>
  <c r="AO65" i="6" s="1"/>
  <c r="M65" i="6"/>
  <c r="V65" i="6" s="1"/>
  <c r="AE65" i="6" s="1"/>
  <c r="AN65" i="6" s="1"/>
  <c r="L65" i="6"/>
  <c r="U65" i="6" s="1"/>
  <c r="AD65" i="6" s="1"/>
  <c r="AM65" i="6" s="1"/>
  <c r="K65" i="6"/>
  <c r="N61" i="6"/>
  <c r="M61" i="6"/>
  <c r="L61" i="6"/>
  <c r="B62" i="6"/>
  <c r="K61" i="6"/>
  <c r="K62" i="6" s="1"/>
  <c r="N60" i="6"/>
  <c r="W60" i="6" s="1"/>
  <c r="AF60" i="6" s="1"/>
  <c r="AO60" i="6" s="1"/>
  <c r="M60" i="6"/>
  <c r="V60" i="6" s="1"/>
  <c r="AE60" i="6" s="1"/>
  <c r="AN60" i="6" s="1"/>
  <c r="L60" i="6"/>
  <c r="U60" i="6" s="1"/>
  <c r="AD60" i="6" s="1"/>
  <c r="AM60" i="6" s="1"/>
  <c r="K60" i="6"/>
  <c r="AQ18" i="6"/>
  <c r="AQ17" i="6"/>
  <c r="G15" i="6"/>
  <c r="G16" i="6" s="1"/>
  <c r="P24" i="6" s="1"/>
  <c r="P16" i="6" s="1"/>
  <c r="Y24" i="6" s="1"/>
  <c r="Y16" i="6" s="1"/>
  <c r="A70" i="6"/>
  <c r="J70" i="6" s="1"/>
  <c r="S70" i="6" s="1"/>
  <c r="AB70" i="6" s="1"/>
  <c r="AK70" i="6" s="1"/>
  <c r="U37" i="6"/>
  <c r="AD37" i="6" s="1"/>
  <c r="AM37" i="6" s="1"/>
  <c r="M37" i="6"/>
  <c r="B43" i="6"/>
  <c r="AC38" i="6"/>
  <c r="AC50" i="6" s="1"/>
  <c r="AL37" i="6"/>
  <c r="G18" i="6"/>
  <c r="B17" i="6"/>
  <c r="K41" i="6"/>
  <c r="D17" i="11"/>
  <c r="C17" i="11"/>
  <c r="D10" i="11"/>
  <c r="AF11" i="6"/>
  <c r="AF23" i="6"/>
  <c r="AE11" i="6"/>
  <c r="AE23" i="6"/>
  <c r="B10" i="9"/>
  <c r="B8" i="9"/>
  <c r="W13" i="6"/>
  <c r="W17" i="6" s="1"/>
  <c r="V13" i="6"/>
  <c r="V17" i="6" s="1"/>
  <c r="T11" i="6"/>
  <c r="T23" i="6"/>
  <c r="U23" i="6"/>
  <c r="U11" i="6"/>
  <c r="K12" i="6"/>
  <c r="K13" i="6" s="1"/>
  <c r="K14" i="6" s="1" a="1"/>
  <c r="K14" i="6" s="1"/>
  <c r="C10" i="11"/>
  <c r="O57" i="8"/>
  <c r="N57" i="8"/>
  <c r="J57" i="8"/>
  <c r="K57" i="8"/>
  <c r="F57" i="8"/>
  <c r="G57" i="8"/>
  <c r="C57" i="8"/>
  <c r="B57" i="8"/>
  <c r="C39" i="8"/>
  <c r="B39" i="8"/>
  <c r="B3" i="9"/>
  <c r="F23" i="6"/>
  <c r="B17" i="5"/>
  <c r="B18" i="5" s="1"/>
  <c r="B19" i="5" s="1" a="1"/>
  <c r="B19" i="5" s="1"/>
  <c r="B20" i="5" s="1"/>
  <c r="B22" i="5" s="1"/>
  <c r="B28" i="1" s="1"/>
  <c r="K3" i="8"/>
  <c r="K46" i="8" s="1"/>
  <c r="K47" i="8" s="1"/>
  <c r="B14" i="6" a="1"/>
  <c r="B14" i="6" s="1"/>
  <c r="F21" i="8"/>
  <c r="C21" i="7" a="1"/>
  <c r="C21" i="7" s="1"/>
  <c r="C22" i="7" s="1"/>
  <c r="C23" i="7" s="1"/>
  <c r="O22" i="7"/>
  <c r="O23" i="7" s="1"/>
  <c r="P22" i="7"/>
  <c r="P23" i="7" s="1"/>
  <c r="P24" i="7" s="1"/>
  <c r="P25" i="7" s="1"/>
  <c r="Q22" i="7"/>
  <c r="Q23" i="7" s="1"/>
  <c r="Q24" i="7" s="1"/>
  <c r="Q25" i="7" s="1"/>
  <c r="G23" i="8"/>
  <c r="G24" i="8" s="1"/>
  <c r="G26" i="8" s="1"/>
  <c r="G27" i="8"/>
  <c r="K22" i="8"/>
  <c r="K20" i="8"/>
  <c r="C13" i="6"/>
  <c r="H24" i="7"/>
  <c r="H25" i="7" s="1"/>
  <c r="B10" i="1" s="1"/>
  <c r="E19" i="6"/>
  <c r="E20" i="6" s="1"/>
  <c r="N24" i="6"/>
  <c r="K21" i="7" a="1"/>
  <c r="K21" i="7" s="1"/>
  <c r="T21" i="7" a="1"/>
  <c r="T21" i="7" s="1"/>
  <c r="N4" i="8"/>
  <c r="J22" i="8"/>
  <c r="N17" i="6"/>
  <c r="O23" i="6"/>
  <c r="B29" i="8" a="1"/>
  <c r="B29" i="8" s="1"/>
  <c r="B30" i="8" s="1" a="1"/>
  <c r="B30" i="8" s="1"/>
  <c r="B31" i="8" s="1"/>
  <c r="J20" i="8"/>
  <c r="J3" i="8"/>
  <c r="J46" i="8" s="1"/>
  <c r="J47" i="8" s="1"/>
  <c r="M15" i="6"/>
  <c r="M16" i="6" s="1"/>
  <c r="V24" i="6" s="1"/>
  <c r="M17" i="6"/>
  <c r="V21" i="7" a="1"/>
  <c r="V21" i="7" s="1"/>
  <c r="N23" i="7"/>
  <c r="N14" i="6" a="1"/>
  <c r="N14" i="6" s="1"/>
  <c r="N15" i="6" s="1"/>
  <c r="N16" i="6" s="1"/>
  <c r="W24" i="6" s="1"/>
  <c r="L13" i="6"/>
  <c r="L14" i="6" s="1" a="1"/>
  <c r="L14" i="6" s="1"/>
  <c r="D21" i="7" a="1"/>
  <c r="D21" i="7" s="1"/>
  <c r="D22" i="7" s="1"/>
  <c r="D23" i="7" s="1"/>
  <c r="C29" i="8" a="1"/>
  <c r="C29" i="8" s="1"/>
  <c r="C30" i="8" s="1" a="1"/>
  <c r="C30" i="8" s="1"/>
  <c r="C31" i="8" s="1"/>
  <c r="O22" i="8"/>
  <c r="O11" i="6"/>
  <c r="M72" i="6" s="1"/>
  <c r="D14" i="6" a="1"/>
  <c r="D14" i="6" s="1"/>
  <c r="D15" i="6" s="1"/>
  <c r="D16" i="6" s="1"/>
  <c r="D17" i="6"/>
  <c r="J21" i="7" a="1"/>
  <c r="J21" i="7" s="1"/>
  <c r="I21" i="7" a="1"/>
  <c r="I21" i="7" s="1"/>
  <c r="I22" i="7" s="1"/>
  <c r="I23" i="7" s="1"/>
  <c r="E65" i="14"/>
  <c r="C3" i="14"/>
  <c r="B60" i="14"/>
  <c r="C60" i="14"/>
  <c r="D65" i="14"/>
  <c r="E61" i="14"/>
  <c r="C65" i="14"/>
  <c r="B65" i="14"/>
  <c r="E60" i="14"/>
  <c r="C61" i="14"/>
  <c r="D61" i="14"/>
  <c r="B61" i="14"/>
  <c r="D60" i="14"/>
  <c r="B45" i="6" l="1"/>
  <c r="B46" i="6" s="1" a="1"/>
  <c r="B46" i="6" s="1"/>
  <c r="B47" i="6" s="1"/>
  <c r="B15" i="6"/>
  <c r="B16" i="6" s="1"/>
  <c r="M60" i="14"/>
  <c r="V60" i="14" s="1"/>
  <c r="AE60" i="14" s="1"/>
  <c r="AN60" i="14" s="1"/>
  <c r="B62" i="14"/>
  <c r="K61" i="14"/>
  <c r="K62" i="14" s="1"/>
  <c r="M61" i="14"/>
  <c r="L61" i="14"/>
  <c r="N60" i="14"/>
  <c r="W60" i="14" s="1"/>
  <c r="AF60" i="14" s="1"/>
  <c r="AO60" i="14" s="1"/>
  <c r="K65" i="14"/>
  <c r="T65" i="14" s="1"/>
  <c r="AC65" i="14" s="1"/>
  <c r="AL65" i="14" s="1"/>
  <c r="L65" i="14"/>
  <c r="U65" i="14" s="1"/>
  <c r="AD65" i="14" s="1"/>
  <c r="AM65" i="14" s="1"/>
  <c r="N61" i="14"/>
  <c r="M65" i="14"/>
  <c r="V65" i="14" s="1"/>
  <c r="AE65" i="14" s="1"/>
  <c r="AN65" i="14" s="1"/>
  <c r="L60" i="14"/>
  <c r="U60" i="14" s="1"/>
  <c r="AD60" i="14" s="1"/>
  <c r="AM60" i="14" s="1"/>
  <c r="B71" i="14"/>
  <c r="B73" i="14" s="1"/>
  <c r="B75" i="14" s="1"/>
  <c r="K60" i="14"/>
  <c r="N65" i="14"/>
  <c r="W65" i="14" s="1"/>
  <c r="AF65" i="14" s="1"/>
  <c r="AO65" i="14" s="1"/>
  <c r="L71" i="6"/>
  <c r="L73" i="6" s="1"/>
  <c r="L75" i="6" s="1"/>
  <c r="L76" i="6" s="1" a="1"/>
  <c r="L76" i="6" s="1"/>
  <c r="L77" i="6" s="1"/>
  <c r="M71" i="6"/>
  <c r="M73" i="6" s="1"/>
  <c r="M75" i="6" s="1"/>
  <c r="N71" i="6"/>
  <c r="B78" i="13"/>
  <c r="B77" i="13"/>
  <c r="K71" i="13"/>
  <c r="K73" i="13" s="1"/>
  <c r="K75" i="13" s="1"/>
  <c r="T65" i="13"/>
  <c r="T60" i="13"/>
  <c r="M71" i="13"/>
  <c r="M73" i="13" s="1"/>
  <c r="M75" i="13" s="1"/>
  <c r="L71" i="13"/>
  <c r="L73" i="13" s="1"/>
  <c r="L75" i="13" s="1"/>
  <c r="N71" i="13"/>
  <c r="N73" i="13" s="1"/>
  <c r="N75" i="13" s="1"/>
  <c r="N72" i="6"/>
  <c r="M42" i="6"/>
  <c r="M43" i="6" s="1"/>
  <c r="M45" i="6" s="1"/>
  <c r="N42" i="6"/>
  <c r="N43" i="6" s="1"/>
  <c r="N45" i="6" s="1"/>
  <c r="T60" i="6"/>
  <c r="AC60" i="6" s="1"/>
  <c r="AL60" i="6" s="1"/>
  <c r="K71" i="6"/>
  <c r="K73" i="6" s="1"/>
  <c r="K75" i="6" s="1"/>
  <c r="K76" i="6" s="1" a="1"/>
  <c r="K76" i="6" s="1"/>
  <c r="K77" i="6" s="1"/>
  <c r="G19" i="6"/>
  <c r="G20" i="6" s="1"/>
  <c r="K66" i="6"/>
  <c r="K80" i="6" s="1"/>
  <c r="T65" i="6"/>
  <c r="O13" i="6"/>
  <c r="O14" i="6" s="1" a="1"/>
  <c r="O14" i="6" s="1"/>
  <c r="O15" i="6" s="1"/>
  <c r="N37" i="6"/>
  <c r="W37" i="6" s="1"/>
  <c r="AF37" i="6" s="1"/>
  <c r="AO37" i="6" s="1"/>
  <c r="V37" i="6"/>
  <c r="AE37" i="6" s="1"/>
  <c r="AN37" i="6" s="1"/>
  <c r="C17" i="6"/>
  <c r="L43" i="6"/>
  <c r="L45" i="6" s="1"/>
  <c r="W41" i="6"/>
  <c r="V41" i="6"/>
  <c r="U41" i="6"/>
  <c r="T41" i="6"/>
  <c r="T12" i="6"/>
  <c r="T13" i="6" s="1"/>
  <c r="T17" i="6" s="1"/>
  <c r="AH24" i="6"/>
  <c r="AH16" i="6" s="1"/>
  <c r="B59" i="8" a="1"/>
  <c r="B59" i="8" s="1"/>
  <c r="B60" i="8" a="1"/>
  <c r="B60" i="8" s="1"/>
  <c r="C59" i="8" a="1"/>
  <c r="C59" i="8" s="1"/>
  <c r="C60" i="8" a="1"/>
  <c r="C60" i="8" s="1"/>
  <c r="K59" i="8" a="1"/>
  <c r="K59" i="8" s="1"/>
  <c r="K60" i="8" a="1"/>
  <c r="K60" i="8" s="1"/>
  <c r="G59" i="8" a="1"/>
  <c r="G59" i="8" s="1"/>
  <c r="G60" i="8" a="1"/>
  <c r="G60" i="8" s="1"/>
  <c r="J59" i="8" a="1"/>
  <c r="J59" i="8" s="1"/>
  <c r="J60" i="8" a="1"/>
  <c r="J60" i="8" s="1"/>
  <c r="F59" i="8" a="1"/>
  <c r="F59" i="8" s="1"/>
  <c r="F60" i="8" a="1"/>
  <c r="F60" i="8" s="1"/>
  <c r="N59" i="8" a="1"/>
  <c r="N59" i="8" s="1"/>
  <c r="N60" i="8" a="1"/>
  <c r="N60" i="8" s="1"/>
  <c r="C39" i="11" a="1"/>
  <c r="C39" i="11" s="1"/>
  <c r="C40" i="11" a="1"/>
  <c r="C40" i="11" s="1"/>
  <c r="O59" i="8" a="1"/>
  <c r="O59" i="8" s="1"/>
  <c r="O60" i="8" a="1"/>
  <c r="O60" i="8" s="1"/>
  <c r="D39" i="11" a="1"/>
  <c r="D39" i="11" s="1"/>
  <c r="D40" i="11" a="1"/>
  <c r="D40" i="11" s="1"/>
  <c r="AE13" i="6"/>
  <c r="AE17" i="6" s="1"/>
  <c r="AN11" i="6"/>
  <c r="AN23" i="6"/>
  <c r="AF13" i="6"/>
  <c r="AF17" i="6" s="1"/>
  <c r="AO23" i="6"/>
  <c r="AO11" i="6"/>
  <c r="AD11" i="6"/>
  <c r="AD23" i="6"/>
  <c r="B6" i="9"/>
  <c r="B7" i="9" s="1"/>
  <c r="B33" i="1"/>
  <c r="AC23" i="6"/>
  <c r="AC11" i="6"/>
  <c r="D2" i="11"/>
  <c r="I2" i="11" s="1"/>
  <c r="N2" i="11" s="1"/>
  <c r="D3" i="11"/>
  <c r="W14" i="6" a="1"/>
  <c r="W14" i="6" s="1"/>
  <c r="W15" i="6" s="1"/>
  <c r="W16" i="6" s="1"/>
  <c r="V14" i="6" a="1"/>
  <c r="V14" i="6" s="1"/>
  <c r="V15" i="6" s="1"/>
  <c r="V16" i="6" s="1"/>
  <c r="X23" i="6"/>
  <c r="Y19" i="6"/>
  <c r="Y20" i="6" s="1"/>
  <c r="U13" i="6"/>
  <c r="X11" i="6"/>
  <c r="W72" i="6" s="1"/>
  <c r="P19" i="6"/>
  <c r="P20" i="6" s="1"/>
  <c r="B48" i="8"/>
  <c r="B49" i="8" s="1"/>
  <c r="B50" i="8" s="1" a="1"/>
  <c r="B50" i="8" s="1"/>
  <c r="B51" i="8" s="1"/>
  <c r="B53" i="8" s="1"/>
  <c r="F39" i="8"/>
  <c r="C48" i="8"/>
  <c r="C49" i="8" s="1"/>
  <c r="C50" i="8" s="1" a="1"/>
  <c r="C50" i="8" s="1"/>
  <c r="C51" i="8" s="1"/>
  <c r="C53" i="8" s="1"/>
  <c r="G39" i="8"/>
  <c r="C2" i="11"/>
  <c r="C3" i="11"/>
  <c r="H17" i="11"/>
  <c r="H40" i="11" s="1" a="1"/>
  <c r="H40" i="11" s="1"/>
  <c r="I17" i="11"/>
  <c r="I40" i="11" s="1" a="1"/>
  <c r="I40" i="11" s="1"/>
  <c r="F23" i="8"/>
  <c r="F24" i="8" s="1"/>
  <c r="F26" i="8" s="1"/>
  <c r="F28" i="8" s="1"/>
  <c r="F29" i="8" s="1" a="1"/>
  <c r="F29" i="8" s="1"/>
  <c r="F30" i="8" s="1" a="1"/>
  <c r="F30" i="8" s="1"/>
  <c r="F31" i="8" s="1"/>
  <c r="O3" i="8"/>
  <c r="O46" i="8" s="1"/>
  <c r="O47" i="8" s="1"/>
  <c r="O20" i="8"/>
  <c r="O21" i="8" s="1"/>
  <c r="G28" i="8"/>
  <c r="G29" i="8" s="1" a="1"/>
  <c r="G29" i="8" s="1"/>
  <c r="G30" i="8" s="1" a="1"/>
  <c r="G30" i="8" s="1"/>
  <c r="G31" i="8" s="1"/>
  <c r="C14" i="6" a="1"/>
  <c r="C14" i="6" s="1"/>
  <c r="C15" i="6" s="1"/>
  <c r="C16" i="6" s="1"/>
  <c r="L24" i="6" s="1"/>
  <c r="K22" i="7"/>
  <c r="K23" i="7" s="1"/>
  <c r="K24" i="7" s="1"/>
  <c r="K25" i="7" s="1"/>
  <c r="J22" i="7"/>
  <c r="J23" i="7" s="1"/>
  <c r="J24" i="7" s="1"/>
  <c r="J25" i="7" s="1"/>
  <c r="C24" i="7"/>
  <c r="C25" i="7" s="1"/>
  <c r="B12" i="1" s="1"/>
  <c r="O24" i="7"/>
  <c r="O25" i="7" s="1"/>
  <c r="K21" i="8"/>
  <c r="K27" i="8"/>
  <c r="C32" i="8"/>
  <c r="C33" i="8" s="1"/>
  <c r="C6" i="8" s="1"/>
  <c r="B32" i="8"/>
  <c r="B33" i="8" s="1"/>
  <c r="B6" i="8" s="1"/>
  <c r="N20" i="8"/>
  <c r="N3" i="8"/>
  <c r="N46" i="8" s="1"/>
  <c r="N47" i="8" s="1"/>
  <c r="J21" i="8"/>
  <c r="J27" i="8"/>
  <c r="N22" i="8"/>
  <c r="N24" i="7"/>
  <c r="N25" i="7" s="1"/>
  <c r="B11" i="1" s="1"/>
  <c r="I24" i="7"/>
  <c r="I25" i="7" s="1"/>
  <c r="D19" i="6"/>
  <c r="D20" i="6" s="1"/>
  <c r="M24" i="6"/>
  <c r="K15" i="6"/>
  <c r="K16" i="6" s="1"/>
  <c r="T24" i="6" s="1"/>
  <c r="K17" i="6"/>
  <c r="L17" i="6"/>
  <c r="L15" i="6"/>
  <c r="L16" i="6" s="1"/>
  <c r="U24" i="6" s="1"/>
  <c r="K43" i="6"/>
  <c r="K45" i="6" s="1"/>
  <c r="D24" i="7"/>
  <c r="D25" i="7" s="1"/>
  <c r="B13" i="1" s="1"/>
  <c r="N19" i="6"/>
  <c r="N20" i="6" s="1"/>
  <c r="M19" i="6"/>
  <c r="M20" i="6" s="1"/>
  <c r="B76" i="6" l="1" a="1"/>
  <c r="B76" i="6" s="1"/>
  <c r="B77" i="6" s="1"/>
  <c r="B79" i="6" s="1"/>
  <c r="B81" i="6" s="1"/>
  <c r="B82" i="6" s="1"/>
  <c r="K24" i="6"/>
  <c r="B19" i="6"/>
  <c r="B20" i="6" s="1"/>
  <c r="T60" i="14"/>
  <c r="M71" i="14"/>
  <c r="M73" i="14" s="1"/>
  <c r="M75" i="14" s="1"/>
  <c r="N71" i="14"/>
  <c r="N73" i="14" s="1"/>
  <c r="N75" i="14" s="1"/>
  <c r="L71" i="14"/>
  <c r="L73" i="14" s="1"/>
  <c r="L75" i="14" s="1"/>
  <c r="K71" i="14"/>
  <c r="K73" i="14" s="1"/>
  <c r="K75" i="14" s="1"/>
  <c r="B77" i="14"/>
  <c r="B78" i="14"/>
  <c r="B79" i="13"/>
  <c r="B81" i="13" s="1"/>
  <c r="B82" i="13" s="1"/>
  <c r="B83" i="13" s="1"/>
  <c r="B84" i="13" s="1"/>
  <c r="B85" i="13" s="1"/>
  <c r="G6" i="13" s="1"/>
  <c r="K76" i="13" a="1"/>
  <c r="K76" i="13" s="1"/>
  <c r="K77" i="13" s="1"/>
  <c r="K78" i="13"/>
  <c r="F16" i="6"/>
  <c r="B48" i="6" s="1"/>
  <c r="N76" i="13" a="1"/>
  <c r="N76" i="13" s="1"/>
  <c r="N77" i="13" s="1"/>
  <c r="N78" i="13"/>
  <c r="L76" i="13" a="1"/>
  <c r="L76" i="13" s="1"/>
  <c r="L77" i="13" s="1"/>
  <c r="L78" i="13"/>
  <c r="M76" i="13" a="1"/>
  <c r="M76" i="13" s="1"/>
  <c r="M77" i="13" s="1"/>
  <c r="M78" i="13"/>
  <c r="AC60" i="13"/>
  <c r="W71" i="13"/>
  <c r="W73" i="13" s="1"/>
  <c r="W75" i="13" s="1"/>
  <c r="V71" i="13"/>
  <c r="V73" i="13" s="1"/>
  <c r="V75" i="13" s="1"/>
  <c r="U71" i="13"/>
  <c r="U73" i="13" s="1"/>
  <c r="U75" i="13" s="1"/>
  <c r="T71" i="13"/>
  <c r="T73" i="13" s="1"/>
  <c r="T75" i="13" s="1"/>
  <c r="AC65" i="13"/>
  <c r="T66" i="13"/>
  <c r="T80" i="13" s="1"/>
  <c r="V42" i="6"/>
  <c r="V43" i="6" s="1"/>
  <c r="V45" i="6" s="1"/>
  <c r="N73" i="6"/>
  <c r="N75" i="6" s="1"/>
  <c r="N76" i="6" s="1" a="1"/>
  <c r="N76" i="6" s="1"/>
  <c r="N77" i="6" s="1"/>
  <c r="W42" i="6"/>
  <c r="W43" i="6" s="1"/>
  <c r="W45" i="6" s="1"/>
  <c r="V72" i="6"/>
  <c r="U71" i="6"/>
  <c r="U73" i="6" s="1"/>
  <c r="U75" i="6" s="1"/>
  <c r="U76" i="6" s="1" a="1"/>
  <c r="U76" i="6" s="1"/>
  <c r="U77" i="6" s="1"/>
  <c r="W71" i="6"/>
  <c r="W73" i="6" s="1"/>
  <c r="W75" i="6" s="1"/>
  <c r="V71" i="6"/>
  <c r="T71" i="6"/>
  <c r="T73" i="6" s="1"/>
  <c r="T75" i="6" s="1"/>
  <c r="T76" i="6" s="1" a="1"/>
  <c r="T76" i="6" s="1"/>
  <c r="T77" i="6" s="1"/>
  <c r="M76" i="6" a="1"/>
  <c r="M76" i="6" s="1"/>
  <c r="M77" i="6" s="1"/>
  <c r="T66" i="6"/>
  <c r="T80" i="6" s="1"/>
  <c r="AC65" i="6"/>
  <c r="AC41" i="6"/>
  <c r="AD41" i="6"/>
  <c r="AD43" i="6" s="1"/>
  <c r="AD45" i="6" s="1"/>
  <c r="AE41" i="6"/>
  <c r="AF41" i="6"/>
  <c r="AC71" i="6"/>
  <c r="AC73" i="6" s="1"/>
  <c r="AC75" i="6" s="1"/>
  <c r="AF71" i="6"/>
  <c r="AE71" i="6"/>
  <c r="AD71" i="6"/>
  <c r="AD73" i="6" s="1"/>
  <c r="AD75" i="6" s="1"/>
  <c r="X13" i="6"/>
  <c r="X14" i="6" s="1" a="1"/>
  <c r="X14" i="6" s="1"/>
  <c r="X15" i="6" s="1"/>
  <c r="N46" i="6" a="1"/>
  <c r="N46" i="6" s="1"/>
  <c r="N47" i="6" s="1"/>
  <c r="M46" i="6" a="1"/>
  <c r="M46" i="6" s="1"/>
  <c r="M47" i="6" s="1"/>
  <c r="AC12" i="6"/>
  <c r="AC13" i="6" s="1"/>
  <c r="AC17" i="6" s="1"/>
  <c r="AQ24" i="6"/>
  <c r="AQ16" i="6" s="1"/>
  <c r="U43" i="6"/>
  <c r="U45" i="6" s="1"/>
  <c r="AH19" i="6"/>
  <c r="AH20" i="6" s="1"/>
  <c r="AE14" i="6" a="1"/>
  <c r="AE14" i="6" s="1"/>
  <c r="AE15" i="6" s="1"/>
  <c r="AE16" i="6" s="1"/>
  <c r="AN24" i="6" s="1"/>
  <c r="O61" i="8"/>
  <c r="K61" i="8"/>
  <c r="C41" i="11"/>
  <c r="B24" i="1" s="1"/>
  <c r="F61" i="8"/>
  <c r="D41" i="11"/>
  <c r="G61" i="8"/>
  <c r="C61" i="8"/>
  <c r="C36" i="8" s="1"/>
  <c r="J61" i="8"/>
  <c r="B61" i="8"/>
  <c r="B36" i="8" s="1"/>
  <c r="AG23" i="6"/>
  <c r="AO13" i="6"/>
  <c r="AO17" i="6" s="1"/>
  <c r="AF14" i="6" a="1"/>
  <c r="AF14" i="6" s="1"/>
  <c r="AF15" i="6" s="1"/>
  <c r="AF16" i="6" s="1"/>
  <c r="V19" i="6"/>
  <c r="V20" i="6" s="1"/>
  <c r="AE24" i="6"/>
  <c r="AL11" i="6"/>
  <c r="AL23" i="6"/>
  <c r="AG11" i="6"/>
  <c r="AE42" i="6" s="1"/>
  <c r="AD13" i="6"/>
  <c r="AD17" i="6" s="1"/>
  <c r="AM23" i="6"/>
  <c r="AM11" i="6"/>
  <c r="B11" i="9"/>
  <c r="B12" i="9" s="1" a="1"/>
  <c r="B12" i="9" s="1"/>
  <c r="B13" i="9" s="1"/>
  <c r="B15" i="9" s="1"/>
  <c r="B35" i="1" s="1"/>
  <c r="B37" i="1" s="1"/>
  <c r="AN13" i="6"/>
  <c r="AN17" i="6" s="1"/>
  <c r="W19" i="6"/>
  <c r="W20" i="6" s="1"/>
  <c r="AF24" i="6"/>
  <c r="X24" i="6"/>
  <c r="T14" i="6" a="1"/>
  <c r="T14" i="6" s="1"/>
  <c r="T15" i="6" s="1"/>
  <c r="T16" i="6" s="1"/>
  <c r="U14" i="6" a="1"/>
  <c r="U14" i="6" s="1"/>
  <c r="U15" i="6" s="1"/>
  <c r="U16" i="6" s="1"/>
  <c r="AD24" i="6" s="1"/>
  <c r="U17" i="6"/>
  <c r="M17" i="11"/>
  <c r="M40" i="11" s="1" a="1"/>
  <c r="M40" i="11" s="1"/>
  <c r="H39" i="11" a="1"/>
  <c r="H39" i="11" s="1"/>
  <c r="H41" i="11" s="1"/>
  <c r="S2" i="11"/>
  <c r="N3" i="11"/>
  <c r="S3" i="11" s="1"/>
  <c r="H2" i="11"/>
  <c r="M2" i="11" s="1"/>
  <c r="B2" i="11"/>
  <c r="B20" i="11" s="1"/>
  <c r="F48" i="8"/>
  <c r="F49" i="8" s="1"/>
  <c r="F50" i="8" s="1" a="1"/>
  <c r="F50" i="8" s="1"/>
  <c r="F51" i="8" s="1"/>
  <c r="F53" i="8" s="1"/>
  <c r="J39" i="8"/>
  <c r="G48" i="8"/>
  <c r="G49" i="8" s="1"/>
  <c r="G50" i="8" s="1" a="1"/>
  <c r="G50" i="8" s="1"/>
  <c r="G51" i="8" s="1"/>
  <c r="G53" i="8" s="1"/>
  <c r="K39" i="8"/>
  <c r="N17" i="11"/>
  <c r="N40" i="11" s="1" a="1"/>
  <c r="N40" i="11" s="1"/>
  <c r="I39" i="11" a="1"/>
  <c r="I39" i="11" s="1"/>
  <c r="I41" i="11" s="1"/>
  <c r="B3" i="11"/>
  <c r="O27" i="8"/>
  <c r="O24" i="6"/>
  <c r="C19" i="6"/>
  <c r="C20" i="6" s="1"/>
  <c r="G5" i="6" s="1"/>
  <c r="K23" i="8"/>
  <c r="K24" i="8" s="1"/>
  <c r="T43" i="6"/>
  <c r="T45" i="6" s="1"/>
  <c r="K46" i="6" a="1"/>
  <c r="K46" i="6" s="1"/>
  <c r="K47" i="6" s="1"/>
  <c r="F32" i="8"/>
  <c r="F33" i="8" s="1"/>
  <c r="F6" i="8" s="1"/>
  <c r="N27" i="8"/>
  <c r="N21" i="8"/>
  <c r="N61" i="8" s="1"/>
  <c r="G32" i="8"/>
  <c r="G33" i="8" s="1"/>
  <c r="G6" i="8" s="1"/>
  <c r="J23" i="8"/>
  <c r="J24" i="8" s="1"/>
  <c r="L46" i="6" a="1"/>
  <c r="L46" i="6" s="1"/>
  <c r="L47" i="6" s="1"/>
  <c r="O23" i="8"/>
  <c r="O24" i="8" s="1"/>
  <c r="L19" i="6"/>
  <c r="L20" i="6" s="1"/>
  <c r="O16" i="6"/>
  <c r="K19" i="6"/>
  <c r="B83" i="6" l="1"/>
  <c r="B84" i="6" s="1"/>
  <c r="B85" i="6" s="1"/>
  <c r="B79" i="14"/>
  <c r="B81" i="14" s="1"/>
  <c r="B82" i="14" s="1"/>
  <c r="B83" i="14" s="1"/>
  <c r="B84" i="14" s="1"/>
  <c r="B85" i="14" s="1"/>
  <c r="G6" i="14" s="1"/>
  <c r="AF42" i="6"/>
  <c r="AF43" i="6" s="1"/>
  <c r="AF45" i="6" s="1"/>
  <c r="K76" i="14" a="1"/>
  <c r="K76" i="14" s="1"/>
  <c r="K77" i="14" s="1"/>
  <c r="K78" i="14"/>
  <c r="L76" i="14" a="1"/>
  <c r="L76" i="14" s="1"/>
  <c r="L77" i="14" s="1"/>
  <c r="L78" i="14"/>
  <c r="N76" i="14" a="1"/>
  <c r="N76" i="14" s="1"/>
  <c r="N77" i="14" s="1"/>
  <c r="N78" i="14"/>
  <c r="M76" i="14" a="1"/>
  <c r="M76" i="14" s="1"/>
  <c r="M77" i="14" s="1"/>
  <c r="M78" i="14"/>
  <c r="AC60" i="14"/>
  <c r="U71" i="14"/>
  <c r="U73" i="14" s="1"/>
  <c r="U75" i="14" s="1"/>
  <c r="W71" i="14"/>
  <c r="W73" i="14" s="1"/>
  <c r="W75" i="14" s="1"/>
  <c r="V71" i="14"/>
  <c r="V73" i="14" s="1"/>
  <c r="V75" i="14" s="1"/>
  <c r="T71" i="14"/>
  <c r="T73" i="14" s="1"/>
  <c r="T75" i="14" s="1"/>
  <c r="K79" i="13"/>
  <c r="K81" i="13" s="1"/>
  <c r="K82" i="13" s="1"/>
  <c r="K83" i="13" s="1"/>
  <c r="V73" i="6"/>
  <c r="V75" i="6" s="1"/>
  <c r="V76" i="6" s="1" a="1"/>
  <c r="V76" i="6" s="1"/>
  <c r="V77" i="6" s="1"/>
  <c r="M79" i="13"/>
  <c r="M81" i="13" s="1"/>
  <c r="M82" i="13" s="1"/>
  <c r="M83" i="13" s="1"/>
  <c r="M84" i="13" s="1"/>
  <c r="M85" i="13" s="1"/>
  <c r="L79" i="13"/>
  <c r="L81" i="13" s="1"/>
  <c r="L82" i="13" s="1"/>
  <c r="L83" i="13" s="1"/>
  <c r="L84" i="13" s="1"/>
  <c r="L85" i="13" s="1"/>
  <c r="N79" i="13"/>
  <c r="N81" i="13" s="1"/>
  <c r="N82" i="13" s="1"/>
  <c r="N83" i="13" s="1"/>
  <c r="N84" i="13" s="1"/>
  <c r="N85" i="13" s="1"/>
  <c r="AC66" i="13"/>
  <c r="AC80" i="13" s="1"/>
  <c r="AL65" i="13"/>
  <c r="AL66" i="13" s="1"/>
  <c r="AL80" i="13" s="1"/>
  <c r="AL60" i="13"/>
  <c r="AF71" i="13"/>
  <c r="AF73" i="13" s="1"/>
  <c r="AF75" i="13" s="1"/>
  <c r="AE71" i="13"/>
  <c r="AE73" i="13" s="1"/>
  <c r="AE75" i="13" s="1"/>
  <c r="AD71" i="13"/>
  <c r="AD73" i="13" s="1"/>
  <c r="AD75" i="13" s="1"/>
  <c r="AC71" i="13"/>
  <c r="AC73" i="13" s="1"/>
  <c r="AC75" i="13" s="1"/>
  <c r="T76" i="13" a="1"/>
  <c r="T76" i="13" s="1"/>
  <c r="T77" i="13" s="1"/>
  <c r="T78" i="13"/>
  <c r="U76" i="13" a="1"/>
  <c r="U76" i="13" s="1"/>
  <c r="U77" i="13" s="1"/>
  <c r="U78" i="13"/>
  <c r="AE72" i="6"/>
  <c r="AE73" i="6" s="1"/>
  <c r="AE75" i="6" s="1"/>
  <c r="V76" i="13" a="1"/>
  <c r="V76" i="13" s="1"/>
  <c r="V77" i="13" s="1"/>
  <c r="V78" i="13"/>
  <c r="AF72" i="6"/>
  <c r="AF73" i="6" s="1"/>
  <c r="AF75" i="6" s="1"/>
  <c r="W76" i="13" a="1"/>
  <c r="W76" i="13" s="1"/>
  <c r="W77" i="13" s="1"/>
  <c r="W78" i="13"/>
  <c r="L78" i="6"/>
  <c r="L79" i="6" s="1"/>
  <c r="L81" i="6" s="1"/>
  <c r="K78" i="6"/>
  <c r="K79" i="6" s="1"/>
  <c r="M78" i="6"/>
  <c r="M79" i="6" s="1"/>
  <c r="M81" i="6" s="1"/>
  <c r="K48" i="6"/>
  <c r="K49" i="6" s="1"/>
  <c r="N78" i="6"/>
  <c r="N79" i="6" s="1"/>
  <c r="N81" i="6" s="1"/>
  <c r="L48" i="6"/>
  <c r="L49" i="6" s="1"/>
  <c r="M48" i="6"/>
  <c r="M49" i="6" s="1"/>
  <c r="N48" i="6"/>
  <c r="N49" i="6" s="1"/>
  <c r="N51" i="6" s="1"/>
  <c r="AD76" i="6" a="1"/>
  <c r="AD76" i="6" s="1"/>
  <c r="AD77" i="6" s="1"/>
  <c r="AD46" i="6" a="1"/>
  <c r="AD46" i="6" s="1"/>
  <c r="AD47" i="6" s="1"/>
  <c r="W76" i="6" a="1"/>
  <c r="W76" i="6" s="1"/>
  <c r="W77" i="6" s="1"/>
  <c r="AL65" i="6"/>
  <c r="AL66" i="6" s="1"/>
  <c r="AL80" i="6" s="1"/>
  <c r="AC66" i="6"/>
  <c r="AC80" i="6" s="1"/>
  <c r="AL41" i="6"/>
  <c r="AL71" i="6"/>
  <c r="AL73" i="6" s="1"/>
  <c r="AL75" i="6" s="1"/>
  <c r="AM71" i="6"/>
  <c r="AM73" i="6" s="1"/>
  <c r="AM75" i="6" s="1"/>
  <c r="AN71" i="6"/>
  <c r="AO71" i="6"/>
  <c r="AC76" i="6" a="1"/>
  <c r="AC76" i="6" s="1"/>
  <c r="AC77" i="6" s="1"/>
  <c r="AG13" i="6"/>
  <c r="AG14" i="6" s="1" a="1"/>
  <c r="AG14" i="6" s="1"/>
  <c r="AG15" i="6" s="1"/>
  <c r="AE43" i="6"/>
  <c r="AE45" i="6" s="1"/>
  <c r="V46" i="6" a="1"/>
  <c r="V46" i="6" s="1"/>
  <c r="V47" i="6" s="1"/>
  <c r="T46" i="6" a="1"/>
  <c r="T46" i="6" s="1"/>
  <c r="T47" i="6" s="1"/>
  <c r="K4" i="1"/>
  <c r="K9" i="1" s="1"/>
  <c r="AO41" i="6"/>
  <c r="AN41" i="6"/>
  <c r="AM41" i="6"/>
  <c r="AQ19" i="6"/>
  <c r="AQ20" i="6" s="1"/>
  <c r="F36" i="8"/>
  <c r="W46" i="6" a="1"/>
  <c r="W46" i="6" s="1"/>
  <c r="W47" i="6" s="1"/>
  <c r="AE19" i="6"/>
  <c r="AE20" i="6" s="1"/>
  <c r="G36" i="8"/>
  <c r="B41" i="11"/>
  <c r="B37" i="11" s="1"/>
  <c r="AC43" i="6"/>
  <c r="AC45" i="6" s="1"/>
  <c r="AO14" i="6" a="1"/>
  <c r="AO14" i="6" s="1"/>
  <c r="AO15" i="6" s="1"/>
  <c r="AO16" i="6" s="1"/>
  <c r="AO19" i="6" s="1"/>
  <c r="AO20" i="6" s="1"/>
  <c r="AN14" i="6" a="1"/>
  <c r="AN14" i="6" s="1"/>
  <c r="AN15" i="6" s="1"/>
  <c r="AN16" i="6" s="1"/>
  <c r="AN19" i="6" s="1"/>
  <c r="AN20" i="6" s="1"/>
  <c r="B26" i="9"/>
  <c r="AC14" i="6" a="1"/>
  <c r="AC14" i="6" s="1"/>
  <c r="AC15" i="6" s="1"/>
  <c r="AC16" i="6" s="1"/>
  <c r="AD14" i="6" a="1"/>
  <c r="AD14" i="6" s="1"/>
  <c r="AD15" i="6" s="1"/>
  <c r="AD16" i="6" s="1"/>
  <c r="AM24" i="6" s="1"/>
  <c r="AM13" i="6"/>
  <c r="AM17" i="6" s="1"/>
  <c r="AP23" i="6"/>
  <c r="AP11" i="6"/>
  <c r="AP13" i="6" s="1"/>
  <c r="AP14" i="6" s="1" a="1"/>
  <c r="AP14" i="6" s="1"/>
  <c r="AP15" i="6" s="1"/>
  <c r="AL13" i="6"/>
  <c r="AL17" i="6" s="1"/>
  <c r="T19" i="6"/>
  <c r="T20" i="6" s="1"/>
  <c r="AC24" i="6"/>
  <c r="AG24" i="6" s="1"/>
  <c r="AO24" i="6"/>
  <c r="AF19" i="6"/>
  <c r="AF20" i="6" s="1"/>
  <c r="X16" i="6"/>
  <c r="W78" i="6" s="1"/>
  <c r="U19" i="6"/>
  <c r="U20" i="6" s="1"/>
  <c r="S22" i="11"/>
  <c r="S23" i="11"/>
  <c r="G41" i="11"/>
  <c r="G37" i="11" s="1"/>
  <c r="O39" i="8"/>
  <c r="O48" i="8" s="1"/>
  <c r="O49" i="8" s="1"/>
  <c r="O50" i="8" s="1" a="1"/>
  <c r="O50" i="8" s="1"/>
  <c r="O51" i="8" s="1"/>
  <c r="O53" i="8" s="1"/>
  <c r="O36" i="8" s="1"/>
  <c r="K48" i="8"/>
  <c r="K49" i="8" s="1"/>
  <c r="K50" i="8" s="1" a="1"/>
  <c r="K50" i="8" s="1"/>
  <c r="K51" i="8" s="1"/>
  <c r="K53" i="8" s="1"/>
  <c r="K36" i="8" s="1"/>
  <c r="N39" i="8"/>
  <c r="N48" i="8" s="1"/>
  <c r="N49" i="8" s="1"/>
  <c r="N50" i="8" s="1" a="1"/>
  <c r="N50" i="8" s="1"/>
  <c r="N51" i="8" s="1"/>
  <c r="N53" i="8" s="1"/>
  <c r="N36" i="8" s="1"/>
  <c r="J48" i="8"/>
  <c r="J49" i="8" s="1"/>
  <c r="J50" i="8" s="1" a="1"/>
  <c r="J50" i="8" s="1"/>
  <c r="J51" i="8" s="1"/>
  <c r="J53" i="8" s="1"/>
  <c r="J36" i="8" s="1"/>
  <c r="R2" i="11"/>
  <c r="L2" i="11"/>
  <c r="M3" i="11"/>
  <c r="M39" i="11" a="1"/>
  <c r="M39" i="11" s="1"/>
  <c r="M41" i="11" s="1"/>
  <c r="R17" i="11"/>
  <c r="N39" i="11" a="1"/>
  <c r="N39" i="11" s="1"/>
  <c r="N41" i="11" s="1"/>
  <c r="S17" i="11"/>
  <c r="B22" i="11"/>
  <c r="B24" i="11" s="1"/>
  <c r="B25" i="11" s="1"/>
  <c r="B27" i="11" s="1"/>
  <c r="B29" i="11" s="1"/>
  <c r="B30" i="11" s="1" a="1"/>
  <c r="B30" i="11" s="1"/>
  <c r="B31" i="11" s="1"/>
  <c r="B32" i="11" s="1"/>
  <c r="B33" i="11" s="1"/>
  <c r="B34" i="11" s="1"/>
  <c r="B6" i="11" s="1"/>
  <c r="G2" i="11"/>
  <c r="G22" i="11" s="1"/>
  <c r="B49" i="6"/>
  <c r="K20" i="6"/>
  <c r="K26" i="8"/>
  <c r="K28" i="8" s="1"/>
  <c r="K29" i="8" s="1" a="1"/>
  <c r="K29" i="8" s="1"/>
  <c r="K30" i="8" s="1" a="1"/>
  <c r="K30" i="8" s="1"/>
  <c r="K31" i="8" s="1"/>
  <c r="O26" i="8"/>
  <c r="O28" i="8" s="1"/>
  <c r="O29" i="8" s="1" a="1"/>
  <c r="O29" i="8" s="1"/>
  <c r="O30" i="8" s="1" a="1"/>
  <c r="O30" i="8" s="1"/>
  <c r="O31" i="8" s="1"/>
  <c r="J26" i="8"/>
  <c r="J28" i="8" s="1"/>
  <c r="J29" i="8" s="1" a="1"/>
  <c r="J29" i="8" s="1"/>
  <c r="J30" i="8" s="1" a="1"/>
  <c r="J30" i="8" s="1"/>
  <c r="J31" i="8" s="1"/>
  <c r="N23" i="8"/>
  <c r="N24" i="8" s="1"/>
  <c r="U46" i="6" a="1"/>
  <c r="U46" i="6" s="1"/>
  <c r="U47" i="6" s="1"/>
  <c r="N79" i="14" l="1"/>
  <c r="N81" i="14" s="1"/>
  <c r="N82" i="14" s="1"/>
  <c r="N83" i="14" s="1"/>
  <c r="N84" i="14" s="1"/>
  <c r="N85" i="14" s="1"/>
  <c r="AN72" i="6"/>
  <c r="AN73" i="6" s="1"/>
  <c r="AN75" i="6" s="1"/>
  <c r="AN76" i="6" s="1" a="1"/>
  <c r="AN76" i="6" s="1"/>
  <c r="AN77" i="6" s="1"/>
  <c r="L79" i="14"/>
  <c r="L81" i="14" s="1"/>
  <c r="L82" i="14" s="1"/>
  <c r="L83" i="14" s="1"/>
  <c r="L84" i="14" s="1"/>
  <c r="L85" i="14" s="1"/>
  <c r="K79" i="14"/>
  <c r="K81" i="14" s="1"/>
  <c r="K82" i="14" s="1"/>
  <c r="K83" i="14" s="1"/>
  <c r="T76" i="14" a="1"/>
  <c r="T76" i="14" s="1"/>
  <c r="T77" i="14" s="1"/>
  <c r="T78" i="14"/>
  <c r="M79" i="14"/>
  <c r="M81" i="14" s="1"/>
  <c r="M82" i="14" s="1"/>
  <c r="M83" i="14" s="1"/>
  <c r="M84" i="14" s="1"/>
  <c r="M85" i="14" s="1"/>
  <c r="W76" i="14" a="1"/>
  <c r="W76" i="14" s="1"/>
  <c r="W77" i="14" s="1"/>
  <c r="W78" i="14"/>
  <c r="V76" i="14" a="1"/>
  <c r="V76" i="14" s="1"/>
  <c r="V77" i="14" s="1"/>
  <c r="V78" i="14"/>
  <c r="AL60" i="14"/>
  <c r="AF71" i="14"/>
  <c r="AF73" i="14" s="1"/>
  <c r="AF75" i="14" s="1"/>
  <c r="AD71" i="14"/>
  <c r="AD73" i="14" s="1"/>
  <c r="AD75" i="14" s="1"/>
  <c r="AC71" i="14"/>
  <c r="AC73" i="14" s="1"/>
  <c r="AC75" i="14" s="1"/>
  <c r="AE71" i="14"/>
  <c r="AE73" i="14" s="1"/>
  <c r="AE75" i="14" s="1"/>
  <c r="U76" i="14" a="1"/>
  <c r="U76" i="14" s="1"/>
  <c r="U77" i="14" s="1"/>
  <c r="U78" i="14"/>
  <c r="X25" i="14"/>
  <c r="X26" i="14" s="1"/>
  <c r="K84" i="14"/>
  <c r="K85" i="14" s="1"/>
  <c r="P6" i="14" s="1"/>
  <c r="K84" i="13"/>
  <c r="K85" i="13" s="1"/>
  <c r="P6" i="13" s="1"/>
  <c r="T79" i="13"/>
  <c r="T81" i="13" s="1"/>
  <c r="W79" i="13"/>
  <c r="W81" i="13" s="1"/>
  <c r="AO72" i="6"/>
  <c r="AO73" i="6" s="1"/>
  <c r="AO75" i="6" s="1"/>
  <c r="AO76" i="6" s="1" a="1"/>
  <c r="AO76" i="6" s="1"/>
  <c r="AO77" i="6" s="1"/>
  <c r="AC76" i="13" a="1"/>
  <c r="AC76" i="13" s="1"/>
  <c r="AC77" i="13" s="1"/>
  <c r="AC78" i="13"/>
  <c r="V79" i="13"/>
  <c r="V81" i="13" s="1"/>
  <c r="AD76" i="13" a="1"/>
  <c r="AD76" i="13" s="1"/>
  <c r="AD77" i="13" s="1"/>
  <c r="AD78" i="13"/>
  <c r="AE76" i="13" a="1"/>
  <c r="AE76" i="13" s="1"/>
  <c r="AE77" i="13" s="1"/>
  <c r="AE78" i="13"/>
  <c r="AF76" i="13" a="1"/>
  <c r="AF76" i="13" s="1"/>
  <c r="AF77" i="13" s="1"/>
  <c r="AF78" i="13"/>
  <c r="U79" i="13"/>
  <c r="U81" i="13" s="1"/>
  <c r="AO71" i="13"/>
  <c r="AO73" i="13" s="1"/>
  <c r="AO75" i="13" s="1"/>
  <c r="AN71" i="13"/>
  <c r="AN73" i="13" s="1"/>
  <c r="AN75" i="13" s="1"/>
  <c r="AM71" i="13"/>
  <c r="AM73" i="13" s="1"/>
  <c r="AM75" i="13" s="1"/>
  <c r="AL71" i="13"/>
  <c r="AL73" i="13" s="1"/>
  <c r="AL75" i="13" s="1"/>
  <c r="AO42" i="6"/>
  <c r="AO43" i="6" s="1"/>
  <c r="AO45" i="6" s="1"/>
  <c r="AN42" i="6"/>
  <c r="AN43" i="6" s="1"/>
  <c r="AN45" i="6" s="1"/>
  <c r="X25" i="13"/>
  <c r="X26" i="13" s="1"/>
  <c r="T78" i="6"/>
  <c r="T79" i="6" s="1"/>
  <c r="T81" i="6" s="1"/>
  <c r="U78" i="6"/>
  <c r="U79" i="6" s="1"/>
  <c r="U81" i="6" s="1"/>
  <c r="V78" i="6"/>
  <c r="V79" i="6" s="1"/>
  <c r="V81" i="6" s="1"/>
  <c r="T48" i="6"/>
  <c r="T49" i="6" s="1"/>
  <c r="W48" i="6"/>
  <c r="W49" i="6" s="1"/>
  <c r="V48" i="6"/>
  <c r="V49" i="6" s="1"/>
  <c r="U48" i="6"/>
  <c r="U49" i="6" s="1"/>
  <c r="AM76" i="6" a="1"/>
  <c r="AM76" i="6" s="1"/>
  <c r="AM77" i="6" s="1"/>
  <c r="AL76" i="6" a="1"/>
  <c r="AL76" i="6" s="1"/>
  <c r="AL77" i="6" s="1"/>
  <c r="AE76" i="6" a="1"/>
  <c r="AE76" i="6" s="1"/>
  <c r="AE77" i="6" s="1"/>
  <c r="AF76" i="6" a="1"/>
  <c r="AF76" i="6" s="1"/>
  <c r="AF77" i="6" s="1"/>
  <c r="AF46" i="6" a="1"/>
  <c r="AF46" i="6" s="1"/>
  <c r="AF47" i="6" s="1"/>
  <c r="AE46" i="6" a="1"/>
  <c r="AE46" i="6" s="1"/>
  <c r="AE47" i="6" s="1"/>
  <c r="K14" i="1"/>
  <c r="W79" i="6"/>
  <c r="W81" i="6" s="1"/>
  <c r="AC46" i="6" a="1"/>
  <c r="AC46" i="6" s="1"/>
  <c r="AC47" i="6" s="1"/>
  <c r="Y5" i="6"/>
  <c r="M4" i="1" s="1"/>
  <c r="P5" i="6"/>
  <c r="L4" i="1" s="1"/>
  <c r="L14" i="1" s="1"/>
  <c r="K81" i="6"/>
  <c r="AL43" i="6"/>
  <c r="AL45" i="6" s="1"/>
  <c r="AM43" i="6"/>
  <c r="AM45" i="6" s="1"/>
  <c r="S39" i="11" a="1"/>
  <c r="S39" i="11" s="1"/>
  <c r="S40" i="11" a="1"/>
  <c r="S40" i="11" s="1"/>
  <c r="R39" i="11" a="1"/>
  <c r="R39" i="11" s="1"/>
  <c r="R40" i="11" a="1"/>
  <c r="R40" i="11" s="1"/>
  <c r="AM14" i="6" a="1"/>
  <c r="AM14" i="6" s="1"/>
  <c r="AM15" i="6" s="1"/>
  <c r="AM16" i="6" s="1"/>
  <c r="AM19" i="6" s="1"/>
  <c r="AM20" i="6" s="1"/>
  <c r="AD19" i="6"/>
  <c r="AD20" i="6" s="1"/>
  <c r="AL14" i="6" a="1"/>
  <c r="AL14" i="6" s="1"/>
  <c r="AL15" i="6" s="1"/>
  <c r="AL16" i="6" s="1"/>
  <c r="AL19" i="6" s="1"/>
  <c r="AL20" i="6" s="1"/>
  <c r="AG16" i="6"/>
  <c r="AE78" i="6" s="1"/>
  <c r="AC19" i="6"/>
  <c r="AC20" i="6" s="1"/>
  <c r="AL24" i="6"/>
  <c r="AP24" i="6" s="1"/>
  <c r="M51" i="6"/>
  <c r="L51" i="6"/>
  <c r="K51" i="6"/>
  <c r="B51" i="6"/>
  <c r="S24" i="11"/>
  <c r="S25" i="11" s="1"/>
  <c r="R3" i="11"/>
  <c r="L3" i="11"/>
  <c r="Q3" i="11" s="1"/>
  <c r="L41" i="11"/>
  <c r="L37" i="11" s="1"/>
  <c r="Q2" i="11"/>
  <c r="Q22" i="11" s="1"/>
  <c r="L22" i="11"/>
  <c r="R23" i="11"/>
  <c r="R22" i="11"/>
  <c r="G24" i="11"/>
  <c r="G25" i="11" s="1"/>
  <c r="G27" i="11" s="1"/>
  <c r="G28" i="11"/>
  <c r="N26" i="8"/>
  <c r="N28" i="8" s="1"/>
  <c r="N29" i="8" s="1" a="1"/>
  <c r="N29" i="8" s="1"/>
  <c r="N30" i="8" s="1" a="1"/>
  <c r="N30" i="8" s="1"/>
  <c r="N31" i="8" s="1"/>
  <c r="K32" i="8"/>
  <c r="K33" i="8" s="1"/>
  <c r="K6" i="8" s="1"/>
  <c r="J32" i="8"/>
  <c r="J33" i="8" s="1"/>
  <c r="J6" i="8" s="1"/>
  <c r="O32" i="8"/>
  <c r="O33" i="8" s="1"/>
  <c r="O6" i="8" s="1"/>
  <c r="U79" i="14" l="1"/>
  <c r="U81" i="14" s="1"/>
  <c r="U82" i="14" s="1"/>
  <c r="U83" i="14" s="1"/>
  <c r="U84" i="14" s="1"/>
  <c r="U85" i="14" s="1"/>
  <c r="W79" i="14"/>
  <c r="W81" i="14" s="1"/>
  <c r="W82" i="14" s="1"/>
  <c r="W83" i="14" s="1"/>
  <c r="AE76" i="14" a="1"/>
  <c r="AE76" i="14" s="1"/>
  <c r="AE77" i="14" s="1"/>
  <c r="AE78" i="14"/>
  <c r="AF76" i="14" a="1"/>
  <c r="AF76" i="14" s="1"/>
  <c r="AF77" i="14" s="1"/>
  <c r="AF78" i="14"/>
  <c r="T52" i="14"/>
  <c r="T53" i="14" s="1"/>
  <c r="T54" i="14" s="1"/>
  <c r="T55" i="14" s="1"/>
  <c r="W52" i="14"/>
  <c r="W53" i="14" s="1"/>
  <c r="W54" i="14" s="1"/>
  <c r="W55" i="14" s="1"/>
  <c r="V52" i="14"/>
  <c r="V53" i="14" s="1"/>
  <c r="V54" i="14" s="1"/>
  <c r="V55" i="14" s="1"/>
  <c r="U52" i="14"/>
  <c r="U53" i="14" s="1"/>
  <c r="U54" i="14" s="1"/>
  <c r="U55" i="14" s="1"/>
  <c r="AC76" i="14" a="1"/>
  <c r="AC76" i="14" s="1"/>
  <c r="AC77" i="14" s="1"/>
  <c r="AC78" i="14"/>
  <c r="AD76" i="14" a="1"/>
  <c r="AD76" i="14" s="1"/>
  <c r="AD77" i="14" s="1"/>
  <c r="AD78" i="14"/>
  <c r="V79" i="14"/>
  <c r="V81" i="14" s="1"/>
  <c r="V82" i="14" s="1"/>
  <c r="V83" i="14" s="1"/>
  <c r="V84" i="14" s="1"/>
  <c r="V85" i="14" s="1"/>
  <c r="T79" i="14"/>
  <c r="T81" i="14" s="1"/>
  <c r="T82" i="14" s="1"/>
  <c r="T83" i="14" s="1"/>
  <c r="AN71" i="14"/>
  <c r="AN73" i="14" s="1"/>
  <c r="AN75" i="14" s="1"/>
  <c r="AM71" i="14"/>
  <c r="AM73" i="14" s="1"/>
  <c r="AM75" i="14" s="1"/>
  <c r="AO71" i="14"/>
  <c r="AO73" i="14" s="1"/>
  <c r="AO75" i="14" s="1"/>
  <c r="AL71" i="14"/>
  <c r="AL73" i="14" s="1"/>
  <c r="AL75" i="14" s="1"/>
  <c r="L10" i="1"/>
  <c r="L21" i="1"/>
  <c r="T82" i="13"/>
  <c r="T83" i="13" s="1"/>
  <c r="T84" i="13" s="1"/>
  <c r="T85" i="13" s="1"/>
  <c r="AE48" i="6"/>
  <c r="AE49" i="6" s="1"/>
  <c r="AE51" i="6" s="1"/>
  <c r="AE79" i="13"/>
  <c r="AE81" i="13" s="1"/>
  <c r="T52" i="13"/>
  <c r="T53" i="13" s="1"/>
  <c r="T54" i="13" s="1"/>
  <c r="T55" i="13" s="1"/>
  <c r="W52" i="13"/>
  <c r="W53" i="13" s="1"/>
  <c r="U52" i="13"/>
  <c r="U53" i="13" s="1"/>
  <c r="U54" i="13" s="1"/>
  <c r="U55" i="13" s="1"/>
  <c r="V52" i="13"/>
  <c r="V53" i="13" s="1"/>
  <c r="V54" i="13" s="1"/>
  <c r="V55" i="13" s="1"/>
  <c r="AF48" i="6"/>
  <c r="AF49" i="6" s="1"/>
  <c r="AF51" i="6" s="1"/>
  <c r="AL76" i="13" a="1"/>
  <c r="AL76" i="13" s="1"/>
  <c r="AL77" i="13" s="1"/>
  <c r="AL78" i="13"/>
  <c r="W82" i="13"/>
  <c r="W83" i="13" s="1"/>
  <c r="AF78" i="6"/>
  <c r="AF79" i="6" s="1"/>
  <c r="AF81" i="6" s="1"/>
  <c r="AM76" i="13" a="1"/>
  <c r="AM76" i="13" s="1"/>
  <c r="AM77" i="13" s="1"/>
  <c r="AM78" i="13"/>
  <c r="AD79" i="13"/>
  <c r="AD81" i="13" s="1"/>
  <c r="AN76" i="13" a="1"/>
  <c r="AN76" i="13" s="1"/>
  <c r="AN77" i="13" s="1"/>
  <c r="AN78" i="13"/>
  <c r="AO76" i="13" a="1"/>
  <c r="AO76" i="13" s="1"/>
  <c r="AO77" i="13" s="1"/>
  <c r="AO78" i="13"/>
  <c r="V82" i="13"/>
  <c r="V83" i="13" s="1"/>
  <c r="U82" i="13"/>
  <c r="U83" i="13" s="1"/>
  <c r="AC79" i="13"/>
  <c r="AC81" i="13" s="1"/>
  <c r="AF79" i="13"/>
  <c r="AF81" i="13" s="1"/>
  <c r="AC78" i="6"/>
  <c r="AC79" i="6" s="1"/>
  <c r="AC81" i="6" s="1"/>
  <c r="AD48" i="6"/>
  <c r="AD49" i="6" s="1"/>
  <c r="AD51" i="6" s="1"/>
  <c r="AD78" i="6"/>
  <c r="AD79" i="6" s="1"/>
  <c r="AD81" i="6" s="1"/>
  <c r="AC48" i="6"/>
  <c r="AC49" i="6" s="1"/>
  <c r="AC51" i="6" s="1"/>
  <c r="AH5" i="6"/>
  <c r="N4" i="1" s="1"/>
  <c r="AE79" i="6"/>
  <c r="AE81" i="6" s="1"/>
  <c r="AM46" i="6" a="1"/>
  <c r="AM46" i="6" s="1"/>
  <c r="AM47" i="6" s="1"/>
  <c r="AO46" i="6" a="1"/>
  <c r="AO46" i="6" s="1"/>
  <c r="AO47" i="6" s="1"/>
  <c r="AN46" i="6" a="1"/>
  <c r="AN46" i="6" s="1"/>
  <c r="AN47" i="6" s="1"/>
  <c r="AL46" i="6" a="1"/>
  <c r="AL46" i="6" s="1"/>
  <c r="AL47" i="6" s="1"/>
  <c r="AQ5" i="6"/>
  <c r="O4" i="1" s="1"/>
  <c r="R41" i="11"/>
  <c r="S41" i="11"/>
  <c r="AP16" i="6"/>
  <c r="AM48" i="6" s="1"/>
  <c r="T51" i="6"/>
  <c r="R24" i="11"/>
  <c r="R25" i="11" s="1"/>
  <c r="Q28" i="11"/>
  <c r="Q24" i="11"/>
  <c r="Q25" i="11" s="1"/>
  <c r="Q27" i="11" s="1"/>
  <c r="G29" i="11"/>
  <c r="G30" i="11" s="1" a="1"/>
  <c r="G30" i="11" s="1"/>
  <c r="G31" i="11" s="1"/>
  <c r="G32" i="11" s="1"/>
  <c r="G33" i="11" s="1"/>
  <c r="G34" i="11" s="1"/>
  <c r="G6" i="11" s="1"/>
  <c r="L24" i="11"/>
  <c r="L25" i="11" s="1"/>
  <c r="L27" i="11" s="1"/>
  <c r="L28" i="11"/>
  <c r="N32" i="8"/>
  <c r="N33" i="8" s="1"/>
  <c r="N6" i="8" s="1"/>
  <c r="O25" i="6" l="1"/>
  <c r="O26" i="6" s="1"/>
  <c r="AC79" i="14"/>
  <c r="AC81" i="14" s="1"/>
  <c r="AE79" i="14"/>
  <c r="AE81" i="14" s="1"/>
  <c r="AF79" i="14"/>
  <c r="AF81" i="14" s="1"/>
  <c r="T84" i="14"/>
  <c r="T85" i="14" s="1"/>
  <c r="Y6" i="14" s="1"/>
  <c r="M20" i="1" s="1"/>
  <c r="AG25" i="14"/>
  <c r="AG26" i="14" s="1"/>
  <c r="AN76" i="14" a="1"/>
  <c r="AN76" i="14" s="1"/>
  <c r="AN77" i="14" s="1"/>
  <c r="AN78" i="14"/>
  <c r="AD79" i="14"/>
  <c r="AD81" i="14" s="1"/>
  <c r="AL76" i="14" a="1"/>
  <c r="AL76" i="14" s="1"/>
  <c r="AL77" i="14" s="1"/>
  <c r="AL78" i="14"/>
  <c r="AO76" i="14" a="1"/>
  <c r="AO76" i="14" s="1"/>
  <c r="AO77" i="14" s="1"/>
  <c r="AO78" i="14"/>
  <c r="W84" i="14"/>
  <c r="W85" i="14" s="1"/>
  <c r="AM76" i="14" a="1"/>
  <c r="AM76" i="14" s="1"/>
  <c r="AM77" i="14" s="1"/>
  <c r="AM78" i="14"/>
  <c r="AO48" i="6"/>
  <c r="AO49" i="6" s="1"/>
  <c r="AO51" i="6" s="1"/>
  <c r="AL48" i="6"/>
  <c r="AL49" i="6" s="1"/>
  <c r="AL51" i="6" s="1"/>
  <c r="AN48" i="6"/>
  <c r="AN49" i="6" s="1"/>
  <c r="AN51" i="6" s="1"/>
  <c r="W54" i="13"/>
  <c r="W55" i="13" s="1"/>
  <c r="AM79" i="13"/>
  <c r="AM81" i="13" s="1"/>
  <c r="W84" i="13"/>
  <c r="W85" i="13" s="1"/>
  <c r="U84" i="13"/>
  <c r="U85" i="13" s="1"/>
  <c r="AL79" i="13"/>
  <c r="AL81" i="13" s="1"/>
  <c r="AG25" i="13"/>
  <c r="AG26" i="13" s="1"/>
  <c r="AN79" i="13"/>
  <c r="AN81" i="13" s="1"/>
  <c r="AM78" i="6"/>
  <c r="AM79" i="6" s="1"/>
  <c r="AM81" i="6" s="1"/>
  <c r="AL78" i="6"/>
  <c r="AL79" i="6" s="1"/>
  <c r="AL81" i="6" s="1"/>
  <c r="AN78" i="6"/>
  <c r="AN79" i="6" s="1"/>
  <c r="AN81" i="6" s="1"/>
  <c r="AO78" i="6"/>
  <c r="AO79" i="6" s="1"/>
  <c r="AO81" i="6" s="1"/>
  <c r="V84" i="13"/>
  <c r="V85" i="13" s="1"/>
  <c r="AO79" i="13"/>
  <c r="AO81" i="13" s="1"/>
  <c r="Y6" i="13"/>
  <c r="AM49" i="6"/>
  <c r="AM51" i="6" s="1"/>
  <c r="L82" i="6"/>
  <c r="L83" i="6" s="1"/>
  <c r="L84" i="6" s="1"/>
  <c r="L85" i="6" s="1"/>
  <c r="M82" i="6"/>
  <c r="M83" i="6" s="1"/>
  <c r="M84" i="6" s="1"/>
  <c r="M85" i="6" s="1"/>
  <c r="N82" i="6"/>
  <c r="N83" i="6" s="1"/>
  <c r="N84" i="6" s="1"/>
  <c r="N85" i="6" s="1"/>
  <c r="K82" i="6"/>
  <c r="Q41" i="11"/>
  <c r="Q37" i="11" s="1"/>
  <c r="B54" i="6"/>
  <c r="B55" i="6" s="1"/>
  <c r="Q29" i="11"/>
  <c r="Q30" i="11" s="1" a="1"/>
  <c r="Q30" i="11" s="1"/>
  <c r="Q31" i="11" s="1"/>
  <c r="Q32" i="11" s="1"/>
  <c r="Q33" i="11" s="1"/>
  <c r="Q34" i="11" s="1"/>
  <c r="Q6" i="11" s="1"/>
  <c r="L29" i="11"/>
  <c r="L30" i="11" s="1" a="1"/>
  <c r="L30" i="11" s="1"/>
  <c r="L31" i="11" s="1"/>
  <c r="L32" i="11" s="1"/>
  <c r="L33" i="11" s="1"/>
  <c r="L34" i="11" s="1"/>
  <c r="L6" i="11" s="1"/>
  <c r="N53" i="6" l="1"/>
  <c r="L53" i="6"/>
  <c r="K53" i="6"/>
  <c r="M53" i="6"/>
  <c r="L52" i="6"/>
  <c r="K52" i="6"/>
  <c r="K54" i="6" s="1"/>
  <c r="K55" i="6" s="1"/>
  <c r="N52" i="6"/>
  <c r="M52" i="6"/>
  <c r="AF82" i="14"/>
  <c r="AF83" i="14" s="1"/>
  <c r="AF84" i="14" s="1"/>
  <c r="AF85" i="14" s="1"/>
  <c r="AE82" i="14"/>
  <c r="AE83" i="14" s="1"/>
  <c r="AE84" i="14" s="1"/>
  <c r="AE85" i="14" s="1"/>
  <c r="AD82" i="14"/>
  <c r="AD83" i="14" s="1"/>
  <c r="AD84" i="14" s="1"/>
  <c r="AD85" i="14" s="1"/>
  <c r="AN79" i="14"/>
  <c r="AN81" i="14" s="1"/>
  <c r="AO79" i="14"/>
  <c r="AO81" i="14" s="1"/>
  <c r="AD52" i="14"/>
  <c r="AD53" i="14" s="1"/>
  <c r="AD54" i="14" s="1"/>
  <c r="AD55" i="14" s="1"/>
  <c r="AC52" i="14"/>
  <c r="AC53" i="14" s="1"/>
  <c r="AC54" i="14" s="1"/>
  <c r="AC55" i="14" s="1"/>
  <c r="AE52" i="14"/>
  <c r="AE53" i="14" s="1"/>
  <c r="AE54" i="14" s="1"/>
  <c r="AE55" i="14" s="1"/>
  <c r="AF52" i="14"/>
  <c r="AF53" i="14" s="1"/>
  <c r="AF54" i="14" s="1"/>
  <c r="AF55" i="14" s="1"/>
  <c r="AM79" i="14"/>
  <c r="AM81" i="14" s="1"/>
  <c r="AL79" i="14"/>
  <c r="AL81" i="14" s="1"/>
  <c r="AC82" i="14"/>
  <c r="AC83" i="14" s="1"/>
  <c r="M10" i="1"/>
  <c r="M15" i="1" s="1"/>
  <c r="M21" i="1"/>
  <c r="AE52" i="13"/>
  <c r="AE53" i="13" s="1"/>
  <c r="AD52" i="13"/>
  <c r="AD53" i="13" s="1"/>
  <c r="AF52" i="13"/>
  <c r="AF53" i="13" s="1"/>
  <c r="AC52" i="13"/>
  <c r="AC53" i="13" s="1"/>
  <c r="AC54" i="13" s="1"/>
  <c r="AC55" i="13" s="1"/>
  <c r="G6" i="6"/>
  <c r="K5" i="1" s="1"/>
  <c r="AF82" i="13"/>
  <c r="AF83" i="13" s="1"/>
  <c r="AF84" i="13" s="1"/>
  <c r="AF85" i="13" s="1"/>
  <c r="AC82" i="13"/>
  <c r="AC83" i="13" s="1"/>
  <c r="AD82" i="13"/>
  <c r="AD83" i="13" s="1"/>
  <c r="AD84" i="13" s="1"/>
  <c r="AD85" i="13" s="1"/>
  <c r="AE82" i="13"/>
  <c r="AE83" i="13" s="1"/>
  <c r="AE84" i="13" s="1"/>
  <c r="AE85" i="13" s="1"/>
  <c r="K83" i="6"/>
  <c r="L54" i="6"/>
  <c r="L55" i="6" s="1"/>
  <c r="B17" i="7"/>
  <c r="B18" i="7" s="1"/>
  <c r="B20" i="7" s="1"/>
  <c r="AP25" i="14" l="1"/>
  <c r="AP26" i="14" s="1"/>
  <c r="AO82" i="14" s="1"/>
  <c r="AO83" i="14" s="1"/>
  <c r="AO84" i="14" s="1"/>
  <c r="AO85" i="14" s="1"/>
  <c r="AC84" i="14"/>
  <c r="AC85" i="14" s="1"/>
  <c r="AH6" i="14" s="1"/>
  <c r="N20" i="1" s="1"/>
  <c r="AE54" i="13"/>
  <c r="AE55" i="13" s="1"/>
  <c r="AP25" i="13"/>
  <c r="AP26" i="13" s="1"/>
  <c r="AC84" i="13"/>
  <c r="AC85" i="13" s="1"/>
  <c r="AF54" i="13"/>
  <c r="AF55" i="13" s="1"/>
  <c r="AD54" i="13"/>
  <c r="AD55" i="13" s="1"/>
  <c r="K84" i="6"/>
  <c r="K85" i="6" s="1"/>
  <c r="K10" i="1"/>
  <c r="K11" i="1" s="1"/>
  <c r="K6" i="1"/>
  <c r="K16" i="1" s="1"/>
  <c r="K15" i="1"/>
  <c r="M54" i="6"/>
  <c r="M55" i="6" s="1"/>
  <c r="X25" i="6"/>
  <c r="B21" i="7" a="1"/>
  <c r="B21" i="7" s="1"/>
  <c r="B22" i="7" s="1"/>
  <c r="B23" i="7" s="1"/>
  <c r="T22" i="7" a="1"/>
  <c r="T22" i="7" s="1"/>
  <c r="T23" i="7" s="1"/>
  <c r="U22" i="7" a="1"/>
  <c r="U22" i="7" s="1"/>
  <c r="U23" i="7" s="1"/>
  <c r="W22" i="7" a="1"/>
  <c r="W22" i="7" s="1"/>
  <c r="W23" i="7" s="1"/>
  <c r="V22" i="7" a="1"/>
  <c r="V22" i="7" s="1"/>
  <c r="V23" i="7" s="1"/>
  <c r="AH6" i="13" l="1"/>
  <c r="N10" i="1" s="1"/>
  <c r="N15" i="1" s="1"/>
  <c r="AN82" i="14"/>
  <c r="AN83" i="14" s="1"/>
  <c r="AN84" i="14" s="1"/>
  <c r="AN85" i="14" s="1"/>
  <c r="AM82" i="14"/>
  <c r="AM83" i="14" s="1"/>
  <c r="AM84" i="14" s="1"/>
  <c r="AM85" i="14" s="1"/>
  <c r="AM52" i="14"/>
  <c r="AM53" i="14" s="1"/>
  <c r="AM54" i="14" s="1"/>
  <c r="AM55" i="14" s="1"/>
  <c r="AL52" i="14"/>
  <c r="AL53" i="14" s="1"/>
  <c r="AL54" i="14" s="1"/>
  <c r="AL55" i="14" s="1"/>
  <c r="AN52" i="14"/>
  <c r="AN53" i="14" s="1"/>
  <c r="AN54" i="14" s="1"/>
  <c r="AN55" i="14" s="1"/>
  <c r="AO52" i="14"/>
  <c r="AO53" i="14" s="1"/>
  <c r="AO54" i="14" s="1"/>
  <c r="AO55" i="14" s="1"/>
  <c r="AL82" i="14"/>
  <c r="AL83" i="14" s="1"/>
  <c r="AL84" i="14" s="1"/>
  <c r="AL85" i="14" s="1"/>
  <c r="N21" i="1"/>
  <c r="AL52" i="13"/>
  <c r="AL53" i="13" s="1"/>
  <c r="AL54" i="13" s="1"/>
  <c r="AL55" i="13" s="1"/>
  <c r="AM52" i="13"/>
  <c r="AM53" i="13" s="1"/>
  <c r="AM54" i="13" s="1"/>
  <c r="AM55" i="13" s="1"/>
  <c r="AO52" i="13"/>
  <c r="AO53" i="13" s="1"/>
  <c r="AO54" i="13" s="1"/>
  <c r="AO55" i="13" s="1"/>
  <c r="AN52" i="13"/>
  <c r="AN53" i="13" s="1"/>
  <c r="AN54" i="13" s="1"/>
  <c r="AN55" i="13" s="1"/>
  <c r="AL82" i="13"/>
  <c r="AL83" i="13" s="1"/>
  <c r="AL84" i="13" s="1"/>
  <c r="AL85" i="13" s="1"/>
  <c r="AN82" i="13"/>
  <c r="AN83" i="13" s="1"/>
  <c r="AN84" i="13" s="1"/>
  <c r="AN85" i="13" s="1"/>
  <c r="AM82" i="13"/>
  <c r="AM83" i="13" s="1"/>
  <c r="AM84" i="13" s="1"/>
  <c r="AM85" i="13" s="1"/>
  <c r="AO82" i="13"/>
  <c r="AO83" i="13" s="1"/>
  <c r="AO84" i="13" s="1"/>
  <c r="AO85" i="13" s="1"/>
  <c r="N54" i="6"/>
  <c r="N55" i="6" s="1"/>
  <c r="B24" i="7"/>
  <c r="B25" i="7" s="1"/>
  <c r="B9" i="1" s="1"/>
  <c r="V24" i="7"/>
  <c r="V25" i="7" s="1"/>
  <c r="U24" i="7"/>
  <c r="U25" i="7" s="1"/>
  <c r="T24" i="7"/>
  <c r="T25" i="7" s="1"/>
  <c r="W24" i="7"/>
  <c r="W25" i="7" s="1"/>
  <c r="B25" i="5"/>
  <c r="B26" i="5" s="1"/>
  <c r="AQ6" i="14" l="1"/>
  <c r="O20" i="1" s="1"/>
  <c r="O21" i="1" s="1"/>
  <c r="AQ6" i="13"/>
  <c r="O10" i="1" s="1"/>
  <c r="O15" i="1" s="1"/>
  <c r="P6" i="6"/>
  <c r="X26" i="6"/>
  <c r="B2" i="5"/>
  <c r="B29" i="1"/>
  <c r="B30" i="1" s="1"/>
  <c r="W82" i="6" l="1"/>
  <c r="W83" i="6" s="1"/>
  <c r="W84" i="6" s="1"/>
  <c r="W85" i="6" s="1"/>
  <c r="L5" i="1"/>
  <c r="L15" i="1" s="1"/>
  <c r="L11" i="1"/>
  <c r="T52" i="6"/>
  <c r="T53" i="6" s="1"/>
  <c r="T54" i="6" s="1"/>
  <c r="T55" i="6" s="1"/>
  <c r="U52" i="6"/>
  <c r="U53" i="6" s="1"/>
  <c r="U54" i="6" s="1"/>
  <c r="U55" i="6" s="1"/>
  <c r="V52" i="6"/>
  <c r="V53" i="6" s="1"/>
  <c r="V54" i="6" s="1"/>
  <c r="V55" i="6" s="1"/>
  <c r="T82" i="6"/>
  <c r="T83" i="6" s="1"/>
  <c r="T84" i="6" s="1"/>
  <c r="T85" i="6" s="1"/>
  <c r="W52" i="6"/>
  <c r="W53" i="6" s="1"/>
  <c r="W54" i="6" s="1"/>
  <c r="W55" i="6" s="1"/>
  <c r="V82" i="6"/>
  <c r="V83" i="6" s="1"/>
  <c r="V84" i="6" s="1"/>
  <c r="V85" i="6" s="1"/>
  <c r="U82" i="6"/>
  <c r="U83" i="6" s="1"/>
  <c r="U84" i="6" s="1"/>
  <c r="U85" i="6" s="1"/>
  <c r="L6" i="1" l="1"/>
  <c r="L16" i="1" s="1"/>
  <c r="AG25" i="6"/>
  <c r="AG26" i="6" s="1"/>
  <c r="Y6" i="6"/>
  <c r="M16" i="1" s="1"/>
  <c r="D20" i="11"/>
  <c r="C20" i="11"/>
  <c r="B23" i="1" s="1"/>
  <c r="B25" i="1" s="1"/>
  <c r="M5" i="1" l="1"/>
  <c r="M6" i="1" s="1"/>
  <c r="M11" i="1"/>
  <c r="AC52" i="6"/>
  <c r="AC53" i="6" s="1"/>
  <c r="AD52" i="6"/>
  <c r="AD53" i="6" s="1"/>
  <c r="AD54" i="6" s="1"/>
  <c r="AD55" i="6" s="1"/>
  <c r="AE52" i="6"/>
  <c r="AE53" i="6" s="1"/>
  <c r="AE54" i="6" s="1"/>
  <c r="AE55" i="6" s="1"/>
  <c r="AF52" i="6"/>
  <c r="AF53" i="6" s="1"/>
  <c r="AF54" i="6" s="1"/>
  <c r="AF55" i="6" s="1"/>
  <c r="AD82" i="6"/>
  <c r="AD83" i="6" s="1"/>
  <c r="AE82" i="6"/>
  <c r="AE83" i="6" s="1"/>
  <c r="AF82" i="6"/>
  <c r="AF83" i="6" s="1"/>
  <c r="AC82" i="6"/>
  <c r="AC83" i="6" s="1"/>
  <c r="AC84" i="6" l="1"/>
  <c r="AC85" i="6" s="1"/>
  <c r="AP25" i="6"/>
  <c r="AF84" i="6"/>
  <c r="AF85" i="6" s="1"/>
  <c r="AE84" i="6"/>
  <c r="AE85" i="6" s="1"/>
  <c r="AD84" i="6"/>
  <c r="AD85" i="6" s="1"/>
  <c r="AC54" i="6"/>
  <c r="AC55" i="6" s="1"/>
  <c r="AH6" i="6" s="1"/>
  <c r="N16" i="1" s="1"/>
  <c r="N5" i="1" l="1"/>
  <c r="N11" i="1"/>
  <c r="AP26" i="6"/>
  <c r="AM82" i="6" l="1"/>
  <c r="AM83" i="6" s="1"/>
  <c r="AN82" i="6"/>
  <c r="AN83" i="6" s="1"/>
  <c r="AO82" i="6"/>
  <c r="AO83" i="6" s="1"/>
  <c r="AL82" i="6"/>
  <c r="AL83" i="6" s="1"/>
  <c r="AM52" i="6"/>
  <c r="AM53" i="6" s="1"/>
  <c r="AO52" i="6"/>
  <c r="AO53" i="6" s="1"/>
  <c r="AN52" i="6"/>
  <c r="AN53" i="6" s="1"/>
  <c r="AL52" i="6"/>
  <c r="AL53" i="6" s="1"/>
  <c r="AL54" i="6" s="1"/>
  <c r="AL55" i="6" s="1"/>
  <c r="N6" i="1"/>
  <c r="AL84" i="6" l="1"/>
  <c r="AL85" i="6" s="1"/>
  <c r="AO84" i="6"/>
  <c r="AO85" i="6" s="1"/>
  <c r="AN84" i="6"/>
  <c r="AN85" i="6" s="1"/>
  <c r="AM84" i="6"/>
  <c r="AM85" i="6" s="1"/>
  <c r="AN54" i="6"/>
  <c r="AN55" i="6" s="1"/>
  <c r="AO54" i="6"/>
  <c r="AO55" i="6" s="1"/>
  <c r="AM54" i="6"/>
  <c r="AM55" i="6" s="1"/>
  <c r="AQ6" i="6" l="1"/>
  <c r="O16" i="1" s="1"/>
  <c r="O5" i="1" l="1"/>
  <c r="O6" i="1" s="1"/>
  <c r="O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5" authorId="0" shapeId="0" xr:uid="{E067F011-4785-467F-A9A6-11F8528996E7}">
      <text>
        <r>
          <rPr>
            <sz val="9"/>
            <color indexed="81"/>
            <rFont val="돋움"/>
            <family val="3"/>
            <charset val="129"/>
          </rPr>
          <t>현재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거주중인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주택
증여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양도하고자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주택</t>
        </r>
        <r>
          <rPr>
            <sz val="9"/>
            <color indexed="81"/>
            <rFont val="Tahoma"/>
            <family val="2"/>
          </rPr>
          <t xml:space="preserve">
(</t>
        </r>
        <r>
          <rPr>
            <sz val="9"/>
            <color indexed="81"/>
            <rFont val="돋움"/>
            <family val="3"/>
            <charset val="129"/>
          </rPr>
          <t>부부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공동명의의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주택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8" authorId="0" shapeId="0" xr:uid="{29747C47-318E-4DFE-9EF4-272BF0C6CD61}">
      <text>
        <r>
          <rPr>
            <b/>
            <sz val="9"/>
            <color indexed="81"/>
            <rFont val="돋움"/>
            <family val="3"/>
            <charset val="129"/>
          </rPr>
          <t>주택의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과표가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상이하여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</text>
    </comment>
    <comment ref="K29" authorId="0" shapeId="0" xr:uid="{4E303BAD-E405-4FD5-8A89-15120220A805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거주를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</t>
        </r>
      </text>
    </comment>
    <comment ref="T29" authorId="0" shapeId="0" xr:uid="{4D0A1006-4EBC-4948-A3C9-0EC63F5C7CE2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거주를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</t>
        </r>
      </text>
    </comment>
    <comment ref="AC29" authorId="0" shapeId="0" xr:uid="{79911F4C-95B1-441C-A212-9044D66ECE07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거주를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</t>
        </r>
      </text>
    </comment>
    <comment ref="AL29" authorId="0" shapeId="0" xr:uid="{33FD1266-249A-4D8E-BAD3-882856831BAE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거주를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</t>
        </r>
      </text>
    </comment>
    <comment ref="B30" authorId="0" shapeId="0" xr:uid="{940EC153-2F65-4DF3-8CB7-00E8568FB9B0}">
      <text>
        <r>
          <rPr>
            <b/>
            <sz val="9"/>
            <color indexed="81"/>
            <rFont val="돋움"/>
            <family val="3"/>
            <charset val="129"/>
          </rPr>
          <t>부부특례이면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보유지분을</t>
        </r>
        <r>
          <rPr>
            <b/>
            <sz val="9"/>
            <color indexed="81"/>
            <rFont val="Tahoma"/>
            <family val="2"/>
          </rPr>
          <t xml:space="preserve"> 100%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임의변경하고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산정하되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세액공제만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각자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</t>
        </r>
      </text>
    </comment>
    <comment ref="K59" authorId="0" shapeId="0" xr:uid="{90DA3E72-F292-436F-8B0A-C30E30E3D8EA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거주를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</t>
        </r>
      </text>
    </comment>
    <comment ref="T59" authorId="0" shapeId="0" xr:uid="{4FD13D5B-C4FA-4FB3-9489-D4A5013DD9BE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거주를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</t>
        </r>
      </text>
    </comment>
    <comment ref="AC59" authorId="0" shapeId="0" xr:uid="{39AE9248-6831-420A-9759-9006F692133F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거주를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</t>
        </r>
      </text>
    </comment>
    <comment ref="AL59" authorId="0" shapeId="0" xr:uid="{3488839D-0C6E-4933-9E92-5C9BDF84D3DF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거주를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8" authorId="0" shapeId="0" xr:uid="{48BF63C3-4B2F-4745-A23E-F3E90B31356B}">
      <text>
        <r>
          <rPr>
            <b/>
            <sz val="9"/>
            <color indexed="81"/>
            <rFont val="돋움"/>
            <family val="3"/>
            <charset val="129"/>
          </rPr>
          <t>주택의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과표가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상이하여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</text>
    </comment>
    <comment ref="K29" authorId="0" shapeId="0" xr:uid="{A804557D-449A-41CD-BDEA-BAD525296DF4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거주를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</t>
        </r>
      </text>
    </comment>
    <comment ref="AC29" authorId="0" shapeId="0" xr:uid="{E0A6F4E0-F456-4005-98D4-2D2DA29C47A3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거주를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</t>
        </r>
      </text>
    </comment>
    <comment ref="AL29" authorId="0" shapeId="0" xr:uid="{FC7411FB-C5EA-4304-81E3-F39086F942AD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거주를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</t>
        </r>
      </text>
    </comment>
    <comment ref="B30" authorId="0" shapeId="0" xr:uid="{AD387EE8-4217-42DF-9724-D01FFAA322A3}">
      <text>
        <r>
          <rPr>
            <b/>
            <sz val="9"/>
            <color indexed="81"/>
            <rFont val="돋움"/>
            <family val="3"/>
            <charset val="129"/>
          </rPr>
          <t>부부특례이면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보유지분을</t>
        </r>
        <r>
          <rPr>
            <b/>
            <sz val="9"/>
            <color indexed="81"/>
            <rFont val="Tahoma"/>
            <family val="2"/>
          </rPr>
          <t xml:space="preserve"> 100%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임의변경하고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산정하되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세액공제만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각자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</t>
        </r>
      </text>
    </comment>
    <comment ref="K59" authorId="0" shapeId="0" xr:uid="{83183D8E-9DED-4AB0-B3B9-62CF051A98A3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거주를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</t>
        </r>
      </text>
    </comment>
    <comment ref="T59" authorId="0" shapeId="0" xr:uid="{00434235-1A9C-4621-8F99-567AA3911655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거주를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</t>
        </r>
      </text>
    </comment>
    <comment ref="AL59" authorId="0" shapeId="0" xr:uid="{7DF1D7CD-45AB-4F00-BC32-08B252E9A4F9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거주를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8" authorId="0" shapeId="0" xr:uid="{A183F79E-6726-446B-89F7-86B5A15FF632}">
      <text>
        <r>
          <rPr>
            <b/>
            <sz val="9"/>
            <color indexed="81"/>
            <rFont val="돋움"/>
            <family val="3"/>
            <charset val="129"/>
          </rPr>
          <t>주택의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과표가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상이하여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</text>
    </comment>
    <comment ref="K29" authorId="0" shapeId="0" xr:uid="{3D0AD888-C798-4CD5-B6BE-F5355125BB11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거주를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</t>
        </r>
      </text>
    </comment>
    <comment ref="T29" authorId="0" shapeId="0" xr:uid="{A79D940A-341A-43FF-9481-4A981B2DD37F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거주를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</t>
        </r>
      </text>
    </comment>
    <comment ref="AC29" authorId="0" shapeId="0" xr:uid="{BDE1DE1E-3D66-4AE2-A734-2C36263BD4D2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거주를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</t>
        </r>
      </text>
    </comment>
    <comment ref="AL29" authorId="0" shapeId="0" xr:uid="{833150D2-FC97-4574-983C-A1F133DA8E7C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거주를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</t>
        </r>
      </text>
    </comment>
    <comment ref="B30" authorId="0" shapeId="0" xr:uid="{BE9AE9F2-C88B-42F5-A73D-26B5715E8CE6}">
      <text>
        <r>
          <rPr>
            <b/>
            <sz val="9"/>
            <color indexed="81"/>
            <rFont val="돋움"/>
            <family val="3"/>
            <charset val="129"/>
          </rPr>
          <t>부부특례이면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보유지분을</t>
        </r>
        <r>
          <rPr>
            <b/>
            <sz val="9"/>
            <color indexed="81"/>
            <rFont val="Tahoma"/>
            <family val="2"/>
          </rPr>
          <t xml:space="preserve"> 100%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임의변경하고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산정하되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세액공제만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각자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</t>
        </r>
      </text>
    </comment>
    <comment ref="K59" authorId="0" shapeId="0" xr:uid="{0E6E17D1-B0E8-4EDE-8BC9-C574A6CA2265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거주를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</t>
        </r>
      </text>
    </comment>
    <comment ref="T59" authorId="0" shapeId="0" xr:uid="{51E4AA9A-E981-4332-8B87-3648A9ED6079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거주를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</t>
        </r>
      </text>
    </comment>
    <comment ref="AC59" authorId="0" shapeId="0" xr:uid="{8BED77FC-48FE-4EB2-BF15-29EA21E6314A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거주를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</t>
        </r>
      </text>
    </comment>
    <comment ref="AL59" authorId="0" shapeId="0" xr:uid="{4CD984EA-5A09-4F89-AA68-7471E5C4762D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거주를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<sst xmlns="http://schemas.openxmlformats.org/spreadsheetml/2006/main" count="2360" uniqueCount="326">
  <si>
    <t>1세대1주택</t>
  </si>
  <si>
    <t>지역구분</t>
  </si>
  <si>
    <t>거주</t>
  </si>
  <si>
    <t>연령</t>
  </si>
  <si>
    <t>2주택</t>
  </si>
  <si>
    <t>3주택</t>
  </si>
  <si>
    <t>4주택</t>
  </si>
  <si>
    <t>중과세율</t>
  </si>
  <si>
    <t>주택1</t>
  </si>
  <si>
    <t>주택2</t>
  </si>
  <si>
    <t>비고</t>
  </si>
  <si>
    <t>주택3</t>
  </si>
  <si>
    <t>주택4</t>
  </si>
  <si>
    <t>건축물</t>
  </si>
  <si>
    <t>주택</t>
  </si>
  <si>
    <t>토지1</t>
  </si>
  <si>
    <t>감정평가</t>
  </si>
  <si>
    <t>토지2</t>
  </si>
  <si>
    <t>종합합산토지</t>
  </si>
  <si>
    <t>조정대상지역</t>
  </si>
  <si>
    <t>금융재산/채무</t>
  </si>
  <si>
    <t>별도합산토지</t>
  </si>
  <si>
    <t>보험</t>
  </si>
  <si>
    <t>근로소득</t>
  </si>
  <si>
    <t>차량</t>
  </si>
  <si>
    <t>회원권</t>
  </si>
  <si>
    <t>기타재산1</t>
  </si>
  <si>
    <t>기타재산2</t>
  </si>
  <si>
    <t>기타재산3</t>
  </si>
  <si>
    <t>그 외 채무</t>
  </si>
  <si>
    <t>사전증여재산</t>
  </si>
  <si>
    <t>기증여산출세액</t>
  </si>
  <si>
    <t>취득세</t>
  </si>
  <si>
    <t>85 초과</t>
  </si>
  <si>
    <t>지방교육세</t>
  </si>
  <si>
    <t>농어촌특별세</t>
  </si>
  <si>
    <t>주소</t>
  </si>
  <si>
    <t>보충적평가액</t>
  </si>
  <si>
    <t>일반지역</t>
  </si>
  <si>
    <t>시가표준액</t>
  </si>
  <si>
    <t>구분</t>
  </si>
  <si>
    <t>취득가액</t>
  </si>
  <si>
    <t>보유기간</t>
  </si>
  <si>
    <t>거주기간</t>
  </si>
  <si>
    <t>다주택자</t>
  </si>
  <si>
    <t>보유지분</t>
  </si>
  <si>
    <t>소계</t>
  </si>
  <si>
    <t>관계</t>
  </si>
  <si>
    <t>배우자</t>
  </si>
  <si>
    <t>상속지분</t>
  </si>
  <si>
    <t>상증공제</t>
  </si>
  <si>
    <t>직계존비속</t>
  </si>
  <si>
    <t>자녀</t>
  </si>
  <si>
    <t>동거</t>
  </si>
  <si>
    <t>농어촌</t>
  </si>
  <si>
    <t>증여자</t>
  </si>
  <si>
    <t>미성년자</t>
  </si>
  <si>
    <t>증여지분</t>
  </si>
  <si>
    <t>총금액</t>
  </si>
  <si>
    <t>증여재산가액</t>
  </si>
  <si>
    <t>합계</t>
  </si>
  <si>
    <t>증여재산공제</t>
  </si>
  <si>
    <t>과세표준</t>
  </si>
  <si>
    <t>세율</t>
  </si>
  <si>
    <t>산출세액</t>
  </si>
  <si>
    <t>증여세액공제</t>
  </si>
  <si>
    <t>예상증가율(%)</t>
  </si>
  <si>
    <t>현행법</t>
  </si>
  <si>
    <t>기본공제확대</t>
  </si>
  <si>
    <t>주택소계</t>
  </si>
  <si>
    <t>장특공한도</t>
  </si>
  <si>
    <t>비사토</t>
  </si>
  <si>
    <t>부부</t>
  </si>
  <si>
    <t>건물</t>
  </si>
  <si>
    <t>지역</t>
  </si>
  <si>
    <t>보유</t>
  </si>
  <si>
    <t>시가표준액(예상)</t>
  </si>
  <si>
    <t>적용세율</t>
  </si>
  <si>
    <t>공정시장가액비율</t>
  </si>
  <si>
    <t>매도지분</t>
  </si>
  <si>
    <t>동일주택분할매도</t>
  </si>
  <si>
    <t>지분양도가액</t>
  </si>
  <si>
    <t>취득가액 등</t>
  </si>
  <si>
    <t>양도차익</t>
  </si>
  <si>
    <t>과세대상 양도차익</t>
  </si>
  <si>
    <t>장기보유특별공제</t>
  </si>
  <si>
    <t>과세표준(주택상한)</t>
  </si>
  <si>
    <t>소득금액</t>
  </si>
  <si>
    <t>재산세 과세표준</t>
  </si>
  <si>
    <t>기본공제</t>
  </si>
  <si>
    <t>t</t>
  </si>
  <si>
    <t>채무액</t>
  </si>
  <si>
    <t>Ⅰ. 증여자 부담 예상세액</t>
  </si>
  <si>
    <t>재산세액</t>
  </si>
  <si>
    <t>도시지역분</t>
  </si>
  <si>
    <t>지역자원시설세</t>
  </si>
  <si>
    <t>재산세납부액</t>
  </si>
  <si>
    <t>양도소득세</t>
  </si>
  <si>
    <t xml:space="preserve"> 전년도 과세표준</t>
  </si>
  <si>
    <t>지방소득세</t>
  </si>
  <si>
    <t>* 개정안 기본공제의 합산과세는 적용하지 않음(부부여부,분할양도는 적용)</t>
  </si>
  <si>
    <t>소유자1 거주지</t>
  </si>
  <si>
    <t>소유지분(%)</t>
  </si>
  <si>
    <t>보유기간(연)</t>
  </si>
  <si>
    <t>보유공제</t>
  </si>
  <si>
    <t>보유공제(%)</t>
  </si>
  <si>
    <t>주택수</t>
  </si>
  <si>
    <t>Ⅱ. 수증자 부담 예상세액</t>
  </si>
  <si>
    <t>연령(세)</t>
  </si>
  <si>
    <t>상속재산가액</t>
  </si>
  <si>
    <t>연령공제</t>
  </si>
  <si>
    <t>주택재산세율</t>
  </si>
  <si>
    <t>채무</t>
  </si>
  <si>
    <t>재산세 공정시장가액비율</t>
  </si>
  <si>
    <t>2026년 종합부동산세 세율</t>
  </si>
  <si>
    <t>연령공제(%)</t>
  </si>
  <si>
    <t>종합합산토지 세율</t>
  </si>
  <si>
    <t>종부세 공정시장가액비율</t>
  </si>
  <si>
    <t>기본세율</t>
  </si>
  <si>
    <t>기본세율+10%</t>
  </si>
  <si>
    <t>기본세율+20%</t>
  </si>
  <si>
    <t>기본세율+30%</t>
  </si>
  <si>
    <t>배우자상속공제</t>
  </si>
  <si>
    <t>현재</t>
  </si>
  <si>
    <t>증여재산한도(10년)</t>
  </si>
  <si>
    <t>상속/증여세율</t>
  </si>
  <si>
    <t>금융재산공제</t>
  </si>
  <si>
    <t>과세표준 이하</t>
  </si>
  <si>
    <t>주택t</t>
  </si>
  <si>
    <t>표준누진공제</t>
  </si>
  <si>
    <t>1세대t</t>
  </si>
  <si>
    <t>1주택누진공제</t>
  </si>
  <si>
    <t>비율</t>
  </si>
  <si>
    <t>일괄공제</t>
  </si>
  <si>
    <t>기본누진공제</t>
  </si>
  <si>
    <t>중과누진공제</t>
  </si>
  <si>
    <t>누진공제</t>
  </si>
  <si>
    <t>1주택거주</t>
  </si>
  <si>
    <t>and</t>
  </si>
  <si>
    <t>동거상속공제</t>
  </si>
  <si>
    <t>3주택이상</t>
  </si>
  <si>
    <t>1주택보유</t>
  </si>
  <si>
    <t>주택공시가격</t>
  </si>
  <si>
    <t>기타친족</t>
  </si>
  <si>
    <t>6억초과</t>
  </si>
  <si>
    <t>공제금액</t>
  </si>
  <si>
    <t>다주택거주</t>
  </si>
  <si>
    <t>or</t>
  </si>
  <si>
    <t>다주택보유</t>
  </si>
  <si>
    <t>별도합산토지 세율</t>
  </si>
  <si>
    <t>비조정대상지역</t>
  </si>
  <si>
    <t>종합합산토지세율</t>
  </si>
  <si>
    <t>공제한도</t>
  </si>
  <si>
    <t>공제초과금액</t>
  </si>
  <si>
    <t>2027년 종합부동산세 세율</t>
  </si>
  <si>
    <t>1,2주택t</t>
  </si>
  <si>
    <t>1,2주택누진공제</t>
  </si>
  <si>
    <t>3주택t</t>
  </si>
  <si>
    <t>3주택누진공제</t>
  </si>
  <si>
    <t>별도합산토지세율</t>
  </si>
  <si>
    <t>건축물세율</t>
  </si>
  <si>
    <t>골프장</t>
  </si>
  <si>
    <t>2028년 종합부동산세 세율</t>
  </si>
  <si>
    <t>공장</t>
  </si>
  <si>
    <t>모든주택t</t>
  </si>
  <si>
    <t>모든주택누진공제</t>
  </si>
  <si>
    <t>1. 양도분 취득세</t>
  </si>
  <si>
    <t>종합부동산세액</t>
  </si>
  <si>
    <t>공제할재산세액</t>
  </si>
  <si>
    <t>세부담상한초과세액</t>
  </si>
  <si>
    <t>2. 증여분 취득세</t>
  </si>
  <si>
    <t>종합부동산세</t>
  </si>
  <si>
    <t>종부세납부액</t>
  </si>
  <si>
    <t>특수관계</t>
  </si>
  <si>
    <t>특수관계</t>
    <phoneticPr fontId="15" type="noConversion"/>
  </si>
  <si>
    <t>양수자1</t>
    <phoneticPr fontId="15" type="noConversion"/>
  </si>
  <si>
    <t>양수자2</t>
    <phoneticPr fontId="15" type="noConversion"/>
  </si>
  <si>
    <t>기준양도금액</t>
    <phoneticPr fontId="15" type="noConversion"/>
  </si>
  <si>
    <t>양도가액(지분)</t>
    <phoneticPr fontId="15" type="noConversion"/>
  </si>
  <si>
    <t>양도가액(지분)=채무</t>
    <phoneticPr fontId="15" type="noConversion"/>
  </si>
  <si>
    <t>특수관계의 양도가액</t>
    <phoneticPr fontId="15" type="noConversion"/>
  </si>
  <si>
    <t>양도자: 저가양도</t>
    <phoneticPr fontId="15" type="noConversion"/>
  </si>
  <si>
    <t>부계부 양도가액</t>
    <phoneticPr fontId="15" type="noConversion"/>
  </si>
  <si>
    <t>Ⅰ. 양도자 부담</t>
    <phoneticPr fontId="15" type="noConversion"/>
  </si>
  <si>
    <t>주택면적</t>
    <phoneticPr fontId="15" type="noConversion"/>
  </si>
  <si>
    <t>Ⅱ. 양수자 부담</t>
    <phoneticPr fontId="15" type="noConversion"/>
  </si>
  <si>
    <t>양도소득세</t>
    <phoneticPr fontId="15" type="noConversion"/>
  </si>
  <si>
    <t>재산세 소계</t>
    <phoneticPr fontId="15" type="noConversion"/>
  </si>
  <si>
    <t>2026년 비과세</t>
    <phoneticPr fontId="15" type="noConversion"/>
  </si>
  <si>
    <t>2027년 비과세</t>
    <phoneticPr fontId="15" type="noConversion"/>
  </si>
  <si>
    <t>2028년 비과세</t>
    <phoneticPr fontId="15" type="noConversion"/>
  </si>
  <si>
    <t>일반과세</t>
    <phoneticPr fontId="15" type="noConversion"/>
  </si>
  <si>
    <t>2주택 중과세</t>
    <phoneticPr fontId="15" type="noConversion"/>
  </si>
  <si>
    <t>3주택 중과세</t>
    <phoneticPr fontId="15" type="noConversion"/>
  </si>
  <si>
    <t>증여세(자녀)</t>
    <phoneticPr fontId="15" type="noConversion"/>
  </si>
  <si>
    <t>증여취득세(자녀)</t>
    <phoneticPr fontId="15" type="noConversion"/>
  </si>
  <si>
    <t>증여 합계</t>
    <phoneticPr fontId="15" type="noConversion"/>
  </si>
  <si>
    <t>저가양수도</t>
    <phoneticPr fontId="15" type="noConversion"/>
  </si>
  <si>
    <t>시가</t>
    <phoneticPr fontId="15" type="noConversion"/>
  </si>
  <si>
    <t>필요자금(3억 or 30% 차감금액)</t>
    <phoneticPr fontId="15" type="noConversion"/>
  </si>
  <si>
    <t>매매취득세</t>
    <phoneticPr fontId="15" type="noConversion"/>
  </si>
  <si>
    <t>순수증여</t>
    <phoneticPr fontId="15" type="noConversion"/>
  </si>
  <si>
    <t>종합부동산세 소계</t>
    <phoneticPr fontId="15" type="noConversion"/>
  </si>
  <si>
    <t>합계</t>
    <phoneticPr fontId="15" type="noConversion"/>
  </si>
  <si>
    <t>*보유세(현행 보유)</t>
    <phoneticPr fontId="15" type="noConversion"/>
  </si>
  <si>
    <t>(15% 상승 가정)</t>
    <phoneticPr fontId="15" type="noConversion"/>
  </si>
  <si>
    <t>*보유세(2026년 양도/증여 후)</t>
    <phoneticPr fontId="15" type="noConversion"/>
  </si>
  <si>
    <t>*보유세(2027년 6/1 이후 양도/증여)</t>
    <phoneticPr fontId="15" type="noConversion"/>
  </si>
  <si>
    <t>*자녀의 보유세</t>
    <phoneticPr fontId="15" type="noConversion"/>
  </si>
  <si>
    <t>1주택</t>
    <phoneticPr fontId="15" type="noConversion"/>
  </si>
  <si>
    <t>2주택</t>
    <phoneticPr fontId="15" type="noConversion"/>
  </si>
  <si>
    <t>3주택</t>
    <phoneticPr fontId="15" type="noConversion"/>
  </si>
  <si>
    <t>1.1~3.3%</t>
    <phoneticPr fontId="15" type="noConversion"/>
  </si>
  <si>
    <t>85 초과</t>
    <phoneticPr fontId="15" type="noConversion"/>
  </si>
  <si>
    <t>1.3~3.5%</t>
    <phoneticPr fontId="15" type="noConversion"/>
  </si>
  <si>
    <t>4주택</t>
    <phoneticPr fontId="15" type="noConversion"/>
  </si>
  <si>
    <t>주택수</t>
    <phoneticPr fontId="15" type="noConversion"/>
  </si>
  <si>
    <t>유상취득</t>
    <phoneticPr fontId="15" type="noConversion"/>
  </si>
  <si>
    <t>무주택자</t>
    <phoneticPr fontId="15" type="noConversion"/>
  </si>
  <si>
    <t>상속취득</t>
    <phoneticPr fontId="15" type="noConversion"/>
  </si>
  <si>
    <t>일반지역</t>
    <phoneticPr fontId="15" type="noConversion"/>
  </si>
  <si>
    <t>조정대상지역</t>
    <phoneticPr fontId="15" type="noConversion"/>
  </si>
  <si>
    <t>무상취득</t>
    <phoneticPr fontId="15" type="noConversion"/>
  </si>
  <si>
    <t>국평</t>
    <phoneticPr fontId="15" type="noConversion"/>
  </si>
  <si>
    <t>관계</t>
    <phoneticPr fontId="15" type="noConversion"/>
  </si>
  <si>
    <t>수증자이름</t>
    <phoneticPr fontId="15" type="noConversion"/>
  </si>
  <si>
    <t>지역</t>
    <phoneticPr fontId="15" type="noConversion"/>
  </si>
  <si>
    <t>재산구분</t>
    <phoneticPr fontId="15" type="noConversion"/>
  </si>
  <si>
    <t>보유지분</t>
    <phoneticPr fontId="15" type="noConversion"/>
  </si>
  <si>
    <t>자산가</t>
    <phoneticPr fontId="15" type="noConversion"/>
  </si>
  <si>
    <t>취득세율</t>
    <phoneticPr fontId="15" type="noConversion"/>
  </si>
  <si>
    <t>취득세</t>
    <phoneticPr fontId="15" type="noConversion"/>
  </si>
  <si>
    <t>증여세</t>
    <phoneticPr fontId="15" type="noConversion"/>
  </si>
  <si>
    <t>보유기간</t>
    <phoneticPr fontId="15" type="noConversion"/>
  </si>
  <si>
    <t>거주기간</t>
    <phoneticPr fontId="15" type="noConversion"/>
  </si>
  <si>
    <t>감정평가</t>
    <phoneticPr fontId="15" type="noConversion"/>
  </si>
  <si>
    <t>취득가액</t>
    <phoneticPr fontId="15" type="noConversion"/>
  </si>
  <si>
    <t>채무액</t>
    <phoneticPr fontId="15" type="noConversion"/>
  </si>
  <si>
    <t>사전증여재산</t>
    <phoneticPr fontId="15" type="noConversion"/>
  </si>
  <si>
    <t>국평</t>
  </si>
  <si>
    <t>취득세+지방교육세</t>
    <phoneticPr fontId="15" type="noConversion"/>
  </si>
  <si>
    <t>취득세율 등</t>
    <phoneticPr fontId="15" type="noConversion"/>
  </si>
  <si>
    <t>상속재산가액</t>
    <phoneticPr fontId="15" type="noConversion"/>
  </si>
  <si>
    <t>농지</t>
    <phoneticPr fontId="15" type="noConversion"/>
  </si>
  <si>
    <t>무주택자 0.96%, 자경농지 0.18%</t>
    <phoneticPr fontId="15" type="noConversion"/>
  </si>
  <si>
    <t>세율</t>
    <phoneticPr fontId="21" type="noConversion"/>
  </si>
  <si>
    <t>주택 유상취득</t>
    <phoneticPr fontId="21" type="noConversion"/>
  </si>
  <si>
    <t>조정대상지역 내(외)</t>
    <phoneticPr fontId="21" type="noConversion"/>
  </si>
  <si>
    <t>주택 외</t>
    <phoneticPr fontId="21" type="noConversion"/>
  </si>
  <si>
    <t>6억원 이하</t>
    <phoneticPr fontId="21" type="noConversion"/>
  </si>
  <si>
    <t>6억원~9억원</t>
    <phoneticPr fontId="21" type="noConversion"/>
  </si>
  <si>
    <t>9억원 초과</t>
    <phoneticPr fontId="21" type="noConversion"/>
  </si>
  <si>
    <t>2주택(3주택)</t>
    <phoneticPr fontId="21" type="noConversion"/>
  </si>
  <si>
    <t>3주택(4주택)</t>
    <phoneticPr fontId="21" type="noConversion"/>
  </si>
  <si>
    <t>취득세율</t>
    <phoneticPr fontId="21" type="noConversion"/>
  </si>
  <si>
    <t>지방교육세율</t>
    <phoneticPr fontId="21" type="noConversion"/>
  </si>
  <si>
    <t>농어촌특별세율</t>
    <phoneticPr fontId="21" type="noConversion"/>
  </si>
  <si>
    <r>
      <t>취득세액: 85</t>
    </r>
    <r>
      <rPr>
        <sz val="11"/>
        <color theme="1"/>
        <rFont val="맑은 고딕"/>
        <family val="3"/>
        <charset val="129"/>
      </rPr>
      <t>㎡ 이하</t>
    </r>
    <phoneticPr fontId="21" type="noConversion"/>
  </si>
  <si>
    <r>
      <t>취득세액: 85</t>
    </r>
    <r>
      <rPr>
        <sz val="11"/>
        <color theme="1"/>
        <rFont val="맑은 고딕"/>
        <family val="3"/>
        <charset val="129"/>
      </rPr>
      <t>㎡ 초과</t>
    </r>
    <phoneticPr fontId="21" type="noConversion"/>
  </si>
  <si>
    <t>취득세 산정기준</t>
    <phoneticPr fontId="15" type="noConversion"/>
  </si>
  <si>
    <t>토지</t>
  </si>
  <si>
    <t>주택특징</t>
    <phoneticPr fontId="15" type="noConversion"/>
  </si>
  <si>
    <r>
      <rPr>
        <sz val="11"/>
        <color theme="1"/>
        <rFont val="Calibri"/>
        <family val="3"/>
        <charset val="129"/>
        <scheme val="minor"/>
      </rPr>
      <t>주택특징</t>
    </r>
    <phoneticPr fontId="15" type="noConversion"/>
  </si>
  <si>
    <t>주택</t>
    <phoneticPr fontId="15" type="noConversion"/>
  </si>
  <si>
    <t>토지1</t>
    <phoneticPr fontId="15" type="noConversion"/>
  </si>
  <si>
    <t>수기기입가능</t>
    <phoneticPr fontId="15" type="noConversion"/>
  </si>
  <si>
    <t>필수선택</t>
    <phoneticPr fontId="15" type="noConversion"/>
  </si>
  <si>
    <t>필수기입</t>
    <phoneticPr fontId="15" type="noConversion"/>
  </si>
  <si>
    <t>세액공제</t>
    <phoneticPr fontId="15" type="noConversion"/>
  </si>
  <si>
    <t>전년도 재산세액(도시X)</t>
    <phoneticPr fontId="15" type="noConversion"/>
  </si>
  <si>
    <t>세부담상한초과세액</t>
    <phoneticPr fontId="15" type="noConversion"/>
  </si>
  <si>
    <t>세액공제 후 종부세액</t>
    <phoneticPr fontId="15" type="noConversion"/>
  </si>
  <si>
    <t>전년도 종합부동산세(농어X)</t>
    <phoneticPr fontId="15" type="noConversion"/>
  </si>
  <si>
    <t>개정안</t>
    <phoneticPr fontId="15" type="noConversion"/>
  </si>
  <si>
    <t>거주</t>
    <phoneticPr fontId="15" type="noConversion"/>
  </si>
  <si>
    <t xml:space="preserve"> </t>
    <phoneticPr fontId="15" type="noConversion"/>
  </si>
  <si>
    <t>소유자1의 거주지</t>
    <phoneticPr fontId="15" type="noConversion"/>
  </si>
  <si>
    <r>
      <rPr>
        <sz val="11"/>
        <color rgb="FF006100"/>
        <rFont val="Calibri"/>
        <family val="3"/>
        <charset val="129"/>
        <scheme val="minor"/>
      </rPr>
      <t>거주기간</t>
    </r>
    <phoneticPr fontId="15" type="noConversion"/>
  </si>
  <si>
    <r>
      <rPr>
        <sz val="11"/>
        <color rgb="FF006100"/>
        <rFont val="Calibri"/>
        <family val="3"/>
        <charset val="129"/>
        <scheme val="minor"/>
      </rPr>
      <t>거주공제</t>
    </r>
    <r>
      <rPr>
        <sz val="11"/>
        <color rgb="FF006100"/>
        <rFont val="Calibri"/>
        <family val="2"/>
        <scheme val="minor"/>
      </rPr>
      <t>(%)</t>
    </r>
  </si>
  <si>
    <r>
      <rPr>
        <sz val="11"/>
        <color rgb="FF006100"/>
        <rFont val="Calibri"/>
        <family val="3"/>
        <charset val="129"/>
        <scheme val="minor"/>
      </rPr>
      <t>공정시장가액비율</t>
    </r>
  </si>
  <si>
    <r>
      <rPr>
        <sz val="11"/>
        <color rgb="FF006100"/>
        <rFont val="Calibri"/>
        <family val="3"/>
        <charset val="129"/>
        <scheme val="minor"/>
      </rPr>
      <t>거주기간</t>
    </r>
    <r>
      <rPr>
        <sz val="11"/>
        <color rgb="FF006100"/>
        <rFont val="Calibri"/>
        <family val="2"/>
        <scheme val="minor"/>
      </rPr>
      <t>(</t>
    </r>
    <r>
      <rPr>
        <sz val="11"/>
        <color rgb="FF006100"/>
        <rFont val="Calibri"/>
        <family val="3"/>
        <charset val="129"/>
        <scheme val="minor"/>
      </rPr>
      <t>연</t>
    </r>
    <r>
      <rPr>
        <sz val="11"/>
        <color rgb="FF006100"/>
        <rFont val="Calibri"/>
        <family val="2"/>
        <scheme val="minor"/>
      </rPr>
      <t>)</t>
    </r>
  </si>
  <si>
    <t>증여시점</t>
    <phoneticPr fontId="15" type="noConversion"/>
  </si>
  <si>
    <r>
      <t>(</t>
    </r>
    <r>
      <rPr>
        <sz val="11"/>
        <color theme="1"/>
        <rFont val="맑은 고딕"/>
        <family val="2"/>
        <charset val="129"/>
      </rPr>
      <t>이름)</t>
    </r>
    <phoneticPr fontId="15" type="noConversion"/>
  </si>
  <si>
    <t>대상1</t>
    <phoneticPr fontId="15" type="noConversion"/>
  </si>
  <si>
    <t>성춘향</t>
    <phoneticPr fontId="15" type="noConversion"/>
  </si>
  <si>
    <t>대상2</t>
    <phoneticPr fontId="15" type="noConversion"/>
  </si>
  <si>
    <t>대상3</t>
    <phoneticPr fontId="15" type="noConversion"/>
  </si>
  <si>
    <t>대상4</t>
    <phoneticPr fontId="15" type="noConversion"/>
  </si>
  <si>
    <t>대상5</t>
    <phoneticPr fontId="15" type="noConversion"/>
  </si>
  <si>
    <t>건축물</t>
    <phoneticPr fontId="15" type="noConversion"/>
  </si>
  <si>
    <t>토지2</t>
    <phoneticPr fontId="15" type="noConversion"/>
  </si>
  <si>
    <t>홍상수</t>
  </si>
  <si>
    <t>홍상수</t>
    <phoneticPr fontId="15" type="noConversion"/>
  </si>
  <si>
    <t>주택1</t>
    <phoneticPr fontId="15" type="noConversion"/>
  </si>
  <si>
    <r>
      <t>2026</t>
    </r>
    <r>
      <rPr>
        <sz val="11"/>
        <color theme="1"/>
        <rFont val="맑은 고딕"/>
        <family val="3"/>
        <charset val="129"/>
      </rPr>
      <t>년 비과세</t>
    </r>
    <phoneticPr fontId="15" type="noConversion"/>
  </si>
  <si>
    <t>상속세</t>
    <phoneticPr fontId="15" type="noConversion"/>
  </si>
  <si>
    <t>상속취득세</t>
    <phoneticPr fontId="15" type="noConversion"/>
  </si>
  <si>
    <t>저가양수도 합계</t>
    <phoneticPr fontId="15" type="noConversion"/>
  </si>
  <si>
    <t>상속 합계</t>
    <phoneticPr fontId="15" type="noConversion"/>
  </si>
  <si>
    <r>
      <t>2026</t>
    </r>
    <r>
      <rPr>
        <b/>
        <sz val="11"/>
        <color rgb="FFFF0000"/>
        <rFont val="맑은 고딕"/>
        <family val="3"/>
        <charset val="129"/>
      </rPr>
      <t>년 비과세</t>
    </r>
    <phoneticPr fontId="15" type="noConversion"/>
  </si>
  <si>
    <r>
      <t>2027</t>
    </r>
    <r>
      <rPr>
        <b/>
        <sz val="11"/>
        <color rgb="FFFF0000"/>
        <rFont val="맑은 고딕"/>
        <family val="3"/>
        <charset val="129"/>
      </rPr>
      <t>년</t>
    </r>
    <r>
      <rPr>
        <b/>
        <sz val="11"/>
        <color rgb="FFFF0000"/>
        <rFont val="Calibri"/>
        <family val="3"/>
      </rPr>
      <t xml:space="preserve"> </t>
    </r>
    <r>
      <rPr>
        <b/>
        <sz val="11"/>
        <color rgb="FFFF0000"/>
        <rFont val="맑은 고딕"/>
        <family val="3"/>
        <charset val="129"/>
      </rPr>
      <t>비과세</t>
    </r>
    <phoneticPr fontId="15" type="noConversion"/>
  </si>
  <si>
    <r>
      <t>2028</t>
    </r>
    <r>
      <rPr>
        <b/>
        <sz val="11"/>
        <color rgb="FFFF0000"/>
        <rFont val="맑은 고딕"/>
        <family val="3"/>
        <charset val="129"/>
      </rPr>
      <t>년</t>
    </r>
    <r>
      <rPr>
        <b/>
        <sz val="11"/>
        <color rgb="FFFF0000"/>
        <rFont val="Calibri"/>
        <family val="3"/>
      </rPr>
      <t xml:space="preserve"> </t>
    </r>
    <r>
      <rPr>
        <b/>
        <sz val="11"/>
        <color rgb="FFFF0000"/>
        <rFont val="맑은 고딕"/>
        <family val="3"/>
        <charset val="129"/>
      </rPr>
      <t>비과세</t>
    </r>
    <phoneticPr fontId="15" type="noConversion"/>
  </si>
  <si>
    <r>
      <t>2026</t>
    </r>
    <r>
      <rPr>
        <sz val="11"/>
        <color theme="1"/>
        <rFont val="맑은 고딕"/>
        <family val="3"/>
        <charset val="129"/>
      </rPr>
      <t>년</t>
    </r>
    <phoneticPr fontId="15" type="noConversion"/>
  </si>
  <si>
    <r>
      <t>2027년</t>
    </r>
    <r>
      <rPr>
        <sz val="11"/>
        <color theme="1"/>
        <rFont val="맑은 고딕"/>
        <family val="3"/>
        <charset val="129"/>
      </rPr>
      <t/>
    </r>
  </si>
  <si>
    <r>
      <t>2028년</t>
    </r>
    <r>
      <rPr>
        <sz val="11"/>
        <color theme="1"/>
        <rFont val="맑은 고딕"/>
        <family val="3"/>
        <charset val="129"/>
      </rPr>
      <t/>
    </r>
  </si>
  <si>
    <r>
      <t>2029년</t>
    </r>
    <r>
      <rPr>
        <sz val="11"/>
        <color theme="1"/>
        <rFont val="맑은 고딕"/>
        <family val="3"/>
        <charset val="129"/>
      </rPr>
      <t/>
    </r>
  </si>
  <si>
    <r>
      <t>2030년</t>
    </r>
    <r>
      <rPr>
        <sz val="11"/>
        <color theme="1"/>
        <rFont val="맑은 고딕"/>
        <family val="3"/>
        <charset val="129"/>
      </rPr>
      <t/>
    </r>
  </si>
  <si>
    <t>초과분</t>
    <phoneticPr fontId="15" type="noConversion"/>
  </si>
  <si>
    <t>소유자1</t>
    <phoneticPr fontId="15" type="noConversion"/>
  </si>
  <si>
    <t>소유자2</t>
    <phoneticPr fontId="15" type="noConversion"/>
  </si>
  <si>
    <t>소유자</t>
    <phoneticPr fontId="15" type="noConversion"/>
  </si>
  <si>
    <r>
      <t>1세대</t>
    </r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charset val="129"/>
        <scheme val="minor"/>
      </rPr>
      <t>주택</t>
    </r>
  </si>
  <si>
    <t>확인 후 기입</t>
    <phoneticPr fontId="15" type="noConversion"/>
  </si>
  <si>
    <t>해당없음</t>
    <phoneticPr fontId="15" type="noConversion"/>
  </si>
  <si>
    <t>* 부부특례이면 1세대1주택을, 각자이면 주택을 선택</t>
    <phoneticPr fontId="15" type="noConversion"/>
  </si>
  <si>
    <t>재산세납부액</t>
    <phoneticPr fontId="15" type="noConversion"/>
  </si>
  <si>
    <t>소유자2의 거주지</t>
    <phoneticPr fontId="15" type="noConversion"/>
  </si>
  <si>
    <t>비거주1주택</t>
    <phoneticPr fontId="15" type="noConversion"/>
  </si>
  <si>
    <t>거주용1주택</t>
  </si>
  <si>
    <t>거주용1주택</t>
    <phoneticPr fontId="15" type="noConversion"/>
  </si>
  <si>
    <t>홍길동</t>
    <phoneticPr fontId="15" type="noConversion"/>
  </si>
  <si>
    <t>강남</t>
    <phoneticPr fontId="15" type="noConversion"/>
  </si>
  <si>
    <t>대구</t>
    <phoneticPr fontId="15" type="noConversion"/>
  </si>
  <si>
    <t>파주</t>
    <phoneticPr fontId="15" type="noConversion"/>
  </si>
  <si>
    <t>영등포</t>
    <phoneticPr fontId="15" type="noConversion"/>
  </si>
  <si>
    <t>신사동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</si>
</sst>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_-* #,##0_-;\-* #,##0_-;_-* &quot;-&quot;_-;_-@"/>
    <numFmt numFmtId="177" formatCode="yyyy\-mm\-dd"/>
    <numFmt numFmtId="178" formatCode="0.0%"/>
    <numFmt numFmtId="179" formatCode="_-* #,##0.00_-;\-* #,##0.00_-;_-* &quot;-&quot;??_-;_-@"/>
    <numFmt numFmtId="180" formatCode="_-* #,##0.0_-;\-* #,##0.0_-;_-* &quot;-&quot;?_-;_-@"/>
    <numFmt numFmtId="181" formatCode="#,##0_ ;[Red]\-#,##0\ "/>
    <numFmt numFmtId="182" formatCode="_-* #,##0.0_-;\-* #,##0.0_-;_-* &quot;-&quot;?_-;_-@_-"/>
    <numFmt numFmtId="183" formatCode="_-* #,##0_-;\-* #,##0_-;_-* &quot;-&quot;??_-;_-@_-"/>
  </numFmts>
  <fonts count="35">
    <font>
      <sz val="11"/>
      <color theme="1"/>
      <name val="Calibri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11"/>
      <color theme="0"/>
      <name val="Malgun Gothic"/>
      <family val="3"/>
      <charset val="129"/>
    </font>
    <font>
      <sz val="11"/>
      <color theme="0"/>
      <name val="Malgun Gothic"/>
      <family val="3"/>
      <charset val="129"/>
    </font>
    <font>
      <sz val="11"/>
      <name val="Calibri"/>
    </font>
    <font>
      <b/>
      <sz val="11"/>
      <color rgb="FFFF0000"/>
      <name val="Malgun Gothic"/>
      <family val="3"/>
      <charset val="129"/>
    </font>
    <font>
      <sz val="11"/>
      <color rgb="FFFF0000"/>
      <name val="Malgun Gothic"/>
      <family val="3"/>
      <charset val="129"/>
    </font>
    <font>
      <sz val="11"/>
      <color rgb="FF9C0006"/>
      <name val="Malgun Gothic"/>
      <family val="3"/>
      <charset val="129"/>
    </font>
    <font>
      <sz val="11"/>
      <color theme="1"/>
      <name val="맑은 고딕"/>
      <family val="3"/>
      <charset val="129"/>
    </font>
    <font>
      <sz val="8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11"/>
      <name val="Malgun Gothic"/>
      <family val="3"/>
      <charset val="129"/>
    </font>
    <font>
      <sz val="11"/>
      <name val="Calibri"/>
      <family val="2"/>
      <scheme val="minor"/>
    </font>
    <font>
      <sz val="11"/>
      <color theme="1"/>
      <name val="맑은 고딕"/>
      <family val="2"/>
      <charset val="129"/>
    </font>
    <font>
      <sz val="11"/>
      <color theme="1"/>
      <name val="Calibri"/>
      <family val="2"/>
      <scheme val="minor"/>
    </font>
    <font>
      <sz val="8"/>
      <name val="Calibri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11"/>
      <color theme="1"/>
      <name val="Calibri"/>
      <family val="2"/>
      <scheme val="minor"/>
    </font>
    <font>
      <b/>
      <sz val="11"/>
      <name val="Malgun Gothic"/>
      <family val="3"/>
      <charset val="129"/>
    </font>
    <font>
      <b/>
      <sz val="11"/>
      <color theme="1"/>
      <name val="맑은 고딕"/>
      <family val="3"/>
      <charset val="129"/>
    </font>
    <font>
      <sz val="11"/>
      <color rgb="FF006100"/>
      <name val="Calibri"/>
      <family val="2"/>
      <charset val="129"/>
      <scheme val="minor"/>
    </font>
    <font>
      <sz val="11"/>
      <color rgb="FF006100"/>
      <name val="Calibri"/>
      <family val="3"/>
      <charset val="129"/>
      <scheme val="minor"/>
    </font>
    <font>
      <sz val="11"/>
      <color rgb="FF006100"/>
      <name val="Calibri"/>
      <family val="2"/>
      <scheme val="minor"/>
    </font>
    <font>
      <b/>
      <sz val="11"/>
      <color rgb="FFFF0000"/>
      <name val="Calibri"/>
      <family val="3"/>
      <charset val="129"/>
      <scheme val="minor"/>
    </font>
    <font>
      <b/>
      <sz val="11"/>
      <color rgb="FFFF0000"/>
      <name val="맑은 고딕"/>
      <family val="3"/>
      <charset val="129"/>
    </font>
    <font>
      <b/>
      <sz val="11"/>
      <color rgb="FFFF0000"/>
      <name val="Calibri"/>
      <family val="3"/>
    </font>
  </fonts>
  <fills count="43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  <fill>
      <patternFill patternType="solid">
        <fgColor theme="1"/>
        <bgColor theme="1"/>
      </patternFill>
    </fill>
    <fill>
      <patternFill patternType="solid">
        <fgColor rgb="FFFFF2CB"/>
        <bgColor rgb="FFFFF2CB"/>
      </patternFill>
    </fill>
    <fill>
      <patternFill patternType="solid">
        <fgColor rgb="FF7F7F7F"/>
        <bgColor rgb="FF7F7F7F"/>
      </patternFill>
    </fill>
    <fill>
      <patternFill patternType="solid">
        <fgColor rgb="FFECECEC"/>
        <bgColor rgb="FFECECEC"/>
      </patternFill>
    </fill>
    <fill>
      <patternFill patternType="solid">
        <fgColor theme="0"/>
        <bgColor theme="0"/>
      </patternFill>
    </fill>
    <fill>
      <patternFill patternType="solid">
        <fgColor rgb="FFE7E6E6"/>
        <bgColor rgb="FFE7E6E6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theme="5"/>
        <bgColor theme="5"/>
      </patternFill>
    </fill>
    <fill>
      <patternFill patternType="solid">
        <fgColor rgb="FFE2EFD9"/>
        <bgColor rgb="FFE2EFD9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FFC7CE"/>
        <bgColor rgb="FFFFC7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rgb="FF7F7F7F"/>
      </patternFill>
    </fill>
    <fill>
      <patternFill patternType="solid">
        <fgColor theme="5" tint="0.59999389629810485"/>
        <bgColor rgb="FF00B0F0"/>
      </patternFill>
    </fill>
    <fill>
      <patternFill patternType="solid">
        <fgColor theme="7" tint="0.79998168889431442"/>
        <bgColor rgb="FFFFF2CB"/>
      </patternFill>
    </fill>
    <fill>
      <patternFill patternType="solid">
        <fgColor theme="7" tint="0.79998168889431442"/>
        <bgColor rgb="FFFBE4D5"/>
      </patternFill>
    </fill>
    <fill>
      <patternFill patternType="solid">
        <fgColor rgb="FFC6EF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 tint="0.79998168889431442"/>
        <bgColor rgb="FFDEEAF6"/>
      </patternFill>
    </fill>
    <fill>
      <patternFill patternType="solid">
        <fgColor theme="8" tint="0.79998168889431442"/>
        <bgColor rgb="FFDEEAF6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499984740745262"/>
        <bgColor theme="1"/>
      </patternFill>
    </fill>
    <fill>
      <patternFill patternType="solid">
        <fgColor rgb="FFFF0000"/>
        <bgColor indexed="64"/>
      </patternFill>
    </fill>
  </fills>
  <borders count="7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21" borderId="37" applyNumberFormat="0" applyFon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</cellStyleXfs>
  <cellXfs count="399"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6" fillId="3" borderId="2" xfId="0" applyFont="1" applyFill="1" applyBorder="1" applyAlignment="1">
      <alignment horizontal="center" vertical="center"/>
    </xf>
    <xf numFmtId="9" fontId="6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177" fontId="6" fillId="0" borderId="0" xfId="0" applyNumberFormat="1" applyFont="1" applyAlignment="1">
      <alignment vertical="center"/>
    </xf>
    <xf numFmtId="9" fontId="6" fillId="0" borderId="2" xfId="0" applyNumberFormat="1" applyFont="1" applyBorder="1" applyAlignment="1">
      <alignment horizontal="center" vertical="center"/>
    </xf>
    <xf numFmtId="178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5" borderId="2" xfId="0" applyFont="1" applyFill="1" applyBorder="1" applyAlignment="1">
      <alignment horizontal="center" vertical="center"/>
    </xf>
    <xf numFmtId="10" fontId="6" fillId="0" borderId="2" xfId="0" applyNumberFormat="1" applyFont="1" applyBorder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6" fontId="6" fillId="0" borderId="2" xfId="0" applyNumberFormat="1" applyFont="1" applyBorder="1" applyAlignment="1">
      <alignment vertical="center"/>
    </xf>
    <xf numFmtId="9" fontId="6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78" fontId="6" fillId="0" borderId="0" xfId="0" applyNumberFormat="1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176" fontId="6" fillId="0" borderId="8" xfId="0" applyNumberFormat="1" applyFont="1" applyBorder="1" applyAlignment="1">
      <alignment horizontal="center" vertical="center"/>
    </xf>
    <xf numFmtId="176" fontId="6" fillId="0" borderId="9" xfId="0" applyNumberFormat="1" applyFont="1" applyBorder="1" applyAlignment="1">
      <alignment horizontal="center" vertical="center"/>
    </xf>
    <xf numFmtId="10" fontId="6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179" fontId="6" fillId="0" borderId="0" xfId="0" applyNumberFormat="1" applyFont="1" applyAlignment="1">
      <alignment vertical="center"/>
    </xf>
    <xf numFmtId="180" fontId="6" fillId="0" borderId="0" xfId="0" applyNumberFormat="1" applyFont="1" applyAlignment="1">
      <alignment vertical="center"/>
    </xf>
    <xf numFmtId="10" fontId="12" fillId="0" borderId="0" xfId="0" applyNumberFormat="1" applyFont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76" fontId="6" fillId="0" borderId="14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176" fontId="6" fillId="0" borderId="15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176" fontId="6" fillId="0" borderId="16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176" fontId="6" fillId="0" borderId="17" xfId="0" applyNumberFormat="1" applyFont="1" applyBorder="1" applyAlignment="1">
      <alignment horizontal="center" vertical="center"/>
    </xf>
    <xf numFmtId="9" fontId="7" fillId="0" borderId="0" xfId="0" applyNumberFormat="1" applyFont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176" fontId="6" fillId="0" borderId="18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76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9" fontId="6" fillId="10" borderId="2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8" xfId="0" applyFont="1" applyBorder="1" applyAlignment="1">
      <alignment vertical="center"/>
    </xf>
    <xf numFmtId="9" fontId="6" fillId="0" borderId="8" xfId="0" applyNumberFormat="1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176" fontId="6" fillId="0" borderId="16" xfId="0" applyNumberFormat="1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176" fontId="6" fillId="0" borderId="15" xfId="0" applyNumberFormat="1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176" fontId="6" fillId="0" borderId="14" xfId="0" applyNumberFormat="1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vertical="center"/>
    </xf>
    <xf numFmtId="176" fontId="12" fillId="0" borderId="0" xfId="0" applyNumberFormat="1" applyFont="1" applyAlignment="1">
      <alignment horizontal="center" vertical="center"/>
    </xf>
    <xf numFmtId="180" fontId="12" fillId="0" borderId="0" xfId="0" applyNumberFormat="1" applyFont="1" applyAlignment="1">
      <alignment vertical="center"/>
    </xf>
    <xf numFmtId="176" fontId="12" fillId="0" borderId="0" xfId="0" applyNumberFormat="1" applyFont="1" applyAlignment="1">
      <alignment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19" xfId="0" applyNumberFormat="1" applyFont="1" applyBorder="1" applyAlignment="1">
      <alignment horizontal="center" vertical="center"/>
    </xf>
    <xf numFmtId="176" fontId="6" fillId="0" borderId="6" xfId="0" applyNumberFormat="1" applyFont="1" applyBorder="1" applyAlignment="1">
      <alignment horizontal="center" vertical="center"/>
    </xf>
    <xf numFmtId="176" fontId="6" fillId="0" borderId="20" xfId="0" applyNumberFormat="1" applyFont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179" fontId="6" fillId="0" borderId="16" xfId="0" applyNumberFormat="1" applyFont="1" applyBorder="1" applyAlignment="1">
      <alignment vertical="center"/>
    </xf>
    <xf numFmtId="176" fontId="6" fillId="0" borderId="21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76" fontId="6" fillId="7" borderId="2" xfId="0" applyNumberFormat="1" applyFont="1" applyFill="1" applyBorder="1" applyAlignment="1">
      <alignment horizontal="center" vertical="center"/>
    </xf>
    <xf numFmtId="176" fontId="6" fillId="0" borderId="8" xfId="0" applyNumberFormat="1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176" fontId="6" fillId="0" borderId="17" xfId="0" applyNumberFormat="1" applyFont="1" applyBorder="1" applyAlignment="1">
      <alignment vertical="center"/>
    </xf>
    <xf numFmtId="0" fontId="6" fillId="11" borderId="1" xfId="0" applyFont="1" applyFill="1" applyBorder="1" applyAlignment="1">
      <alignment vertical="center"/>
    </xf>
    <xf numFmtId="0" fontId="6" fillId="12" borderId="1" xfId="0" applyFont="1" applyFill="1" applyBorder="1" applyAlignment="1">
      <alignment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22" xfId="0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9" fontId="7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9" fontId="6" fillId="0" borderId="2" xfId="0" applyNumberFormat="1" applyFont="1" applyBorder="1" applyAlignment="1">
      <alignment vertical="center"/>
    </xf>
    <xf numFmtId="9" fontId="13" fillId="16" borderId="1" xfId="0" applyNumberFormat="1" applyFont="1" applyFill="1" applyBorder="1" applyAlignment="1">
      <alignment vertical="center"/>
    </xf>
    <xf numFmtId="11" fontId="6" fillId="0" borderId="0" xfId="0" applyNumberFormat="1" applyFont="1" applyAlignment="1">
      <alignment vertical="center"/>
    </xf>
    <xf numFmtId="11" fontId="6" fillId="0" borderId="2" xfId="0" applyNumberFormat="1" applyFont="1" applyBorder="1" applyAlignment="1">
      <alignment vertical="center"/>
    </xf>
    <xf numFmtId="178" fontId="13" fillId="16" borderId="1" xfId="0" applyNumberFormat="1" applyFont="1" applyFill="1" applyBorder="1" applyAlignment="1">
      <alignment horizontal="center" vertical="center"/>
    </xf>
    <xf numFmtId="9" fontId="7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right" vertical="center" wrapText="1"/>
    </xf>
    <xf numFmtId="3" fontId="6" fillId="0" borderId="0" xfId="0" applyNumberFormat="1" applyFont="1" applyAlignment="1">
      <alignment horizontal="right" vertical="center" wrapText="1"/>
    </xf>
    <xf numFmtId="10" fontId="6" fillId="0" borderId="0" xfId="0" applyNumberFormat="1" applyFont="1" applyAlignment="1">
      <alignment horizontal="right" vertical="center" wrapText="1"/>
    </xf>
    <xf numFmtId="176" fontId="11" fillId="0" borderId="0" xfId="0" applyNumberFormat="1" applyFont="1" applyAlignment="1">
      <alignment horizontal="center" vertical="center"/>
    </xf>
    <xf numFmtId="9" fontId="12" fillId="0" borderId="0" xfId="0" applyNumberFormat="1" applyFont="1" applyAlignment="1">
      <alignment horizontal="center" vertical="center"/>
    </xf>
    <xf numFmtId="176" fontId="6" fillId="0" borderId="11" xfId="0" applyNumberFormat="1" applyFont="1" applyBorder="1" applyAlignment="1">
      <alignment horizontal="center" vertical="center"/>
    </xf>
    <xf numFmtId="9" fontId="6" fillId="0" borderId="0" xfId="1" applyFont="1" applyAlignment="1">
      <alignment horizontal="center" vertical="center"/>
    </xf>
    <xf numFmtId="0" fontId="16" fillId="0" borderId="0" xfId="0" applyFont="1" applyAlignment="1">
      <alignment vertical="center"/>
    </xf>
    <xf numFmtId="41" fontId="0" fillId="0" borderId="0" xfId="2" applyFont="1" applyAlignment="1">
      <alignment vertical="center"/>
    </xf>
    <xf numFmtId="0" fontId="6" fillId="0" borderId="26" xfId="0" applyFont="1" applyBorder="1" applyAlignment="1">
      <alignment horizontal="center" vertical="center"/>
    </xf>
    <xf numFmtId="0" fontId="5" fillId="0" borderId="26" xfId="0" applyFont="1" applyBorder="1" applyAlignment="1">
      <alignment vertical="center"/>
    </xf>
    <xf numFmtId="176" fontId="6" fillId="0" borderId="26" xfId="0" applyNumberFormat="1" applyFont="1" applyBorder="1" applyAlignment="1">
      <alignment vertical="center"/>
    </xf>
    <xf numFmtId="0" fontId="17" fillId="0" borderId="0" xfId="0" applyFont="1" applyAlignment="1">
      <alignment vertical="center"/>
    </xf>
    <xf numFmtId="176" fontId="17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176" fontId="6" fillId="17" borderId="0" xfId="0" applyNumberFormat="1" applyFont="1" applyFill="1" applyAlignment="1">
      <alignment horizontal="center" vertical="center"/>
    </xf>
    <xf numFmtId="176" fontId="0" fillId="0" borderId="0" xfId="0" applyNumberFormat="1" applyAlignment="1">
      <alignment vertical="center"/>
    </xf>
    <xf numFmtId="176" fontId="6" fillId="0" borderId="26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0" fontId="16" fillId="0" borderId="30" xfId="0" applyFont="1" applyBorder="1" applyAlignment="1">
      <alignment vertical="center"/>
    </xf>
    <xf numFmtId="176" fontId="6" fillId="0" borderId="30" xfId="0" applyNumberFormat="1" applyFont="1" applyBorder="1" applyAlignment="1">
      <alignment vertical="center"/>
    </xf>
    <xf numFmtId="176" fontId="7" fillId="0" borderId="30" xfId="0" applyNumberFormat="1" applyFont="1" applyBorder="1" applyAlignment="1">
      <alignment vertical="center"/>
    </xf>
    <xf numFmtId="176" fontId="6" fillId="0" borderId="1" xfId="0" applyNumberFormat="1" applyFont="1" applyBorder="1" applyAlignment="1">
      <alignment vertical="center"/>
    </xf>
    <xf numFmtId="180" fontId="17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0" fontId="6" fillId="0" borderId="32" xfId="0" applyFont="1" applyBorder="1" applyAlignment="1">
      <alignment horizontal="center" vertical="center"/>
    </xf>
    <xf numFmtId="0" fontId="0" fillId="0" borderId="26" xfId="0" applyBorder="1" applyAlignment="1">
      <alignment vertical="center"/>
    </xf>
    <xf numFmtId="0" fontId="6" fillId="6" borderId="26" xfId="0" applyFont="1" applyFill="1" applyBorder="1" applyAlignment="1">
      <alignment vertical="center"/>
    </xf>
    <xf numFmtId="176" fontId="6" fillId="6" borderId="26" xfId="0" applyNumberFormat="1" applyFont="1" applyFill="1" applyBorder="1" applyAlignment="1">
      <alignment vertical="center"/>
    </xf>
    <xf numFmtId="0" fontId="6" fillId="0" borderId="36" xfId="0" applyFont="1" applyBorder="1" applyAlignment="1">
      <alignment horizontal="center" vertical="center"/>
    </xf>
    <xf numFmtId="10" fontId="6" fillId="0" borderId="36" xfId="0" applyNumberFormat="1" applyFont="1" applyBorder="1" applyAlignment="1">
      <alignment horizontal="center" vertical="center"/>
    </xf>
    <xf numFmtId="9" fontId="6" fillId="0" borderId="36" xfId="0" applyNumberFormat="1" applyFont="1" applyBorder="1" applyAlignment="1">
      <alignment horizontal="center" vertical="center"/>
    </xf>
    <xf numFmtId="0" fontId="6" fillId="17" borderId="36" xfId="0" applyFont="1" applyFill="1" applyBorder="1" applyAlignment="1">
      <alignment horizontal="center" vertical="center"/>
    </xf>
    <xf numFmtId="0" fontId="14" fillId="17" borderId="36" xfId="0" applyFont="1" applyFill="1" applyBorder="1" applyAlignment="1">
      <alignment vertical="center"/>
    </xf>
    <xf numFmtId="0" fontId="14" fillId="17" borderId="36" xfId="0" applyFont="1" applyFill="1" applyBorder="1" applyAlignment="1">
      <alignment horizontal="center" vertical="center"/>
    </xf>
    <xf numFmtId="0" fontId="7" fillId="17" borderId="36" xfId="0" applyFont="1" applyFill="1" applyBorder="1" applyAlignment="1">
      <alignment horizontal="center" vertical="center"/>
    </xf>
    <xf numFmtId="0" fontId="6" fillId="17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9" fontId="6" fillId="17" borderId="0" xfId="0" applyNumberFormat="1" applyFont="1" applyFill="1" applyAlignment="1">
      <alignment horizontal="center" vertical="center"/>
    </xf>
    <xf numFmtId="176" fontId="6" fillId="0" borderId="13" xfId="0" applyNumberFormat="1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10" fontId="6" fillId="0" borderId="6" xfId="0" applyNumberFormat="1" applyFont="1" applyBorder="1" applyAlignment="1">
      <alignment horizontal="center" vertical="center"/>
    </xf>
    <xf numFmtId="41" fontId="0" fillId="0" borderId="36" xfId="2" applyFont="1" applyBorder="1" applyAlignment="1">
      <alignment horizontal="center" vertical="center"/>
    </xf>
    <xf numFmtId="176" fontId="6" fillId="0" borderId="36" xfId="0" applyNumberFormat="1" applyFont="1" applyBorder="1" applyAlignment="1">
      <alignment horizontal="center" vertical="center"/>
    </xf>
    <xf numFmtId="0" fontId="6" fillId="5" borderId="26" xfId="0" applyFont="1" applyFill="1" applyBorder="1" applyAlignment="1">
      <alignment horizontal="center" vertical="center"/>
    </xf>
    <xf numFmtId="9" fontId="6" fillId="0" borderId="26" xfId="0" applyNumberFormat="1" applyFont="1" applyBorder="1" applyAlignment="1">
      <alignment horizontal="center" vertical="center"/>
    </xf>
    <xf numFmtId="41" fontId="6" fillId="0" borderId="2" xfId="2" applyFont="1" applyBorder="1" applyAlignment="1">
      <alignment horizontal="center" vertical="center"/>
    </xf>
    <xf numFmtId="41" fontId="6" fillId="0" borderId="0" xfId="2" applyFont="1" applyAlignment="1">
      <alignment horizontal="center" vertical="center"/>
    </xf>
    <xf numFmtId="0" fontId="6" fillId="0" borderId="26" xfId="0" applyFont="1" applyBorder="1" applyAlignment="1">
      <alignment horizontal="center" vertical="center" wrapText="1"/>
    </xf>
    <xf numFmtId="0" fontId="6" fillId="0" borderId="26" xfId="0" applyFont="1" applyBorder="1" applyAlignment="1">
      <alignment vertical="center"/>
    </xf>
    <xf numFmtId="0" fontId="6" fillId="0" borderId="38" xfId="0" applyFont="1" applyBorder="1" applyAlignment="1">
      <alignment horizontal="center" vertical="center"/>
    </xf>
    <xf numFmtId="0" fontId="6" fillId="5" borderId="39" xfId="0" applyFont="1" applyFill="1" applyBorder="1" applyAlignment="1">
      <alignment horizontal="center" vertical="center"/>
    </xf>
    <xf numFmtId="0" fontId="0" fillId="0" borderId="39" xfId="0" applyBorder="1" applyAlignment="1">
      <alignment vertical="center"/>
    </xf>
    <xf numFmtId="176" fontId="7" fillId="0" borderId="11" xfId="0" applyNumberFormat="1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0" fillId="0" borderId="38" xfId="0" applyBorder="1" applyAlignment="1">
      <alignment vertical="center"/>
    </xf>
    <xf numFmtId="0" fontId="14" fillId="0" borderId="36" xfId="0" applyFont="1" applyBorder="1" applyAlignment="1">
      <alignment horizontal="center" vertical="center"/>
    </xf>
    <xf numFmtId="41" fontId="6" fillId="0" borderId="36" xfId="0" applyNumberFormat="1" applyFont="1" applyBorder="1" applyAlignment="1">
      <alignment vertical="center"/>
    </xf>
    <xf numFmtId="176" fontId="6" fillId="0" borderId="1" xfId="0" applyNumberFormat="1" applyFont="1" applyBorder="1" applyAlignment="1">
      <alignment horizontal="center" vertical="center"/>
    </xf>
    <xf numFmtId="9" fontId="6" fillId="0" borderId="0" xfId="1" applyFont="1" applyAlignment="1">
      <alignment vertical="center"/>
    </xf>
    <xf numFmtId="9" fontId="0" fillId="0" borderId="0" xfId="1" applyFont="1" applyAlignment="1">
      <alignment vertical="center"/>
    </xf>
    <xf numFmtId="41" fontId="0" fillId="0" borderId="26" xfId="2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41" fontId="0" fillId="0" borderId="42" xfId="2" applyFont="1" applyBorder="1" applyAlignment="1">
      <alignment horizontal="center" vertical="center"/>
    </xf>
    <xf numFmtId="178" fontId="17" fillId="0" borderId="0" xfId="0" applyNumberFormat="1" applyFont="1" applyAlignment="1">
      <alignment horizontal="center" vertical="center"/>
    </xf>
    <xf numFmtId="9" fontId="6" fillId="0" borderId="0" xfId="0" applyNumberFormat="1" applyFont="1" applyAlignment="1">
      <alignment horizontal="right" vertical="center"/>
    </xf>
    <xf numFmtId="41" fontId="6" fillId="0" borderId="17" xfId="2" applyFont="1" applyBorder="1" applyAlignment="1">
      <alignment horizontal="center" vertical="center"/>
    </xf>
    <xf numFmtId="43" fontId="6" fillId="0" borderId="0" xfId="0" applyNumberFormat="1" applyFont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176" fontId="6" fillId="0" borderId="35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vertical="center"/>
    </xf>
    <xf numFmtId="0" fontId="16" fillId="0" borderId="42" xfId="0" applyFont="1" applyBorder="1" applyAlignment="1">
      <alignment vertical="center"/>
    </xf>
    <xf numFmtId="176" fontId="6" fillId="0" borderId="42" xfId="0" applyNumberFormat="1" applyFont="1" applyBorder="1" applyAlignment="1">
      <alignment horizontal="center" vertical="center"/>
    </xf>
    <xf numFmtId="182" fontId="0" fillId="0" borderId="0" xfId="0" applyNumberFormat="1" applyAlignment="1">
      <alignment vertical="center"/>
    </xf>
    <xf numFmtId="0" fontId="0" fillId="0" borderId="36" xfId="0" applyBorder="1" applyAlignment="1">
      <alignment vertical="center"/>
    </xf>
    <xf numFmtId="10" fontId="0" fillId="0" borderId="36" xfId="0" applyNumberFormat="1" applyBorder="1" applyAlignment="1">
      <alignment vertical="center"/>
    </xf>
    <xf numFmtId="0" fontId="0" fillId="0" borderId="36" xfId="0" applyBorder="1" applyAlignment="1">
      <alignment horizontal="center" vertical="center"/>
    </xf>
    <xf numFmtId="10" fontId="0" fillId="0" borderId="36" xfId="0" applyNumberForma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176" fontId="6" fillId="0" borderId="44" xfId="0" applyNumberFormat="1" applyFont="1" applyBorder="1" applyAlignment="1">
      <alignment horizontal="center" vertical="center"/>
    </xf>
    <xf numFmtId="10" fontId="6" fillId="0" borderId="43" xfId="1" applyNumberFormat="1" applyFont="1" applyBorder="1" applyAlignment="1">
      <alignment horizontal="center" vertical="center"/>
    </xf>
    <xf numFmtId="176" fontId="6" fillId="8" borderId="27" xfId="0" applyNumberFormat="1" applyFont="1" applyFill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0" fillId="17" borderId="36" xfId="0" applyFill="1" applyBorder="1" applyAlignment="1">
      <alignment horizontal="center" vertical="center"/>
    </xf>
    <xf numFmtId="0" fontId="0" fillId="24" borderId="36" xfId="0" applyFill="1" applyBorder="1" applyAlignment="1">
      <alignment horizontal="left" vertical="center"/>
    </xf>
    <xf numFmtId="10" fontId="0" fillId="0" borderId="36" xfId="2" applyNumberFormat="1" applyFont="1" applyBorder="1">
      <alignment vertical="center"/>
    </xf>
    <xf numFmtId="0" fontId="0" fillId="24" borderId="0" xfId="0" applyFill="1" applyAlignment="1">
      <alignment vertical="center"/>
    </xf>
    <xf numFmtId="183" fontId="0" fillId="24" borderId="0" xfId="0" applyNumberFormat="1" applyFill="1" applyAlignment="1">
      <alignment vertical="center"/>
    </xf>
    <xf numFmtId="0" fontId="0" fillId="24" borderId="45" xfId="0" applyFill="1" applyBorder="1" applyAlignment="1">
      <alignment vertical="center"/>
    </xf>
    <xf numFmtId="183" fontId="0" fillId="24" borderId="45" xfId="0" applyNumberFormat="1" applyFill="1" applyBorder="1" applyAlignment="1">
      <alignment vertical="center"/>
    </xf>
    <xf numFmtId="0" fontId="0" fillId="24" borderId="46" xfId="0" applyFill="1" applyBorder="1" applyAlignment="1">
      <alignment vertical="center"/>
    </xf>
    <xf numFmtId="183" fontId="0" fillId="24" borderId="46" xfId="0" applyNumberFormat="1" applyFill="1" applyBorder="1" applyAlignment="1">
      <alignment vertical="center"/>
    </xf>
    <xf numFmtId="179" fontId="6" fillId="0" borderId="36" xfId="0" applyNumberFormat="1" applyFont="1" applyBorder="1" applyAlignment="1">
      <alignment horizontal="center" vertical="center"/>
    </xf>
    <xf numFmtId="0" fontId="4" fillId="23" borderId="36" xfId="5" applyBorder="1" applyAlignment="1">
      <alignment vertical="center"/>
    </xf>
    <xf numFmtId="0" fontId="6" fillId="5" borderId="36" xfId="0" applyFont="1" applyFill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41" fontId="0" fillId="25" borderId="36" xfId="2" applyFont="1" applyFill="1" applyBorder="1" applyAlignment="1">
      <alignment vertical="center"/>
    </xf>
    <xf numFmtId="0" fontId="0" fillId="0" borderId="26" xfId="0" applyBorder="1" applyAlignment="1">
      <alignment horizontal="center" vertical="center"/>
    </xf>
    <xf numFmtId="176" fontId="6" fillId="28" borderId="2" xfId="0" applyNumberFormat="1" applyFont="1" applyFill="1" applyBorder="1" applyAlignment="1">
      <alignment horizontal="center" vertical="center"/>
    </xf>
    <xf numFmtId="0" fontId="8" fillId="4" borderId="26" xfId="0" applyFont="1" applyFill="1" applyBorder="1" applyAlignment="1">
      <alignment horizontal="center" vertical="center"/>
    </xf>
    <xf numFmtId="0" fontId="27" fillId="21" borderId="37" xfId="3" applyFont="1" applyAlignment="1">
      <alignment horizontal="center" vertical="center"/>
    </xf>
    <xf numFmtId="0" fontId="7" fillId="21" borderId="37" xfId="3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41" fontId="6" fillId="0" borderId="47" xfId="2" applyFont="1" applyFill="1" applyBorder="1" applyAlignment="1">
      <alignment horizontal="center" vertical="center" shrinkToFit="1"/>
    </xf>
    <xf numFmtId="0" fontId="6" fillId="0" borderId="7" xfId="0" applyFont="1" applyBorder="1" applyAlignment="1">
      <alignment horizontal="center" vertical="center" shrinkToFit="1"/>
    </xf>
    <xf numFmtId="0" fontId="6" fillId="0" borderId="23" xfId="0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7" fillId="0" borderId="49" xfId="0" applyFont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20" fillId="0" borderId="0" xfId="0" applyFont="1" applyAlignment="1">
      <alignment vertical="center"/>
    </xf>
    <xf numFmtId="0" fontId="6" fillId="6" borderId="4" xfId="0" applyFont="1" applyFill="1" applyBorder="1" applyAlignment="1">
      <alignment horizontal="center" vertical="center"/>
    </xf>
    <xf numFmtId="176" fontId="6" fillId="28" borderId="4" xfId="0" applyNumberFormat="1" applyFont="1" applyFill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9" fontId="6" fillId="10" borderId="36" xfId="0" applyNumberFormat="1" applyFont="1" applyFill="1" applyBorder="1" applyAlignment="1">
      <alignment horizontal="center" vertical="center"/>
    </xf>
    <xf numFmtId="0" fontId="6" fillId="5" borderId="53" xfId="0" applyFont="1" applyFill="1" applyBorder="1" applyAlignment="1">
      <alignment horizontal="center" vertical="center"/>
    </xf>
    <xf numFmtId="41" fontId="6" fillId="0" borderId="54" xfId="2" applyFont="1" applyBorder="1" applyAlignment="1">
      <alignment horizontal="center" vertical="center"/>
    </xf>
    <xf numFmtId="9" fontId="6" fillId="0" borderId="54" xfId="0" applyNumberFormat="1" applyFont="1" applyBorder="1" applyAlignment="1">
      <alignment horizontal="center" vertical="center"/>
    </xf>
    <xf numFmtId="176" fontId="6" fillId="0" borderId="54" xfId="0" applyNumberFormat="1" applyFont="1" applyBorder="1" applyAlignment="1">
      <alignment horizontal="center" vertical="center"/>
    </xf>
    <xf numFmtId="10" fontId="6" fillId="0" borderId="54" xfId="0" applyNumberFormat="1" applyFont="1" applyBorder="1" applyAlignment="1">
      <alignment horizontal="center" vertical="center"/>
    </xf>
    <xf numFmtId="176" fontId="6" fillId="0" borderId="56" xfId="0" applyNumberFormat="1" applyFont="1" applyBorder="1" applyAlignment="1">
      <alignment horizontal="center" vertical="center"/>
    </xf>
    <xf numFmtId="176" fontId="6" fillId="0" borderId="57" xfId="0" applyNumberFormat="1" applyFont="1" applyBorder="1" applyAlignment="1">
      <alignment horizontal="center" vertical="center"/>
    </xf>
    <xf numFmtId="0" fontId="6" fillId="6" borderId="54" xfId="0" applyFont="1" applyFill="1" applyBorder="1" applyAlignment="1">
      <alignment horizontal="center" vertical="center"/>
    </xf>
    <xf numFmtId="176" fontId="6" fillId="0" borderId="58" xfId="0" applyNumberFormat="1" applyFont="1" applyBorder="1" applyAlignment="1">
      <alignment horizontal="center" vertical="center"/>
    </xf>
    <xf numFmtId="176" fontId="6" fillId="0" borderId="59" xfId="0" applyNumberFormat="1" applyFont="1" applyBorder="1" applyAlignment="1">
      <alignment horizontal="center" vertical="center"/>
    </xf>
    <xf numFmtId="176" fontId="6" fillId="0" borderId="60" xfId="0" applyNumberFormat="1" applyFont="1" applyBorder="1" applyAlignment="1">
      <alignment horizontal="center" vertical="center"/>
    </xf>
    <xf numFmtId="41" fontId="6" fillId="0" borderId="36" xfId="2" applyFont="1" applyBorder="1" applyAlignment="1">
      <alignment horizontal="center" vertical="center"/>
    </xf>
    <xf numFmtId="41" fontId="6" fillId="0" borderId="36" xfId="2" applyFont="1" applyFill="1" applyBorder="1" applyAlignment="1">
      <alignment horizontal="center" vertical="center"/>
    </xf>
    <xf numFmtId="41" fontId="6" fillId="0" borderId="0" xfId="2" applyFont="1" applyAlignment="1">
      <alignment vertical="center"/>
    </xf>
    <xf numFmtId="176" fontId="6" fillId="26" borderId="6" xfId="0" applyNumberFormat="1" applyFont="1" applyFill="1" applyBorder="1" applyAlignment="1">
      <alignment horizontal="center" vertical="center"/>
    </xf>
    <xf numFmtId="176" fontId="6" fillId="0" borderId="50" xfId="0" applyNumberFormat="1" applyFont="1" applyBorder="1" applyAlignment="1">
      <alignment horizontal="center" vertical="center"/>
    </xf>
    <xf numFmtId="0" fontId="6" fillId="27" borderId="2" xfId="0" applyFont="1" applyFill="1" applyBorder="1" applyAlignment="1">
      <alignment horizontal="center" vertical="center"/>
    </xf>
    <xf numFmtId="176" fontId="6" fillId="26" borderId="2" xfId="0" applyNumberFormat="1" applyFont="1" applyFill="1" applyBorder="1" applyAlignment="1">
      <alignment horizontal="center" vertical="center"/>
    </xf>
    <xf numFmtId="176" fontId="6" fillId="26" borderId="21" xfId="0" applyNumberFormat="1" applyFont="1" applyFill="1" applyBorder="1" applyAlignment="1">
      <alignment horizontal="center" vertical="center"/>
    </xf>
    <xf numFmtId="9" fontId="6" fillId="0" borderId="36" xfId="1" applyFont="1" applyBorder="1" applyAlignment="1">
      <alignment horizontal="center" vertical="center"/>
    </xf>
    <xf numFmtId="41" fontId="6" fillId="0" borderId="48" xfId="2" applyFont="1" applyBorder="1" applyAlignment="1">
      <alignment horizontal="center" vertical="center"/>
    </xf>
    <xf numFmtId="41" fontId="6" fillId="0" borderId="23" xfId="2" applyFont="1" applyBorder="1" applyAlignment="1">
      <alignment horizontal="center" vertical="center" shrinkToFit="1"/>
    </xf>
    <xf numFmtId="0" fontId="6" fillId="0" borderId="22" xfId="0" applyFont="1" applyBorder="1" applyAlignment="1">
      <alignment horizontal="center" vertical="center" shrinkToFit="1"/>
    </xf>
    <xf numFmtId="176" fontId="6" fillId="0" borderId="55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shrinkToFit="1"/>
    </xf>
    <xf numFmtId="0" fontId="6" fillId="0" borderId="51" xfId="0" applyFont="1" applyBorder="1" applyAlignment="1">
      <alignment horizontal="center" vertical="center" shrinkToFit="1"/>
    </xf>
    <xf numFmtId="0" fontId="6" fillId="0" borderId="52" xfId="0" applyFont="1" applyBorder="1" applyAlignment="1">
      <alignment horizontal="center" vertical="center" shrinkToFit="1"/>
    </xf>
    <xf numFmtId="0" fontId="7" fillId="0" borderId="7" xfId="0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6" fillId="0" borderId="47" xfId="0" applyFont="1" applyBorder="1" applyAlignment="1">
      <alignment horizontal="center" vertical="center"/>
    </xf>
    <xf numFmtId="0" fontId="6" fillId="6" borderId="36" xfId="0" applyFont="1" applyFill="1" applyBorder="1" applyAlignment="1">
      <alignment horizontal="center" vertical="center"/>
    </xf>
    <xf numFmtId="176" fontId="6" fillId="28" borderId="28" xfId="0" applyNumberFormat="1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6" fillId="0" borderId="36" xfId="0" applyFont="1" applyBorder="1" applyAlignment="1">
      <alignment horizontal="center" vertical="center" shrinkToFit="1"/>
    </xf>
    <xf numFmtId="0" fontId="6" fillId="29" borderId="26" xfId="0" applyFont="1" applyFill="1" applyBorder="1" applyAlignment="1">
      <alignment horizontal="center" vertical="center"/>
    </xf>
    <xf numFmtId="0" fontId="6" fillId="30" borderId="26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7" fillId="21" borderId="36" xfId="3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176" fontId="6" fillId="0" borderId="36" xfId="0" applyNumberFormat="1" applyFont="1" applyBorder="1" applyAlignment="1">
      <alignment vertical="center"/>
    </xf>
    <xf numFmtId="181" fontId="6" fillId="0" borderId="36" xfId="0" applyNumberFormat="1" applyFont="1" applyBorder="1" applyAlignment="1">
      <alignment vertical="center"/>
    </xf>
    <xf numFmtId="178" fontId="6" fillId="0" borderId="36" xfId="0" applyNumberFormat="1" applyFont="1" applyBorder="1" applyAlignment="1">
      <alignment horizontal="center" vertical="center"/>
    </xf>
    <xf numFmtId="0" fontId="27" fillId="0" borderId="36" xfId="0" applyFont="1" applyBorder="1" applyAlignment="1">
      <alignment horizontal="center" vertical="center"/>
    </xf>
    <xf numFmtId="0" fontId="27" fillId="0" borderId="62" xfId="0" applyFont="1" applyBorder="1" applyAlignment="1">
      <alignment horizontal="center" vertical="center"/>
    </xf>
    <xf numFmtId="176" fontId="6" fillId="0" borderId="63" xfId="0" applyNumberFormat="1" applyFont="1" applyBorder="1" applyAlignment="1">
      <alignment horizontal="center" vertical="center"/>
    </xf>
    <xf numFmtId="176" fontId="6" fillId="0" borderId="64" xfId="0" applyNumberFormat="1" applyFont="1" applyBorder="1" applyAlignment="1">
      <alignment horizontal="center" vertical="center"/>
    </xf>
    <xf numFmtId="0" fontId="17" fillId="0" borderId="65" xfId="0" applyFont="1" applyBorder="1" applyAlignment="1">
      <alignment horizontal="center" vertical="center"/>
    </xf>
    <xf numFmtId="176" fontId="6" fillId="0" borderId="65" xfId="0" applyNumberFormat="1" applyFont="1" applyBorder="1" applyAlignment="1">
      <alignment horizontal="center" vertical="center"/>
    </xf>
    <xf numFmtId="0" fontId="6" fillId="33" borderId="2" xfId="0" applyFont="1" applyFill="1" applyBorder="1" applyAlignment="1">
      <alignment horizontal="center" vertical="center"/>
    </xf>
    <xf numFmtId="41" fontId="6" fillId="0" borderId="1" xfId="0" applyNumberFormat="1" applyFont="1" applyBorder="1" applyAlignment="1">
      <alignment vertical="center"/>
    </xf>
    <xf numFmtId="176" fontId="29" fillId="31" borderId="36" xfId="6" applyNumberFormat="1" applyBorder="1" applyAlignment="1">
      <alignment horizontal="center" vertical="center"/>
    </xf>
    <xf numFmtId="0" fontId="29" fillId="31" borderId="1" xfId="6" applyBorder="1" applyAlignment="1">
      <alignment horizontal="center" vertical="center"/>
    </xf>
    <xf numFmtId="0" fontId="29" fillId="31" borderId="36" xfId="6" applyBorder="1" applyAlignment="1">
      <alignment horizontal="center" vertical="center"/>
    </xf>
    <xf numFmtId="9" fontId="29" fillId="31" borderId="36" xfId="6" applyNumberFormat="1" applyBorder="1" applyAlignment="1">
      <alignment horizontal="center" vertical="center"/>
    </xf>
    <xf numFmtId="0" fontId="29" fillId="31" borderId="36" xfId="6" applyBorder="1" applyAlignment="1">
      <alignment horizontal="center"/>
    </xf>
    <xf numFmtId="9" fontId="29" fillId="31" borderId="36" xfId="6" applyNumberFormat="1" applyBorder="1" applyAlignment="1">
      <alignment horizontal="center"/>
    </xf>
    <xf numFmtId="176" fontId="6" fillId="34" borderId="26" xfId="0" applyNumberFormat="1" applyFont="1" applyFill="1" applyBorder="1" applyAlignment="1">
      <alignment vertical="center"/>
    </xf>
    <xf numFmtId="176" fontId="6" fillId="25" borderId="26" xfId="0" applyNumberFormat="1" applyFont="1" applyFill="1" applyBorder="1" applyAlignment="1">
      <alignment vertical="center"/>
    </xf>
    <xf numFmtId="9" fontId="6" fillId="34" borderId="35" xfId="0" applyNumberFormat="1" applyFont="1" applyFill="1" applyBorder="1" applyAlignment="1">
      <alignment vertical="center"/>
    </xf>
    <xf numFmtId="9" fontId="0" fillId="25" borderId="35" xfId="0" applyNumberFormat="1" applyFill="1" applyBorder="1" applyAlignment="1">
      <alignment vertical="center"/>
    </xf>
    <xf numFmtId="0" fontId="6" fillId="25" borderId="26" xfId="0" applyFont="1" applyFill="1" applyBorder="1" applyAlignment="1">
      <alignment vertical="center" wrapText="1"/>
    </xf>
    <xf numFmtId="176" fontId="6" fillId="25" borderId="39" xfId="0" applyNumberFormat="1" applyFont="1" applyFill="1" applyBorder="1" applyAlignment="1">
      <alignment vertical="center"/>
    </xf>
    <xf numFmtId="0" fontId="14" fillId="0" borderId="31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35" borderId="26" xfId="0" applyFill="1" applyBorder="1" applyAlignment="1">
      <alignment vertical="center"/>
    </xf>
    <xf numFmtId="0" fontId="14" fillId="0" borderId="26" xfId="0" applyFont="1" applyBorder="1" applyAlignment="1">
      <alignment vertical="center"/>
    </xf>
    <xf numFmtId="0" fontId="6" fillId="2" borderId="32" xfId="0" applyFont="1" applyFill="1" applyBorder="1" applyAlignment="1">
      <alignment horizontal="center" vertical="center"/>
    </xf>
    <xf numFmtId="176" fontId="4" fillId="23" borderId="26" xfId="5" applyNumberFormat="1" applyBorder="1" applyAlignment="1">
      <alignment horizontal="center" vertical="center"/>
    </xf>
    <xf numFmtId="176" fontId="3" fillId="32" borderId="35" xfId="7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4" fillId="23" borderId="0" xfId="5" applyAlignment="1">
      <alignment horizontal="center" vertical="center"/>
    </xf>
    <xf numFmtId="0" fontId="3" fillId="23" borderId="0" xfId="5" applyFont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4" fillId="23" borderId="32" xfId="5" applyBorder="1" applyAlignment="1">
      <alignment vertical="center"/>
    </xf>
    <xf numFmtId="0" fontId="4" fillId="23" borderId="38" xfId="5" applyBorder="1" applyAlignment="1">
      <alignment vertical="center"/>
    </xf>
    <xf numFmtId="0" fontId="4" fillId="23" borderId="26" xfId="5" applyBorder="1" applyAlignment="1">
      <alignment vertical="center"/>
    </xf>
    <xf numFmtId="0" fontId="4" fillId="23" borderId="39" xfId="5" applyBorder="1" applyAlignment="1">
      <alignment vertical="center"/>
    </xf>
    <xf numFmtId="9" fontId="4" fillId="23" borderId="35" xfId="5" applyNumberFormat="1" applyBorder="1" applyAlignment="1">
      <alignment vertical="center"/>
    </xf>
    <xf numFmtId="0" fontId="4" fillId="23" borderId="35" xfId="5" applyBorder="1" applyAlignment="1">
      <alignment vertical="center"/>
    </xf>
    <xf numFmtId="0" fontId="4" fillId="23" borderId="40" xfId="5" applyBorder="1" applyAlignment="1">
      <alignment vertical="center"/>
    </xf>
    <xf numFmtId="0" fontId="28" fillId="0" borderId="33" xfId="0" applyFont="1" applyBorder="1" applyAlignment="1">
      <alignment horizontal="center" vertical="center"/>
    </xf>
    <xf numFmtId="0" fontId="19" fillId="23" borderId="0" xfId="5" applyFont="1" applyAlignment="1">
      <alignment horizontal="center" vertical="center"/>
    </xf>
    <xf numFmtId="0" fontId="6" fillId="0" borderId="36" xfId="0" applyFont="1" applyBorder="1" applyAlignment="1">
      <alignment vertical="center"/>
    </xf>
    <xf numFmtId="14" fontId="0" fillId="0" borderId="36" xfId="0" applyNumberFormat="1" applyBorder="1" applyAlignment="1">
      <alignment vertical="center"/>
    </xf>
    <xf numFmtId="0" fontId="14" fillId="25" borderId="26" xfId="0" applyFont="1" applyFill="1" applyBorder="1" applyAlignment="1">
      <alignment vertical="center"/>
    </xf>
    <xf numFmtId="0" fontId="14" fillId="25" borderId="39" xfId="0" applyFont="1" applyFill="1" applyBorder="1" applyAlignment="1">
      <alignment vertical="center"/>
    </xf>
    <xf numFmtId="41" fontId="14" fillId="25" borderId="36" xfId="2" applyFont="1" applyFill="1" applyBorder="1" applyAlignment="1">
      <alignment horizontal="center" vertical="center"/>
    </xf>
    <xf numFmtId="0" fontId="19" fillId="22" borderId="36" xfId="4" applyFont="1" applyBorder="1" applyAlignment="1">
      <alignment horizontal="center" vertical="center"/>
    </xf>
    <xf numFmtId="0" fontId="6" fillId="20" borderId="36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6" fillId="25" borderId="0" xfId="0" applyNumberFormat="1" applyFont="1" applyFill="1" applyAlignment="1">
      <alignment horizontal="center" vertical="center"/>
    </xf>
    <xf numFmtId="9" fontId="0" fillId="25" borderId="40" xfId="0" applyNumberFormat="1" applyFill="1" applyBorder="1" applyAlignment="1">
      <alignment vertical="center"/>
    </xf>
    <xf numFmtId="176" fontId="6" fillId="26" borderId="44" xfId="0" applyNumberFormat="1" applyFont="1" applyFill="1" applyBorder="1" applyAlignment="1">
      <alignment horizontal="center" vertical="center"/>
    </xf>
    <xf numFmtId="0" fontId="6" fillId="0" borderId="66" xfId="0" applyFont="1" applyBorder="1" applyAlignment="1">
      <alignment horizontal="center" vertical="center" shrinkToFit="1"/>
    </xf>
    <xf numFmtId="176" fontId="6" fillId="0" borderId="66" xfId="0" applyNumberFormat="1" applyFont="1" applyBorder="1" applyAlignment="1">
      <alignment horizontal="center" vertical="center"/>
    </xf>
    <xf numFmtId="176" fontId="6" fillId="26" borderId="66" xfId="0" applyNumberFormat="1" applyFont="1" applyFill="1" applyBorder="1" applyAlignment="1">
      <alignment horizontal="center" vertical="center"/>
    </xf>
    <xf numFmtId="0" fontId="6" fillId="35" borderId="36" xfId="0" applyFont="1" applyFill="1" applyBorder="1" applyAlignment="1">
      <alignment horizontal="center" vertical="center"/>
    </xf>
    <xf numFmtId="0" fontId="6" fillId="5" borderId="61" xfId="0" applyFont="1" applyFill="1" applyBorder="1" applyAlignment="1">
      <alignment horizontal="center" vertical="center"/>
    </xf>
    <xf numFmtId="0" fontId="6" fillId="5" borderId="67" xfId="0" applyFont="1" applyFill="1" applyBorder="1" applyAlignment="1">
      <alignment horizontal="center" vertical="center"/>
    </xf>
    <xf numFmtId="41" fontId="6" fillId="0" borderId="68" xfId="2" applyFont="1" applyBorder="1" applyAlignment="1">
      <alignment horizontal="center" vertical="center" shrinkToFit="1"/>
    </xf>
    <xf numFmtId="41" fontId="6" fillId="0" borderId="68" xfId="2" applyFont="1" applyBorder="1" applyAlignment="1">
      <alignment horizontal="center" vertical="center"/>
    </xf>
    <xf numFmtId="41" fontId="6" fillId="0" borderId="53" xfId="2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 shrinkToFit="1"/>
    </xf>
    <xf numFmtId="0" fontId="6" fillId="0" borderId="55" xfId="0" applyFont="1" applyBorder="1" applyAlignment="1">
      <alignment horizontal="center" vertical="center" shrinkToFit="1"/>
    </xf>
    <xf numFmtId="0" fontId="6" fillId="0" borderId="69" xfId="0" applyFont="1" applyBorder="1" applyAlignment="1">
      <alignment horizontal="center" vertical="center" shrinkToFit="1"/>
    </xf>
    <xf numFmtId="0" fontId="6" fillId="0" borderId="58" xfId="0" applyFont="1" applyBorder="1" applyAlignment="1">
      <alignment horizontal="center" vertical="center" shrinkToFit="1"/>
    </xf>
    <xf numFmtId="0" fontId="7" fillId="0" borderId="70" xfId="0" applyFont="1" applyBorder="1" applyAlignment="1">
      <alignment horizontal="center" vertical="center" shrinkToFit="1"/>
    </xf>
    <xf numFmtId="0" fontId="6" fillId="0" borderId="70" xfId="0" applyFont="1" applyBorder="1" applyAlignment="1">
      <alignment horizontal="center" vertical="center" shrinkToFit="1"/>
    </xf>
    <xf numFmtId="176" fontId="6" fillId="0" borderId="70" xfId="0" applyNumberFormat="1" applyFont="1" applyBorder="1" applyAlignment="1">
      <alignment horizontal="center" vertical="center"/>
    </xf>
    <xf numFmtId="176" fontId="6" fillId="0" borderId="71" xfId="0" applyNumberFormat="1" applyFont="1" applyBorder="1" applyAlignment="1">
      <alignment horizontal="center" vertical="center"/>
    </xf>
    <xf numFmtId="41" fontId="0" fillId="0" borderId="0" xfId="2" applyFont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41" fontId="0" fillId="0" borderId="45" xfId="2" applyFont="1" applyBorder="1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41" fontId="0" fillId="36" borderId="0" xfId="2" applyFont="1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41" fontId="0" fillId="0" borderId="45" xfId="0" applyNumberForma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176" fontId="3" fillId="32" borderId="26" xfId="7" applyNumberFormat="1" applyBorder="1" applyAlignment="1">
      <alignment horizontal="center" vertical="center"/>
    </xf>
    <xf numFmtId="0" fontId="0" fillId="18" borderId="26" xfId="0" applyFill="1" applyBorder="1" applyAlignment="1">
      <alignment horizontal="center" vertical="center"/>
    </xf>
    <xf numFmtId="41" fontId="0" fillId="18" borderId="26" xfId="2" applyFont="1" applyFill="1" applyBorder="1" applyAlignment="1">
      <alignment horizontal="center" vertical="center"/>
    </xf>
    <xf numFmtId="41" fontId="0" fillId="19" borderId="26" xfId="2" applyFont="1" applyFill="1" applyBorder="1" applyAlignment="1">
      <alignment horizontal="center" vertical="center"/>
    </xf>
    <xf numFmtId="41" fontId="0" fillId="18" borderId="45" xfId="2" applyFont="1" applyFill="1" applyBorder="1" applyAlignment="1">
      <alignment horizontal="center" vertical="center"/>
    </xf>
    <xf numFmtId="41" fontId="0" fillId="19" borderId="45" xfId="2" applyFont="1" applyFill="1" applyBorder="1" applyAlignment="1">
      <alignment horizontal="center" vertical="center"/>
    </xf>
    <xf numFmtId="41" fontId="0" fillId="18" borderId="0" xfId="2" applyFont="1" applyFill="1" applyAlignment="1">
      <alignment horizontal="center" vertical="center"/>
    </xf>
    <xf numFmtId="41" fontId="0" fillId="19" borderId="0" xfId="2" applyFont="1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41" fontId="0" fillId="37" borderId="26" xfId="2" applyFont="1" applyFill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41" fontId="0" fillId="37" borderId="45" xfId="2" applyFont="1" applyFill="1" applyBorder="1" applyAlignment="1">
      <alignment horizontal="center" vertical="center"/>
    </xf>
    <xf numFmtId="41" fontId="0" fillId="37" borderId="0" xfId="2" applyFont="1" applyFill="1" applyAlignment="1">
      <alignment horizontal="center" vertical="center"/>
    </xf>
    <xf numFmtId="0" fontId="20" fillId="18" borderId="26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3" fontId="6" fillId="0" borderId="36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41" fontId="6" fillId="0" borderId="0" xfId="0" applyNumberFormat="1" applyFont="1" applyAlignment="1">
      <alignment horizontal="center" vertical="center"/>
    </xf>
    <xf numFmtId="0" fontId="12" fillId="0" borderId="2" xfId="0" applyFont="1" applyBorder="1" applyAlignment="1">
      <alignment horizontal="center" vertical="center" shrinkToFit="1"/>
    </xf>
    <xf numFmtId="41" fontId="6" fillId="0" borderId="0" xfId="0" applyNumberFormat="1" applyFont="1" applyAlignment="1">
      <alignment vertical="center"/>
    </xf>
    <xf numFmtId="41" fontId="6" fillId="0" borderId="26" xfId="2" applyFont="1" applyBorder="1" applyAlignment="1">
      <alignment horizontal="center" vertical="center"/>
    </xf>
    <xf numFmtId="43" fontId="6" fillId="0" borderId="26" xfId="0" applyNumberFormat="1" applyFont="1" applyBorder="1" applyAlignment="1">
      <alignment horizontal="center" vertical="center"/>
    </xf>
    <xf numFmtId="43" fontId="6" fillId="0" borderId="0" xfId="0" applyNumberFormat="1" applyFont="1" applyAlignment="1">
      <alignment vertical="center"/>
    </xf>
    <xf numFmtId="41" fontId="6" fillId="25" borderId="26" xfId="2" applyFont="1" applyFill="1" applyBorder="1" applyAlignment="1">
      <alignment vertical="center"/>
    </xf>
    <xf numFmtId="0" fontId="6" fillId="36" borderId="36" xfId="0" applyFont="1" applyFill="1" applyBorder="1" applyAlignment="1">
      <alignment horizontal="center" vertical="center"/>
    </xf>
    <xf numFmtId="0" fontId="9" fillId="39" borderId="0" xfId="0" applyFont="1" applyFill="1" applyAlignment="1">
      <alignment horizontal="center" vertical="center"/>
    </xf>
    <xf numFmtId="0" fontId="9" fillId="40" borderId="0" xfId="0" applyFont="1" applyFill="1" applyAlignment="1">
      <alignment horizontal="center" vertical="center"/>
    </xf>
    <xf numFmtId="0" fontId="8" fillId="41" borderId="1" xfId="0" applyFont="1" applyFill="1" applyBorder="1" applyAlignment="1">
      <alignment horizontal="center" vertical="center"/>
    </xf>
    <xf numFmtId="0" fontId="6" fillId="41" borderId="1" xfId="0" applyFont="1" applyFill="1" applyBorder="1" applyAlignment="1">
      <alignment horizontal="center" vertical="center"/>
    </xf>
    <xf numFmtId="0" fontId="2" fillId="38" borderId="41" xfId="8" applyBorder="1" applyAlignment="1">
      <alignment horizontal="center" vertical="center"/>
    </xf>
    <xf numFmtId="0" fontId="16" fillId="17" borderId="0" xfId="0" applyFont="1" applyFill="1" applyAlignment="1">
      <alignment horizontal="center" vertical="center"/>
    </xf>
    <xf numFmtId="176" fontId="9" fillId="6" borderId="26" xfId="0" applyNumberFormat="1" applyFont="1" applyFill="1" applyBorder="1" applyAlignment="1">
      <alignment horizontal="center" vertical="center"/>
    </xf>
    <xf numFmtId="0" fontId="7" fillId="0" borderId="36" xfId="0" applyFont="1" applyBorder="1" applyAlignment="1">
      <alignment horizontal="center" vertical="center" shrinkToFit="1"/>
    </xf>
    <xf numFmtId="0" fontId="27" fillId="0" borderId="26" xfId="0" applyFont="1" applyBorder="1" applyAlignment="1">
      <alignment horizontal="center" vertical="center"/>
    </xf>
    <xf numFmtId="0" fontId="8" fillId="41" borderId="23" xfId="0" applyFont="1" applyFill="1" applyBorder="1" applyAlignment="1">
      <alignment horizontal="center" vertical="center"/>
    </xf>
    <xf numFmtId="9" fontId="0" fillId="17" borderId="36" xfId="1" applyFont="1" applyFill="1" applyBorder="1" applyAlignment="1">
      <alignment horizontal="center" vertical="center"/>
    </xf>
    <xf numFmtId="41" fontId="0" fillId="17" borderId="36" xfId="2" applyFont="1" applyFill="1" applyBorder="1" applyAlignment="1">
      <alignment horizontal="center" vertical="center"/>
    </xf>
    <xf numFmtId="41" fontId="8" fillId="41" borderId="26" xfId="2" applyFont="1" applyFill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0" fontId="6" fillId="42" borderId="0" xfId="0" applyFont="1" applyFill="1" applyAlignment="1">
      <alignment vertical="center"/>
    </xf>
    <xf numFmtId="0" fontId="6" fillId="42" borderId="36" xfId="0" applyFont="1" applyFill="1" applyBorder="1" applyAlignment="1">
      <alignment horizontal="center" vertical="center"/>
    </xf>
    <xf numFmtId="0" fontId="9" fillId="42" borderId="0" xfId="0" applyFont="1" applyFill="1" applyAlignment="1">
      <alignment horizontal="center" vertical="center"/>
    </xf>
    <xf numFmtId="41" fontId="6" fillId="42" borderId="2" xfId="2" applyFont="1" applyFill="1" applyBorder="1" applyAlignment="1">
      <alignment horizontal="center" vertical="center"/>
    </xf>
    <xf numFmtId="0" fontId="0" fillId="17" borderId="36" xfId="0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10" fillId="0" borderId="25" xfId="0" applyFont="1" applyBorder="1" applyAlignment="1">
      <alignment vertical="center"/>
    </xf>
    <xf numFmtId="0" fontId="10" fillId="0" borderId="26" xfId="0" applyFont="1" applyBorder="1" applyAlignment="1">
      <alignment vertical="center"/>
    </xf>
    <xf numFmtId="176" fontId="6" fillId="13" borderId="24" xfId="0" applyNumberFormat="1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0" fillId="0" borderId="9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6" fillId="9" borderId="24" xfId="0" applyFont="1" applyFill="1" applyBorder="1" applyAlignment="1">
      <alignment horizontal="center" vertical="center"/>
    </xf>
    <xf numFmtId="176" fontId="9" fillId="14" borderId="24" xfId="0" applyNumberFormat="1" applyFont="1" applyFill="1" applyBorder="1" applyAlignment="1">
      <alignment horizontal="center" vertical="center"/>
    </xf>
    <xf numFmtId="176" fontId="9" fillId="15" borderId="24" xfId="0" applyNumberFormat="1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76" fontId="6" fillId="34" borderId="32" xfId="0" applyNumberFormat="1" applyFont="1" applyFill="1" applyBorder="1" applyAlignment="1">
      <alignment vertical="center"/>
    </xf>
    <xf numFmtId="41" fontId="4" fillId="23" borderId="32" xfId="2" applyFont="1" applyFill="1" applyBorder="1" applyAlignment="1">
      <alignment vertical="center"/>
    </xf>
    <xf numFmtId="176" fontId="12" fillId="0" borderId="11" xfId="0" applyNumberFormat="1" applyFont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</cellXfs>
  <cellStyles count="9">
    <cellStyle name="20% - 강조색2" xfId="7" builtinId="34"/>
    <cellStyle name="20% - 강조색4" xfId="8" builtinId="42"/>
    <cellStyle name="20% - 강조색5" xfId="5" builtinId="46"/>
    <cellStyle name="40% - 강조색2" xfId="4" builtinId="35"/>
    <cellStyle name="메모" xfId="3" builtinId="10"/>
    <cellStyle name="백분율" xfId="1" builtinId="5"/>
    <cellStyle name="쉼표 [0]" xfId="2" builtinId="6"/>
    <cellStyle name="좋음" xfId="6" builtinId="26"/>
    <cellStyle name="표준" xfId="0" builtinId="0"/>
  </cellStyles>
  <dxfs count="5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7"/>
  <sheetViews>
    <sheetView workbookViewId="0"/>
  </sheetViews>
  <sheetFormatPr defaultColWidth="14.42578125" defaultRowHeight="15" customHeight="1"/>
  <cols>
    <col min="1" max="1" width="18.5703125" style="127" customWidth="1"/>
    <col min="2" max="2" width="16.85546875" style="127" bestFit="1" customWidth="1"/>
    <col min="3" max="3" width="15.42578125" style="127" bestFit="1" customWidth="1"/>
    <col min="4" max="4" width="17.85546875" style="127" bestFit="1" customWidth="1"/>
    <col min="5" max="5" width="15.42578125" style="127" bestFit="1" customWidth="1"/>
    <col min="6" max="6" width="16.85546875" style="127" bestFit="1" customWidth="1"/>
    <col min="7" max="8" width="15.140625" style="127" bestFit="1" customWidth="1"/>
    <col min="10" max="10" width="37.5703125" style="127" bestFit="1" customWidth="1"/>
    <col min="11" max="13" width="12.5703125" style="127" bestFit="1" customWidth="1"/>
    <col min="14" max="14" width="15.42578125" style="127" bestFit="1" customWidth="1"/>
    <col min="15" max="15" width="13.7109375" style="127" bestFit="1" customWidth="1"/>
  </cols>
  <sheetData>
    <row r="1" spans="1:17" ht="15" customHeight="1">
      <c r="A1" s="306"/>
      <c r="F1" s="306"/>
      <c r="G1" s="306"/>
      <c r="I1" s="189"/>
      <c r="J1" s="306"/>
      <c r="Q1" s="189"/>
    </row>
    <row r="2" spans="1:17" ht="15" customHeight="1">
      <c r="B2" s="305" t="s">
        <v>8</v>
      </c>
      <c r="C2" s="119" t="s">
        <v>9</v>
      </c>
      <c r="D2" s="119" t="s">
        <v>11</v>
      </c>
      <c r="E2" s="119" t="s">
        <v>12</v>
      </c>
      <c r="F2" s="146" t="s">
        <v>289</v>
      </c>
      <c r="G2" s="146" t="s">
        <v>264</v>
      </c>
      <c r="H2" s="146" t="s">
        <v>290</v>
      </c>
      <c r="I2" s="116"/>
      <c r="J2" s="306" t="s">
        <v>205</v>
      </c>
      <c r="Q2" s="116"/>
    </row>
    <row r="3" spans="1:17" ht="15" customHeight="1">
      <c r="A3" s="278" t="s">
        <v>36</v>
      </c>
      <c r="B3" s="219" t="str">
        <f>HLOOKUP(B$2,기초!$C$5:$I$16,MATCH($A3,기초!$A$5:$A$16,0),0)</f>
        <v>신사동</v>
      </c>
      <c r="C3" s="219" t="str">
        <f>HLOOKUP(C$2,기초!$C$5:$I$16,MATCH($A3,기초!$A$5:$A$16,0),0)</f>
        <v>강남</v>
      </c>
      <c r="D3" s="219" t="str">
        <f>HLOOKUP(D$2,기초!$C$5:$I$16,MATCH($A3,기초!$A$5:$A$16,0),0)</f>
        <v>파주</v>
      </c>
      <c r="E3" s="219" t="str">
        <f>HLOOKUP(E$2,기초!$C$5:$I$16,MATCH($A3,기초!$A$5:$A$16,0),0)</f>
        <v>대구</v>
      </c>
      <c r="F3" s="219" t="str">
        <f>HLOOKUP(F$2,기초!$C$5:$I$16,MATCH($A3,기초!$A$5:$A$16,0),0)</f>
        <v>영등포</v>
      </c>
      <c r="G3" s="219">
        <f>HLOOKUP(G$2,기초!$C$5:$I$16,MATCH($A3,기초!$A$5:$A$16,0),0)</f>
        <v>0</v>
      </c>
      <c r="H3" s="219">
        <f>HLOOKUP(H$2,기초!$C$5:$I$16,MATCH($A3,기초!$A$5:$A$16,0),0)</f>
        <v>0</v>
      </c>
      <c r="I3" s="130"/>
      <c r="J3" s="328" t="s">
        <v>204</v>
      </c>
      <c r="K3" s="352" t="s">
        <v>302</v>
      </c>
      <c r="L3" s="338" t="s">
        <v>303</v>
      </c>
      <c r="M3" s="338" t="s">
        <v>304</v>
      </c>
      <c r="N3" s="338" t="s">
        <v>305</v>
      </c>
      <c r="O3" s="338" t="s">
        <v>306</v>
      </c>
      <c r="Q3" s="130"/>
    </row>
    <row r="4" spans="1:17" ht="15" customHeight="1">
      <c r="A4" s="279" t="s">
        <v>235</v>
      </c>
      <c r="B4" s="219">
        <f>HLOOKUP(B$2,기초!$C$5:$I$16,MATCH($A4,기초!$A$5:$A$16,0),0)</f>
        <v>8400000000</v>
      </c>
      <c r="C4" s="219">
        <f>HLOOKUP(C$2,기초!$C$5:$I$16,MATCH($A4,기초!$A$5:$A$16,0),0)</f>
        <v>2400000000</v>
      </c>
      <c r="D4" s="219">
        <f>HLOOKUP(D$2,기초!$C$5:$I$16,MATCH($A4,기초!$A$5:$A$16,0),0)</f>
        <v>1000000000</v>
      </c>
      <c r="E4" s="219">
        <f>HLOOKUP(E$2,기초!$C$5:$I$16,MATCH($A4,기초!$A$5:$A$16,0),0)</f>
        <v>800000000</v>
      </c>
      <c r="F4" s="219">
        <f>HLOOKUP(F$2,기초!$C$5:$I$16,MATCH($A4,기초!$A$5:$A$16,0),0)</f>
        <v>6100000000</v>
      </c>
      <c r="G4" s="219">
        <f>HLOOKUP(G$2,기초!$C$5:$I$16,MATCH($A4,기초!$A$5:$A$16,0),0)</f>
        <v>0</v>
      </c>
      <c r="H4" s="219">
        <f>HLOOKUP(H$2,기초!$C$5:$I$16,MATCH($A4,기초!$A$5:$A$16,0),0)</f>
        <v>0</v>
      </c>
      <c r="J4" s="328" t="s">
        <v>187</v>
      </c>
      <c r="K4" s="339">
        <f>'1 보유'!G5</f>
        <v>12741212</v>
      </c>
      <c r="L4" s="339">
        <f>'1 보유'!P5</f>
        <v>18790524.800000001</v>
      </c>
      <c r="M4" s="339">
        <f>'1 보유'!Y5</f>
        <v>21726658.52</v>
      </c>
      <c r="N4" s="339">
        <f>'1 보유'!AH5</f>
        <v>25103212.298</v>
      </c>
      <c r="O4" s="339">
        <f>'1 보유'!AQ5</f>
        <v>28986249.142699994</v>
      </c>
    </row>
    <row r="5" spans="1:17" ht="15" customHeight="1" thickBot="1">
      <c r="A5" s="279" t="s">
        <v>236</v>
      </c>
      <c r="B5" s="219">
        <f>HLOOKUP(B$2,기초!$C$5:$I$16,MATCH($A5,기초!$A$5:$A$16,0),0)</f>
        <v>1300000000</v>
      </c>
      <c r="C5" s="219">
        <f>HLOOKUP(C$2,기초!$C$5:$I$16,MATCH($A5,기초!$A$5:$A$16,0),0)</f>
        <v>150000000</v>
      </c>
      <c r="D5" s="219">
        <f>HLOOKUP(D$2,기초!$C$5:$I$16,MATCH($A5,기초!$A$5:$A$16,0),0)</f>
        <v>200000000</v>
      </c>
      <c r="E5" s="219">
        <f>HLOOKUP(E$2,기초!$C$5:$I$16,MATCH($A5,기초!$A$5:$A$16,0),0)</f>
        <v>158000000</v>
      </c>
      <c r="F5" s="219">
        <f>HLOOKUP(F$2,기초!$C$5:$I$16,MATCH($A5,기초!$A$5:$A$16,0),0)</f>
        <v>2500000000</v>
      </c>
      <c r="G5" s="219">
        <f>HLOOKUP(G$2,기초!$C$5:$I$16,MATCH($A5,기초!$A$5:$A$16,0),0)</f>
        <v>0</v>
      </c>
      <c r="H5" s="219">
        <f>HLOOKUP(H$2,기초!$C$5:$I$16,MATCH($A5,기초!$A$5:$A$16,0),0)</f>
        <v>0</v>
      </c>
      <c r="J5" s="329" t="s">
        <v>202</v>
      </c>
      <c r="K5" s="341">
        <f ca="1">'1 보유'!G6</f>
        <v>16125552</v>
      </c>
      <c r="L5" s="341">
        <f ca="1">'1 보유'!P6</f>
        <v>35803572.684044786</v>
      </c>
      <c r="M5" s="341">
        <f ca="1">'1 보유'!Y6</f>
        <v>65244041.564077362</v>
      </c>
      <c r="N5" s="341">
        <f ca="1">'1 보유'!AH6</f>
        <v>86697313.257075712</v>
      </c>
      <c r="O5" s="341">
        <f ca="1">'1 보유'!AQ6</f>
        <v>111368251.44377038</v>
      </c>
    </row>
    <row r="6" spans="1:17" ht="15" customHeight="1" thickTop="1">
      <c r="A6" s="279" t="s">
        <v>198</v>
      </c>
      <c r="J6" s="306" t="s">
        <v>203</v>
      </c>
      <c r="K6" s="343">
        <f ca="1">SUM(K4:K5)</f>
        <v>28866764</v>
      </c>
      <c r="L6" s="343">
        <f t="shared" ref="L6:O6" ca="1" si="0">SUM(L4:L5)</f>
        <v>54594097.48404479</v>
      </c>
      <c r="M6" s="343">
        <f t="shared" ca="1" si="0"/>
        <v>86970700.084077358</v>
      </c>
      <c r="N6" s="343">
        <f t="shared" ca="1" si="0"/>
        <v>111800525.55507571</v>
      </c>
      <c r="O6" s="343">
        <f t="shared" ca="1" si="0"/>
        <v>140354500.58647037</v>
      </c>
    </row>
    <row r="8" spans="1:17" ht="15" customHeight="1">
      <c r="A8" s="306" t="s">
        <v>186</v>
      </c>
      <c r="J8" s="306" t="s">
        <v>206</v>
      </c>
      <c r="K8" s="352" t="s">
        <v>302</v>
      </c>
      <c r="L8" s="346" t="s">
        <v>303</v>
      </c>
      <c r="M8" s="346" t="s">
        <v>304</v>
      </c>
      <c r="N8" s="346" t="s">
        <v>305</v>
      </c>
      <c r="O8" s="346" t="s">
        <v>306</v>
      </c>
    </row>
    <row r="9" spans="1:17" ht="15" customHeight="1">
      <c r="A9" s="306" t="s">
        <v>294</v>
      </c>
      <c r="B9" s="332">
        <f>양도!B25</f>
        <v>1131199928.5714283</v>
      </c>
      <c r="J9" s="328" t="s">
        <v>187</v>
      </c>
      <c r="K9" s="339">
        <f>K4</f>
        <v>12741212</v>
      </c>
      <c r="L9" s="340">
        <f>'2 보유'!P5</f>
        <v>11334950</v>
      </c>
      <c r="M9" s="340">
        <f>'2 보유'!Y5</f>
        <v>13298547.5</v>
      </c>
      <c r="N9" s="340">
        <f>'2 보유'!AH5</f>
        <v>15620855.525</v>
      </c>
      <c r="O9" s="340">
        <f>'2 보유'!AQ5</f>
        <v>18308338.853749998</v>
      </c>
    </row>
    <row r="10" spans="1:17" ht="15" customHeight="1" thickBot="1">
      <c r="A10" s="306" t="s">
        <v>189</v>
      </c>
      <c r="B10" s="332">
        <f>양도!H25</f>
        <v>1010702785.7142859</v>
      </c>
      <c r="C10" s="331"/>
      <c r="J10" s="329" t="s">
        <v>202</v>
      </c>
      <c r="K10" s="341">
        <f ca="1">K5</f>
        <v>16125552</v>
      </c>
      <c r="L10" s="342">
        <f ca="1">'2 보유'!P6</f>
        <v>10838114.910405118</v>
      </c>
      <c r="M10" s="342">
        <f ca="1">'2 보유'!Y6</f>
        <v>20643932.52687766</v>
      </c>
      <c r="N10" s="342">
        <f ca="1">'2 보유'!AH6</f>
        <v>28104221.5871379</v>
      </c>
      <c r="O10" s="342">
        <f ca="1">'2 보유'!AQ6</f>
        <v>36888384.544400737</v>
      </c>
    </row>
    <row r="11" spans="1:17" ht="15" customHeight="1" thickTop="1">
      <c r="A11" s="306" t="s">
        <v>190</v>
      </c>
      <c r="B11" s="332">
        <f>양도!N25</f>
        <v>1948657071.4285717</v>
      </c>
      <c r="J11" s="306" t="s">
        <v>203</v>
      </c>
      <c r="K11" s="343">
        <f ca="1">SUM(K9:K10)</f>
        <v>28866764</v>
      </c>
      <c r="L11" s="344">
        <f t="shared" ref="L11" ca="1" si="1">SUM(L9:L10)</f>
        <v>22173064.910405118</v>
      </c>
      <c r="M11" s="344">
        <f t="shared" ref="M11" ca="1" si="2">SUM(M9:M10)</f>
        <v>33942480.026877657</v>
      </c>
      <c r="N11" s="344">
        <f t="shared" ref="N11" ca="1" si="3">SUM(N9:N10)</f>
        <v>43725077.112137899</v>
      </c>
      <c r="O11" s="344">
        <f t="shared" ref="O11" ca="1" si="4">SUM(O9:O10)</f>
        <v>55196723.398150735</v>
      </c>
    </row>
    <row r="12" spans="1:17" ht="15" customHeight="1">
      <c r="A12" s="306" t="s">
        <v>191</v>
      </c>
      <c r="B12" s="332">
        <f>양도!C25</f>
        <v>2737828500</v>
      </c>
    </row>
    <row r="13" spans="1:17" ht="15" customHeight="1">
      <c r="A13" s="306" t="s">
        <v>192</v>
      </c>
      <c r="B13" s="332">
        <f>양도!D25</f>
        <v>5002178500</v>
      </c>
      <c r="J13" s="306" t="s">
        <v>207</v>
      </c>
      <c r="K13" s="352" t="s">
        <v>302</v>
      </c>
      <c r="L13" s="345" t="s">
        <v>303</v>
      </c>
      <c r="M13" s="346" t="s">
        <v>304</v>
      </c>
      <c r="N13" s="346" t="s">
        <v>305</v>
      </c>
      <c r="O13" s="346" t="s">
        <v>306</v>
      </c>
    </row>
    <row r="14" spans="1:17" ht="15" customHeight="1">
      <c r="A14" s="306" t="s">
        <v>193</v>
      </c>
      <c r="B14" s="332">
        <f>양도!E25</f>
        <v>5782903500</v>
      </c>
      <c r="J14" s="328" t="s">
        <v>187</v>
      </c>
      <c r="K14" s="339">
        <f t="shared" ref="K14:L16" si="5">K4</f>
        <v>12741212</v>
      </c>
      <c r="L14" s="339">
        <f>L4</f>
        <v>18790524.800000001</v>
      </c>
      <c r="M14" s="340">
        <f>M9</f>
        <v>13298547.5</v>
      </c>
      <c r="N14" s="340">
        <f t="shared" ref="N14:O15" si="6">N9</f>
        <v>15620855.525</v>
      </c>
      <c r="O14" s="340">
        <f t="shared" si="6"/>
        <v>18308338.853749998</v>
      </c>
    </row>
    <row r="15" spans="1:17" ht="15" customHeight="1" thickBot="1">
      <c r="A15" s="306"/>
      <c r="J15" s="329" t="s">
        <v>202</v>
      </c>
      <c r="K15" s="341">
        <f t="shared" ca="1" si="5"/>
        <v>16125552</v>
      </c>
      <c r="L15" s="341">
        <f t="shared" ca="1" si="5"/>
        <v>35803572.684044786</v>
      </c>
      <c r="M15" s="342">
        <f ca="1">M10</f>
        <v>20643932.52687766</v>
      </c>
      <c r="N15" s="342">
        <f t="shared" ca="1" si="6"/>
        <v>28104221.5871379</v>
      </c>
      <c r="O15" s="342">
        <f t="shared" ca="1" si="6"/>
        <v>36888384.544400737</v>
      </c>
    </row>
    <row r="16" spans="1:17" ht="15" customHeight="1" thickTop="1">
      <c r="A16" s="306" t="s">
        <v>197</v>
      </c>
      <c r="J16" s="306" t="s">
        <v>203</v>
      </c>
      <c r="K16" s="343">
        <f t="shared" ca="1" si="5"/>
        <v>28866764</v>
      </c>
      <c r="L16" s="343">
        <f t="shared" ca="1" si="5"/>
        <v>54594097.48404479</v>
      </c>
      <c r="M16" s="344">
        <f t="shared" ref="M16" ca="1" si="7">SUM(M14:M15)</f>
        <v>33942480.026877657</v>
      </c>
      <c r="N16" s="344">
        <f t="shared" ref="N16" ca="1" si="8">SUM(N14:N15)</f>
        <v>43725077.112137899</v>
      </c>
      <c r="O16" s="344">
        <f t="shared" ref="O16" ca="1" si="9">SUM(O14:O15)</f>
        <v>55196723.398150735</v>
      </c>
    </row>
    <row r="17" spans="1:15" ht="15" customHeight="1">
      <c r="A17" s="306" t="s">
        <v>188</v>
      </c>
      <c r="B17" s="333"/>
    </row>
    <row r="18" spans="1:15" ht="15" customHeight="1">
      <c r="A18" s="306" t="s">
        <v>189</v>
      </c>
      <c r="B18" s="333"/>
      <c r="J18" s="306" t="s">
        <v>208</v>
      </c>
      <c r="K18" s="353" t="s">
        <v>302</v>
      </c>
      <c r="L18" s="347" t="s">
        <v>303</v>
      </c>
      <c r="M18" s="347" t="s">
        <v>304</v>
      </c>
      <c r="N18" s="347" t="s">
        <v>305</v>
      </c>
      <c r="O18" s="347" t="s">
        <v>306</v>
      </c>
    </row>
    <row r="19" spans="1:15" ht="15" customHeight="1">
      <c r="A19" s="306" t="s">
        <v>190</v>
      </c>
      <c r="B19" s="333"/>
      <c r="J19" s="328" t="s">
        <v>187</v>
      </c>
      <c r="K19" s="189"/>
      <c r="L19" s="348">
        <f>'3 보유'!P5</f>
        <v>14235068.600000001</v>
      </c>
      <c r="M19" s="348">
        <f>'3 보유'!Y5</f>
        <v>16487883.890000001</v>
      </c>
      <c r="N19" s="348">
        <f>'3 보유'!AH5</f>
        <v>19078621.473500002</v>
      </c>
      <c r="O19" s="348">
        <f>'3 보유'!AQ5</f>
        <v>22057969.694525003</v>
      </c>
    </row>
    <row r="20" spans="1:15" ht="15" customHeight="1" thickBot="1">
      <c r="A20" s="306" t="s">
        <v>191</v>
      </c>
      <c r="B20" s="333"/>
      <c r="J20" s="329" t="s">
        <v>202</v>
      </c>
      <c r="K20" s="349"/>
      <c r="L20" s="350">
        <f>'3 보유'!P7</f>
        <v>0</v>
      </c>
      <c r="M20" s="350">
        <f ca="1">'3 보유'!Y6</f>
        <v>67532330.613839015</v>
      </c>
      <c r="N20" s="350">
        <f ca="1">'3 보유'!AH6</f>
        <v>89414661.670366541</v>
      </c>
      <c r="O20" s="350">
        <f ca="1">'3 보유'!AQ6</f>
        <v>114578091.35426033</v>
      </c>
    </row>
    <row r="21" spans="1:15" ht="15" customHeight="1" thickTop="1">
      <c r="A21" s="306" t="s">
        <v>192</v>
      </c>
      <c r="B21" s="333"/>
      <c r="J21" s="306" t="s">
        <v>203</v>
      </c>
      <c r="L21" s="351">
        <f t="shared" ref="L21" si="10">SUM(L19:L20)</f>
        <v>14235068.600000001</v>
      </c>
      <c r="M21" s="351">
        <f t="shared" ref="M21" ca="1" si="11">SUM(M19:M20)</f>
        <v>84020214.503839016</v>
      </c>
      <c r="N21" s="351">
        <f t="shared" ref="N21" ca="1" si="12">SUM(N19:N20)</f>
        <v>108493283.14386654</v>
      </c>
      <c r="O21" s="351">
        <f t="shared" ref="O21" ca="1" si="13">SUM(O19:O20)</f>
        <v>136636061.04878533</v>
      </c>
    </row>
    <row r="22" spans="1:15" ht="15" customHeight="1">
      <c r="A22" s="306" t="s">
        <v>193</v>
      </c>
      <c r="B22" s="333"/>
      <c r="J22" s="306"/>
    </row>
    <row r="23" spans="1:15" ht="15" customHeight="1">
      <c r="A23" s="306" t="s">
        <v>199</v>
      </c>
      <c r="B23" s="327">
        <f ca="1">저가양수도!C20</f>
        <v>7801000000</v>
      </c>
    </row>
    <row r="24" spans="1:15" ht="15" customHeight="1" thickBot="1">
      <c r="A24" s="329" t="s">
        <v>200</v>
      </c>
      <c r="B24" s="334">
        <f ca="1">저가양수도!C41</f>
        <v>294000000</v>
      </c>
    </row>
    <row r="25" spans="1:15" ht="15" customHeight="1" thickTop="1">
      <c r="A25" s="279" t="s">
        <v>297</v>
      </c>
      <c r="B25" s="331">
        <f ca="1">SUM(B23:B24)</f>
        <v>8095000000</v>
      </c>
    </row>
    <row r="26" spans="1:15" ht="15" customHeight="1">
      <c r="M26" s="377"/>
    </row>
    <row r="27" spans="1:15" ht="15" customHeight="1">
      <c r="A27" s="306" t="s">
        <v>201</v>
      </c>
      <c r="B27" s="397" t="str">
        <f>증여!B4</f>
        <v>홍상수</v>
      </c>
    </row>
    <row r="28" spans="1:15" ht="15" customHeight="1">
      <c r="A28" s="328" t="s">
        <v>194</v>
      </c>
      <c r="B28" s="151">
        <f ca="1">증여!B22</f>
        <v>3715000000</v>
      </c>
    </row>
    <row r="29" spans="1:15" ht="15" customHeight="1" thickBot="1">
      <c r="A29" s="329" t="s">
        <v>195</v>
      </c>
      <c r="B29" s="330">
        <f ca="1">증여!B26</f>
        <v>497810000</v>
      </c>
    </row>
    <row r="30" spans="1:15" ht="15" customHeight="1" thickTop="1">
      <c r="A30" s="306" t="s">
        <v>196</v>
      </c>
      <c r="B30" s="327">
        <f ca="1">SUM(B28:B29)</f>
        <v>4212810000</v>
      </c>
    </row>
    <row r="33" spans="1:2" ht="15" customHeight="1">
      <c r="A33" s="279" t="s">
        <v>242</v>
      </c>
      <c r="B33" s="327">
        <f>상속!B3</f>
        <v>14850000000</v>
      </c>
    </row>
    <row r="34" spans="1:2" ht="15" customHeight="1">
      <c r="A34" s="279"/>
      <c r="B34" s="327"/>
    </row>
    <row r="35" spans="1:2" ht="15" customHeight="1">
      <c r="A35" s="130" t="s">
        <v>295</v>
      </c>
      <c r="B35" s="151">
        <f>상속!B15</f>
        <v>5875000000</v>
      </c>
    </row>
    <row r="36" spans="1:2" ht="15" customHeight="1" thickBot="1">
      <c r="A36" s="335" t="s">
        <v>296</v>
      </c>
      <c r="B36" s="330">
        <f>상속!B24</f>
        <v>247011200</v>
      </c>
    </row>
    <row r="37" spans="1:2" ht="15" customHeight="1" thickTop="1">
      <c r="A37" s="279" t="s">
        <v>298</v>
      </c>
      <c r="B37" s="327">
        <f>SUM(B35:B36)</f>
        <v>6122011200</v>
      </c>
    </row>
  </sheetData>
  <phoneticPr fontId="15" type="noConversion"/>
  <pageMargins left="0.25" right="0.25" top="0.75" bottom="0.75" header="0.3" footer="0.3"/>
  <pageSetup paperSize="9" scale="90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999"/>
  <sheetViews>
    <sheetView workbookViewId="0"/>
  </sheetViews>
  <sheetFormatPr defaultColWidth="14.42578125" defaultRowHeight="15" customHeight="1"/>
  <cols>
    <col min="1" max="1" width="13.42578125" style="127" customWidth="1"/>
    <col min="2" max="2" width="16.85546875" style="127" bestFit="1" customWidth="1"/>
    <col min="3" max="5" width="16.85546875" bestFit="1" customWidth="1"/>
    <col min="6" max="6" width="15.140625" bestFit="1" customWidth="1"/>
    <col min="7" max="7" width="18.140625" bestFit="1" customWidth="1"/>
    <col min="8" max="9" width="15.140625" bestFit="1" customWidth="1"/>
    <col min="10" max="10" width="16.140625" bestFit="1" customWidth="1"/>
    <col min="11" max="18" width="13.42578125" customWidth="1"/>
    <col min="19" max="19" width="15.140625" bestFit="1" customWidth="1"/>
    <col min="20" max="20" width="17.5703125" bestFit="1" customWidth="1"/>
    <col min="21" max="21" width="11.5703125" customWidth="1"/>
    <col min="22" max="26" width="8.7109375" customWidth="1"/>
  </cols>
  <sheetData>
    <row r="1" spans="1:18" ht="16.5" customHeight="1">
      <c r="A1" s="270" t="s">
        <v>229</v>
      </c>
      <c r="B1" s="282" t="s">
        <v>320</v>
      </c>
      <c r="C1" s="145"/>
      <c r="F1" s="369" t="s">
        <v>312</v>
      </c>
      <c r="G1" s="303" t="s">
        <v>265</v>
      </c>
      <c r="H1" s="186" t="s">
        <v>266</v>
      </c>
    </row>
    <row r="2" spans="1:18" ht="16.5" customHeight="1">
      <c r="A2" s="271" t="s">
        <v>3</v>
      </c>
      <c r="B2" s="283">
        <f>2026-1986</f>
        <v>40</v>
      </c>
      <c r="C2" s="142"/>
      <c r="F2" s="370" t="s">
        <v>313</v>
      </c>
      <c r="G2" s="304" t="s">
        <v>267</v>
      </c>
      <c r="H2" s="258" t="s">
        <v>273</v>
      </c>
    </row>
    <row r="3" spans="1:18" ht="16.5" customHeight="1" thickBot="1">
      <c r="A3" s="272" t="s">
        <v>216</v>
      </c>
      <c r="B3" s="284">
        <v>4</v>
      </c>
      <c r="C3" s="368" t="s">
        <v>6</v>
      </c>
      <c r="D3" s="7"/>
      <c r="E3" s="9"/>
      <c r="F3" s="4"/>
      <c r="G3" s="7"/>
    </row>
    <row r="4" spans="1:18" ht="16.5" customHeight="1" thickBot="1">
      <c r="B4" s="15"/>
      <c r="D4" s="7"/>
      <c r="E4" s="9"/>
      <c r="F4" s="4"/>
      <c r="G4" s="7"/>
    </row>
    <row r="5" spans="1:18" s="116" customFormat="1" ht="16.5" customHeight="1">
      <c r="A5" s="270" t="s">
        <v>227</v>
      </c>
      <c r="B5" s="285"/>
      <c r="C5" s="115" t="s">
        <v>8</v>
      </c>
      <c r="D5" s="115" t="s">
        <v>9</v>
      </c>
      <c r="E5" s="115" t="s">
        <v>11</v>
      </c>
      <c r="F5" s="115" t="s">
        <v>12</v>
      </c>
      <c r="G5" s="115" t="s">
        <v>13</v>
      </c>
      <c r="H5" s="115" t="s">
        <v>15</v>
      </c>
      <c r="I5" s="140" t="s">
        <v>17</v>
      </c>
      <c r="J5" s="99" t="s">
        <v>20</v>
      </c>
      <c r="K5" s="99" t="s">
        <v>22</v>
      </c>
      <c r="L5" s="99" t="s">
        <v>23</v>
      </c>
      <c r="M5" s="99" t="s">
        <v>24</v>
      </c>
      <c r="N5" s="99" t="s">
        <v>25</v>
      </c>
      <c r="O5" s="99" t="s">
        <v>26</v>
      </c>
      <c r="P5" s="99" t="s">
        <v>27</v>
      </c>
      <c r="Q5" s="99" t="s">
        <v>28</v>
      </c>
      <c r="R5" s="99" t="s">
        <v>29</v>
      </c>
    </row>
    <row r="6" spans="1:18" s="116" customFormat="1" ht="16.5" customHeight="1">
      <c r="A6" s="297" t="s">
        <v>184</v>
      </c>
      <c r="B6" s="130"/>
      <c r="C6" s="242" t="s">
        <v>33</v>
      </c>
      <c r="D6" s="242" t="s">
        <v>239</v>
      </c>
      <c r="E6" s="242" t="s">
        <v>239</v>
      </c>
      <c r="F6" s="242" t="s">
        <v>239</v>
      </c>
      <c r="H6" s="134"/>
      <c r="I6" s="141"/>
      <c r="J6" s="280"/>
      <c r="K6" s="280"/>
      <c r="L6" s="280"/>
      <c r="M6" s="280"/>
      <c r="N6" s="280"/>
      <c r="O6" s="280"/>
      <c r="P6" s="280"/>
      <c r="Q6" s="280"/>
      <c r="R6" s="280"/>
    </row>
    <row r="7" spans="1:18" s="116" customFormat="1" ht="16.5" customHeight="1">
      <c r="A7" s="297" t="s">
        <v>226</v>
      </c>
      <c r="B7" s="130"/>
      <c r="C7" s="243" t="s">
        <v>19</v>
      </c>
      <c r="D7" s="243" t="s">
        <v>19</v>
      </c>
      <c r="E7" s="243" t="s">
        <v>38</v>
      </c>
      <c r="F7" s="243" t="s">
        <v>38</v>
      </c>
      <c r="I7" s="142"/>
      <c r="J7" s="280"/>
      <c r="K7" s="280"/>
      <c r="L7" s="280"/>
      <c r="M7" s="280"/>
      <c r="N7" s="280"/>
      <c r="O7" s="280"/>
      <c r="P7" s="280"/>
      <c r="Q7" s="280"/>
      <c r="R7" s="280"/>
    </row>
    <row r="8" spans="1:18" s="116" customFormat="1" ht="16.5" customHeight="1">
      <c r="A8" s="273" t="s">
        <v>36</v>
      </c>
      <c r="B8" s="189"/>
      <c r="C8" s="268" t="s">
        <v>325</v>
      </c>
      <c r="D8" s="301" t="s">
        <v>321</v>
      </c>
      <c r="E8" s="301" t="s">
        <v>323</v>
      </c>
      <c r="F8" s="301" t="s">
        <v>322</v>
      </c>
      <c r="G8" s="301" t="s">
        <v>324</v>
      </c>
      <c r="H8" s="301"/>
      <c r="I8" s="302"/>
      <c r="J8" s="117"/>
      <c r="K8" s="117"/>
      <c r="L8" s="117"/>
      <c r="M8" s="117"/>
      <c r="N8" s="117"/>
      <c r="O8" s="117"/>
      <c r="P8" s="117"/>
      <c r="Q8" s="117"/>
      <c r="R8" s="117"/>
    </row>
    <row r="9" spans="1:18" s="116" customFormat="1" ht="16.5" customHeight="1">
      <c r="A9" s="271" t="s">
        <v>16</v>
      </c>
      <c r="B9" s="189"/>
      <c r="C9" s="265">
        <v>8400000000</v>
      </c>
      <c r="D9" s="265">
        <v>2400000000</v>
      </c>
      <c r="E9" s="265">
        <v>1000000000</v>
      </c>
      <c r="F9" s="265">
        <v>800000000</v>
      </c>
      <c r="G9" s="265">
        <v>6100000000</v>
      </c>
      <c r="H9" s="265"/>
      <c r="I9" s="269"/>
      <c r="J9" s="265">
        <v>900000000</v>
      </c>
      <c r="K9" s="265"/>
      <c r="L9" s="265"/>
      <c r="M9" s="265"/>
      <c r="N9" s="265"/>
      <c r="O9" s="265"/>
      <c r="P9" s="265"/>
      <c r="Q9" s="265"/>
      <c r="R9" s="118"/>
    </row>
    <row r="10" spans="1:18" s="116" customFormat="1" ht="16.5" customHeight="1">
      <c r="A10" s="271" t="s">
        <v>37</v>
      </c>
      <c r="B10" s="189"/>
      <c r="C10" s="265"/>
      <c r="D10" s="265"/>
      <c r="E10" s="265"/>
      <c r="F10" s="265"/>
      <c r="G10" s="265"/>
      <c r="H10" s="265"/>
      <c r="I10" s="269"/>
      <c r="J10" s="118"/>
      <c r="K10" s="118"/>
      <c r="L10" s="118"/>
      <c r="M10" s="118"/>
      <c r="N10" s="118"/>
      <c r="O10" s="118"/>
      <c r="P10" s="118"/>
      <c r="Q10" s="118"/>
      <c r="R10" s="118"/>
    </row>
    <row r="11" spans="1:18" s="116" customFormat="1" ht="16.5" customHeight="1">
      <c r="A11" s="274" t="s">
        <v>237</v>
      </c>
      <c r="B11" s="189"/>
      <c r="C11" s="265">
        <v>500000000</v>
      </c>
      <c r="D11" s="265"/>
      <c r="E11" s="265"/>
      <c r="F11" s="265"/>
      <c r="G11" s="265"/>
      <c r="H11" s="265"/>
      <c r="I11" s="269"/>
      <c r="J11" s="265"/>
      <c r="K11" s="265"/>
      <c r="L11" s="265"/>
      <c r="M11" s="265"/>
      <c r="N11" s="265"/>
      <c r="O11" s="118"/>
      <c r="P11" s="118"/>
      <c r="Q11" s="118"/>
      <c r="R11" s="101"/>
    </row>
    <row r="12" spans="1:18" s="116" customFormat="1" ht="16.5" customHeight="1">
      <c r="A12" s="271" t="s">
        <v>39</v>
      </c>
      <c r="B12" s="189"/>
      <c r="C12" s="265">
        <v>4632000000</v>
      </c>
      <c r="D12" s="265">
        <v>2000000000</v>
      </c>
      <c r="E12" s="265">
        <v>700000000</v>
      </c>
      <c r="F12" s="265">
        <v>400000000</v>
      </c>
      <c r="G12" s="265">
        <v>300000000</v>
      </c>
      <c r="H12" s="265"/>
      <c r="I12" s="269"/>
      <c r="J12" s="118"/>
      <c r="K12" s="118"/>
      <c r="L12" s="118"/>
      <c r="M12" s="118"/>
      <c r="N12" s="118"/>
      <c r="O12" s="118"/>
      <c r="P12" s="118"/>
      <c r="Q12" s="118"/>
      <c r="R12" s="118"/>
    </row>
    <row r="13" spans="1:18" s="116" customFormat="1" ht="16.5" customHeight="1">
      <c r="A13" s="275" t="s">
        <v>41</v>
      </c>
      <c r="B13" s="99"/>
      <c r="C13" s="264">
        <v>1300000000</v>
      </c>
      <c r="D13" s="265">
        <v>150000000</v>
      </c>
      <c r="E13" s="265">
        <v>200000000</v>
      </c>
      <c r="F13" s="265">
        <v>158000000</v>
      </c>
      <c r="G13" s="265">
        <v>2500000000</v>
      </c>
      <c r="H13" s="265"/>
      <c r="I13" s="269"/>
      <c r="J13" s="118"/>
      <c r="K13" s="118"/>
      <c r="L13" s="118"/>
      <c r="M13" s="118"/>
      <c r="N13" s="118"/>
      <c r="O13" s="118"/>
      <c r="P13" s="118"/>
      <c r="Q13" s="118"/>
      <c r="R13" s="118"/>
    </row>
    <row r="14" spans="1:18" s="116" customFormat="1" ht="16.5" customHeight="1">
      <c r="A14" s="276" t="s">
        <v>42</v>
      </c>
      <c r="B14" s="99"/>
      <c r="C14" s="264">
        <v>10</v>
      </c>
      <c r="D14" s="265">
        <v>3</v>
      </c>
      <c r="E14" s="265">
        <v>4</v>
      </c>
      <c r="F14" s="265">
        <v>5</v>
      </c>
      <c r="G14" s="362">
        <v>9</v>
      </c>
      <c r="H14" s="265"/>
      <c r="I14" s="269"/>
      <c r="J14" s="118"/>
      <c r="K14" s="118"/>
      <c r="L14" s="118"/>
      <c r="M14" s="118"/>
      <c r="N14" s="118"/>
      <c r="O14" s="118"/>
      <c r="P14" s="118"/>
      <c r="Q14" s="118"/>
      <c r="R14" s="118"/>
    </row>
    <row r="15" spans="1:18" s="116" customFormat="1" ht="16.5" customHeight="1">
      <c r="A15" s="276" t="s">
        <v>43</v>
      </c>
      <c r="B15" s="99"/>
      <c r="C15" s="264">
        <v>5</v>
      </c>
      <c r="D15" s="265">
        <v>3</v>
      </c>
      <c r="E15" s="265">
        <v>3</v>
      </c>
      <c r="F15" s="265">
        <v>2</v>
      </c>
      <c r="G15" s="265"/>
      <c r="H15" s="265"/>
      <c r="I15" s="269"/>
      <c r="J15" s="118"/>
      <c r="K15" s="118"/>
      <c r="L15" s="118"/>
      <c r="M15" s="118"/>
      <c r="N15" s="118"/>
      <c r="O15" s="118"/>
      <c r="P15" s="118"/>
      <c r="Q15" s="118"/>
      <c r="R15" s="118"/>
    </row>
    <row r="16" spans="1:18" s="116" customFormat="1" ht="16.5" customHeight="1" thickBot="1">
      <c r="A16" s="277" t="s">
        <v>45</v>
      </c>
      <c r="B16" s="286"/>
      <c r="C16" s="266">
        <v>1</v>
      </c>
      <c r="D16" s="267">
        <v>0.5</v>
      </c>
      <c r="E16" s="267">
        <v>1</v>
      </c>
      <c r="F16" s="267">
        <v>1</v>
      </c>
      <c r="G16" s="267">
        <v>0.5</v>
      </c>
      <c r="H16" s="267">
        <v>1</v>
      </c>
      <c r="I16" s="308">
        <v>1</v>
      </c>
      <c r="J16" s="117"/>
      <c r="K16" s="117"/>
      <c r="L16" s="117"/>
      <c r="M16" s="117"/>
      <c r="N16" s="117"/>
      <c r="O16" s="117"/>
      <c r="P16" s="117"/>
      <c r="Q16" s="117"/>
      <c r="R16" s="117"/>
    </row>
    <row r="17" spans="1:21" s="116" customFormat="1" ht="16.5" customHeight="1">
      <c r="A17" s="99" t="s">
        <v>242</v>
      </c>
      <c r="B17" s="107">
        <f>SUM(C17:R17)</f>
        <v>14850000000</v>
      </c>
      <c r="C17" s="101">
        <f>(MIN(C$9:C$10)-C$11)*C16</f>
        <v>7900000000</v>
      </c>
      <c r="D17" s="101">
        <f t="shared" ref="D17:I17" si="0">(MIN(D9:D10)-D11)*D16</f>
        <v>1200000000</v>
      </c>
      <c r="E17" s="101">
        <f t="shared" si="0"/>
        <v>1000000000</v>
      </c>
      <c r="F17" s="101">
        <f t="shared" si="0"/>
        <v>800000000</v>
      </c>
      <c r="G17" s="101">
        <f t="shared" si="0"/>
        <v>3050000000</v>
      </c>
      <c r="H17" s="101">
        <f t="shared" si="0"/>
        <v>0</v>
      </c>
      <c r="I17" s="101">
        <f t="shared" si="0"/>
        <v>0</v>
      </c>
      <c r="J17" s="101">
        <f t="shared" ref="J17:R17" si="1">(MIN(J9:J10)-J11)</f>
        <v>900000000</v>
      </c>
      <c r="K17" s="101">
        <f t="shared" si="1"/>
        <v>0</v>
      </c>
      <c r="L17" s="101">
        <f t="shared" si="1"/>
        <v>0</v>
      </c>
      <c r="M17" s="101">
        <f t="shared" si="1"/>
        <v>0</v>
      </c>
      <c r="N17" s="101">
        <f t="shared" si="1"/>
        <v>0</v>
      </c>
      <c r="O17" s="101">
        <f t="shared" si="1"/>
        <v>0</v>
      </c>
      <c r="P17" s="101">
        <f t="shared" si="1"/>
        <v>0</v>
      </c>
      <c r="Q17" s="101">
        <f t="shared" si="1"/>
        <v>0</v>
      </c>
      <c r="R17" s="101">
        <f t="shared" si="1"/>
        <v>0</v>
      </c>
    </row>
    <row r="18" spans="1:21" s="116" customFormat="1" ht="16.5" customHeight="1">
      <c r="A18" s="189"/>
      <c r="B18" s="189"/>
    </row>
    <row r="19" spans="1:21" ht="16.5" customHeight="1"/>
    <row r="20" spans="1:21" ht="16.5" customHeight="1"/>
    <row r="21" spans="1:21" ht="16.5" customHeight="1">
      <c r="A21" s="279" t="s">
        <v>283</v>
      </c>
      <c r="B21" s="298" t="s">
        <v>284</v>
      </c>
      <c r="J21" s="203" t="s">
        <v>275</v>
      </c>
    </row>
    <row r="22" spans="1:21" ht="16.5" customHeight="1">
      <c r="A22" s="278" t="s">
        <v>47</v>
      </c>
      <c r="B22" s="278" t="s">
        <v>48</v>
      </c>
      <c r="S22" s="19"/>
      <c r="T22" s="9"/>
      <c r="U22" s="9"/>
    </row>
    <row r="23" spans="1:21" ht="16.5" customHeight="1">
      <c r="A23" s="278" t="s">
        <v>3</v>
      </c>
      <c r="B23" s="287">
        <f>2026-1987</f>
        <v>39</v>
      </c>
      <c r="S23" s="19"/>
      <c r="T23" s="19"/>
      <c r="U23" s="19"/>
    </row>
    <row r="24" spans="1:21" ht="16.5" customHeight="1" thickBot="1">
      <c r="A24" s="279" t="s">
        <v>216</v>
      </c>
      <c r="B24" s="337">
        <v>1</v>
      </c>
      <c r="C24" s="368" t="s">
        <v>311</v>
      </c>
      <c r="S24" s="19"/>
      <c r="T24" s="19"/>
      <c r="U24" s="19"/>
    </row>
    <row r="25" spans="1:21" ht="16.5" customHeight="1">
      <c r="A25" s="3" t="s">
        <v>49</v>
      </c>
      <c r="B25" s="3">
        <f>IF(B22="배우자",1.5,IF(B22="직계존비속",1,0))</f>
        <v>1.5</v>
      </c>
      <c r="S25" s="19"/>
      <c r="T25" s="19"/>
      <c r="U25" s="19"/>
    </row>
    <row r="26" spans="1:21" ht="16.5" customHeight="1" thickBot="1">
      <c r="A26" s="3" t="s">
        <v>50</v>
      </c>
      <c r="B26" s="3"/>
      <c r="C26" s="127" t="str">
        <f>C$5</f>
        <v>주택1</v>
      </c>
      <c r="D26" s="127" t="str">
        <f t="shared" ref="D26:I26" si="2">D$5</f>
        <v>주택2</v>
      </c>
      <c r="E26" s="127" t="str">
        <f t="shared" si="2"/>
        <v>주택3</v>
      </c>
      <c r="F26" s="127" t="str">
        <f t="shared" si="2"/>
        <v>주택4</v>
      </c>
      <c r="G26" s="127" t="str">
        <f t="shared" si="2"/>
        <v>건축물</v>
      </c>
      <c r="H26" s="127" t="str">
        <f t="shared" si="2"/>
        <v>토지1</v>
      </c>
      <c r="I26" s="127" t="str">
        <f t="shared" si="2"/>
        <v>토지2</v>
      </c>
      <c r="S26" s="138" t="s">
        <v>30</v>
      </c>
      <c r="T26" s="99" t="s">
        <v>31</v>
      </c>
      <c r="U26" s="281" t="s">
        <v>281</v>
      </c>
    </row>
    <row r="27" spans="1:21" ht="16.5" customHeight="1">
      <c r="A27" s="289" t="s">
        <v>41</v>
      </c>
      <c r="B27" s="115"/>
      <c r="C27" s="394"/>
      <c r="D27" s="394">
        <v>300000000</v>
      </c>
      <c r="E27" s="290"/>
      <c r="F27" s="290"/>
      <c r="G27" s="290"/>
      <c r="H27" s="290"/>
      <c r="I27" s="291"/>
    </row>
    <row r="28" spans="1:21" ht="16.5" customHeight="1">
      <c r="A28" s="275" t="s">
        <v>42</v>
      </c>
      <c r="B28" s="99"/>
      <c r="C28" s="292"/>
      <c r="D28" s="292">
        <v>3</v>
      </c>
      <c r="E28" s="292"/>
      <c r="F28" s="292"/>
      <c r="G28" s="292"/>
      <c r="H28" s="292"/>
      <c r="I28" s="293"/>
    </row>
    <row r="29" spans="1:21" ht="16.5" customHeight="1">
      <c r="A29" s="275" t="s">
        <v>43</v>
      </c>
      <c r="B29" s="99"/>
      <c r="C29" s="292"/>
      <c r="D29" s="292">
        <v>3</v>
      </c>
      <c r="E29" s="292"/>
      <c r="F29" s="292"/>
      <c r="G29" s="292"/>
      <c r="H29" s="292"/>
      <c r="I29" s="293"/>
    </row>
    <row r="30" spans="1:21" ht="16.5" customHeight="1" thickBot="1">
      <c r="A30" s="277" t="s">
        <v>45</v>
      </c>
      <c r="B30" s="286"/>
      <c r="C30" s="294"/>
      <c r="D30" s="294">
        <v>0.5</v>
      </c>
      <c r="E30" s="294"/>
      <c r="F30" s="294"/>
      <c r="G30" s="295"/>
      <c r="H30" s="295"/>
      <c r="I30" s="296"/>
    </row>
    <row r="31" spans="1:21" ht="16.5" customHeight="1">
      <c r="A31" s="3" t="s">
        <v>46</v>
      </c>
      <c r="B31" s="15">
        <f>SUM(C31:R31)</f>
        <v>1200000000</v>
      </c>
      <c r="C31" s="4">
        <f>(MIN(C$9:C$10)-C$11)*C30</f>
        <v>0</v>
      </c>
      <c r="D31" s="4">
        <f t="shared" ref="D31:I31" si="3">(MIN(D$9:D$10)-D$11)*D30</f>
        <v>1200000000</v>
      </c>
      <c r="E31" s="4">
        <f t="shared" si="3"/>
        <v>0</v>
      </c>
      <c r="F31" s="4">
        <f t="shared" si="3"/>
        <v>0</v>
      </c>
      <c r="G31" s="4">
        <f t="shared" si="3"/>
        <v>0</v>
      </c>
      <c r="H31" s="4">
        <f t="shared" si="3"/>
        <v>0</v>
      </c>
      <c r="I31" s="4">
        <f t="shared" si="3"/>
        <v>0</v>
      </c>
      <c r="S31" s="247">
        <v>600000000</v>
      </c>
      <c r="T31" s="299">
        <v>0</v>
      </c>
      <c r="U31" s="300">
        <v>45658</v>
      </c>
    </row>
    <row r="32" spans="1:21" ht="16.5" customHeight="1"/>
    <row r="33" spans="1:21" ht="16.5" customHeight="1"/>
    <row r="34" spans="1:21" ht="16.5" customHeight="1">
      <c r="A34" s="279" t="s">
        <v>285</v>
      </c>
      <c r="B34" s="298" t="s">
        <v>292</v>
      </c>
      <c r="S34" s="138"/>
      <c r="T34" s="99"/>
      <c r="U34" s="281"/>
    </row>
    <row r="35" spans="1:21" ht="16.5" customHeight="1">
      <c r="A35" s="278" t="s">
        <v>47</v>
      </c>
      <c r="B35" s="278" t="s">
        <v>51</v>
      </c>
      <c r="C35" s="1" t="s">
        <v>52</v>
      </c>
    </row>
    <row r="36" spans="1:21" ht="16.5" customHeight="1">
      <c r="A36" s="278" t="s">
        <v>3</v>
      </c>
      <c r="B36" s="287">
        <v>15</v>
      </c>
    </row>
    <row r="37" spans="1:21" ht="16.5" customHeight="1" thickBot="1">
      <c r="A37" s="279" t="s">
        <v>216</v>
      </c>
      <c r="B37" s="337">
        <v>0</v>
      </c>
      <c r="C37" s="368" t="s">
        <v>0</v>
      </c>
      <c r="S37" s="19"/>
      <c r="T37" s="19"/>
      <c r="U37" s="19"/>
    </row>
    <row r="38" spans="1:21" ht="16.5" customHeight="1">
      <c r="A38" s="3" t="s">
        <v>49</v>
      </c>
      <c r="B38" s="3">
        <f>IF(B35="배우자",1.5,IF(B35="직계존비속",1,0))</f>
        <v>1</v>
      </c>
    </row>
    <row r="39" spans="1:21" ht="16.5" customHeight="1" thickBot="1">
      <c r="A39" s="3" t="s">
        <v>50</v>
      </c>
      <c r="B39" s="3" t="s">
        <v>53</v>
      </c>
      <c r="C39" s="127" t="str">
        <f>C$5</f>
        <v>주택1</v>
      </c>
      <c r="D39" s="127" t="str">
        <f t="shared" ref="D39:I39" si="4">D$5</f>
        <v>주택2</v>
      </c>
      <c r="E39" s="127" t="str">
        <f t="shared" si="4"/>
        <v>주택3</v>
      </c>
      <c r="F39" s="127" t="str">
        <f t="shared" si="4"/>
        <v>주택4</v>
      </c>
      <c r="G39" s="127" t="str">
        <f t="shared" si="4"/>
        <v>건축물</v>
      </c>
      <c r="H39" s="127" t="str">
        <f t="shared" si="4"/>
        <v>토지1</v>
      </c>
      <c r="I39" s="127" t="str">
        <f t="shared" si="4"/>
        <v>토지2</v>
      </c>
      <c r="S39" s="138" t="s">
        <v>30</v>
      </c>
      <c r="T39" s="99" t="s">
        <v>31</v>
      </c>
      <c r="U39" s="281" t="s">
        <v>281</v>
      </c>
    </row>
    <row r="40" spans="1:21" ht="16.5" customHeight="1">
      <c r="A40" s="289" t="s">
        <v>41</v>
      </c>
      <c r="B40" s="115"/>
      <c r="C40" s="290"/>
      <c r="D40" s="290"/>
      <c r="E40" s="290"/>
      <c r="F40" s="290"/>
      <c r="G40" s="290"/>
      <c r="H40" s="395"/>
      <c r="I40" s="291"/>
    </row>
    <row r="41" spans="1:21" ht="16.5" customHeight="1">
      <c r="A41" s="275" t="s">
        <v>42</v>
      </c>
      <c r="B41" s="99"/>
      <c r="C41" s="292"/>
      <c r="D41" s="292"/>
      <c r="E41" s="292"/>
      <c r="F41" s="292"/>
      <c r="G41" s="292"/>
      <c r="H41" s="292"/>
      <c r="I41" s="293"/>
    </row>
    <row r="42" spans="1:21" ht="16.5" customHeight="1">
      <c r="A42" s="275" t="s">
        <v>43</v>
      </c>
      <c r="B42" s="99"/>
      <c r="C42" s="292"/>
      <c r="D42" s="292"/>
      <c r="E42" s="292"/>
      <c r="F42" s="292"/>
      <c r="G42" s="292"/>
      <c r="H42" s="292"/>
      <c r="I42" s="293"/>
    </row>
    <row r="43" spans="1:21" ht="16.5" customHeight="1" thickBot="1">
      <c r="A43" s="277" t="s">
        <v>45</v>
      </c>
      <c r="B43" s="286"/>
      <c r="C43" s="294"/>
      <c r="D43" s="295"/>
      <c r="E43" s="295"/>
      <c r="F43" s="295"/>
      <c r="G43" s="295"/>
      <c r="H43" s="294"/>
      <c r="I43" s="296"/>
    </row>
    <row r="44" spans="1:21" ht="16.5" customHeight="1">
      <c r="A44" s="3" t="s">
        <v>46</v>
      </c>
      <c r="B44" s="15">
        <f>SUM(C44:R44)</f>
        <v>0</v>
      </c>
      <c r="C44" s="4">
        <f>(MIN(C$9:C$10)-C$11)*C43</f>
        <v>0</v>
      </c>
      <c r="D44" s="4">
        <f t="shared" ref="D44" si="5">(MIN(D$9:D$10)-D$11)*D43</f>
        <v>0</v>
      </c>
      <c r="E44" s="4">
        <f t="shared" ref="E44" si="6">(MIN(E$9:E$10)-E$11)*E43</f>
        <v>0</v>
      </c>
      <c r="F44" s="4">
        <f t="shared" ref="F44" si="7">(MIN(F$9:F$10)-F$11)*F43</f>
        <v>0</v>
      </c>
      <c r="G44" s="4">
        <f t="shared" ref="G44" si="8">(MIN(G$9:G$10)-G$11)*G43</f>
        <v>0</v>
      </c>
      <c r="H44" s="4">
        <f t="shared" ref="H44" si="9">(MIN(H$9:H$10)-H$11)*H43</f>
        <v>0</v>
      </c>
      <c r="I44" s="4">
        <f t="shared" ref="I44" si="10">(MIN(I$9:I$10)-I$11)*I43</f>
        <v>0</v>
      </c>
      <c r="S44" s="247">
        <v>600000000</v>
      </c>
      <c r="T44" s="299">
        <v>0</v>
      </c>
      <c r="U44" s="300">
        <v>45658</v>
      </c>
    </row>
    <row r="45" spans="1:21" ht="16.5" customHeight="1"/>
    <row r="46" spans="1:21" ht="16.5" customHeight="1"/>
    <row r="47" spans="1:21" ht="16.5" customHeight="1">
      <c r="A47" s="279" t="s">
        <v>286</v>
      </c>
      <c r="B47" s="288" t="s">
        <v>282</v>
      </c>
      <c r="S47" s="138"/>
      <c r="T47" s="99"/>
      <c r="U47" s="281"/>
    </row>
    <row r="48" spans="1:21" ht="16.5" customHeight="1">
      <c r="A48" s="278" t="s">
        <v>47</v>
      </c>
      <c r="B48" s="278" t="s">
        <v>51</v>
      </c>
      <c r="C48" s="1" t="s">
        <v>52</v>
      </c>
    </row>
    <row r="49" spans="1:21" ht="16.5" customHeight="1">
      <c r="A49" s="278" t="s">
        <v>3</v>
      </c>
      <c r="B49" s="287"/>
    </row>
    <row r="50" spans="1:21" ht="16.5" customHeight="1" thickBot="1">
      <c r="A50" s="279" t="s">
        <v>216</v>
      </c>
      <c r="B50" s="337">
        <v>0</v>
      </c>
      <c r="C50" s="368" t="s">
        <v>311</v>
      </c>
      <c r="S50" s="19"/>
      <c r="T50" s="19"/>
      <c r="U50" s="19"/>
    </row>
    <row r="51" spans="1:21" ht="16.5" customHeight="1">
      <c r="A51" s="3" t="s">
        <v>49</v>
      </c>
      <c r="B51" s="3">
        <f>IF(B48="배우자",1.5,IF(B48="직계존비속",1,0))</f>
        <v>1</v>
      </c>
    </row>
    <row r="52" spans="1:21" ht="16.5" customHeight="1" thickBot="1">
      <c r="A52" s="3" t="s">
        <v>50</v>
      </c>
      <c r="B52" s="3" t="s">
        <v>53</v>
      </c>
      <c r="C52" s="127" t="str">
        <f>C$5</f>
        <v>주택1</v>
      </c>
      <c r="D52" s="127" t="str">
        <f t="shared" ref="D52:I52" si="11">D$5</f>
        <v>주택2</v>
      </c>
      <c r="E52" s="127" t="str">
        <f t="shared" si="11"/>
        <v>주택3</v>
      </c>
      <c r="F52" s="127" t="str">
        <f t="shared" si="11"/>
        <v>주택4</v>
      </c>
      <c r="G52" s="127" t="str">
        <f t="shared" si="11"/>
        <v>건축물</v>
      </c>
      <c r="H52" s="127" t="str">
        <f t="shared" si="11"/>
        <v>토지1</v>
      </c>
      <c r="I52" s="127" t="str">
        <f t="shared" si="11"/>
        <v>토지2</v>
      </c>
      <c r="S52" s="138" t="s">
        <v>30</v>
      </c>
      <c r="T52" s="99" t="s">
        <v>31</v>
      </c>
      <c r="U52" s="281" t="s">
        <v>281</v>
      </c>
    </row>
    <row r="53" spans="1:21" ht="16.5" customHeight="1">
      <c r="A53" s="289" t="s">
        <v>41</v>
      </c>
      <c r="B53" s="115"/>
      <c r="C53" s="290"/>
      <c r="D53" s="290"/>
      <c r="E53" s="290"/>
      <c r="F53" s="290"/>
      <c r="G53" s="290"/>
      <c r="H53" s="290"/>
      <c r="I53" s="291"/>
    </row>
    <row r="54" spans="1:21" ht="16.5" customHeight="1">
      <c r="A54" s="275" t="s">
        <v>42</v>
      </c>
      <c r="B54" s="99"/>
      <c r="C54" s="292"/>
      <c r="D54" s="292"/>
      <c r="E54" s="292"/>
      <c r="F54" s="292"/>
      <c r="G54" s="292"/>
      <c r="H54" s="292"/>
      <c r="I54" s="293"/>
    </row>
    <row r="55" spans="1:21" ht="16.5" customHeight="1">
      <c r="A55" s="275" t="s">
        <v>43</v>
      </c>
      <c r="B55" s="99"/>
      <c r="C55" s="292"/>
      <c r="D55" s="292"/>
      <c r="E55" s="292"/>
      <c r="F55" s="292"/>
      <c r="G55" s="292"/>
      <c r="H55" s="292"/>
      <c r="I55" s="293"/>
    </row>
    <row r="56" spans="1:21" ht="16.5" customHeight="1" thickBot="1">
      <c r="A56" s="277" t="s">
        <v>45</v>
      </c>
      <c r="B56" s="286"/>
      <c r="C56" s="294"/>
      <c r="D56" s="295"/>
      <c r="E56" s="295"/>
      <c r="F56" s="295"/>
      <c r="G56" s="295"/>
      <c r="H56" s="295"/>
      <c r="I56" s="296"/>
    </row>
    <row r="57" spans="1:21" ht="16.5" customHeight="1">
      <c r="A57" s="3" t="s">
        <v>46</v>
      </c>
      <c r="B57" s="15">
        <f>SUM(C57:R57)</f>
        <v>0</v>
      </c>
      <c r="C57" s="4">
        <f>(MIN(C$9:C$10)-C$11)*C56</f>
        <v>0</v>
      </c>
      <c r="D57" s="4">
        <f t="shared" ref="D57" si="12">(MIN(D$9:D$10)-D$11)*D56</f>
        <v>0</v>
      </c>
      <c r="E57" s="4">
        <f t="shared" ref="E57" si="13">(MIN(E$9:E$10)-E$11)*E56</f>
        <v>0</v>
      </c>
      <c r="F57" s="4">
        <f t="shared" ref="F57" si="14">(MIN(F$9:F$10)-F$11)*F56</f>
        <v>0</v>
      </c>
      <c r="G57" s="4">
        <f t="shared" ref="G57" si="15">(MIN(G$9:G$10)-G$11)*G56</f>
        <v>0</v>
      </c>
      <c r="H57" s="4">
        <f t="shared" ref="H57" si="16">(MIN(H$9:H$10)-H$11)*H56</f>
        <v>0</v>
      </c>
      <c r="I57" s="4">
        <f t="shared" ref="I57" si="17">(MIN(I$9:I$10)-I$11)*I56</f>
        <v>0</v>
      </c>
      <c r="S57" s="247">
        <v>600000000</v>
      </c>
      <c r="T57" s="299">
        <v>0</v>
      </c>
      <c r="U57" s="300">
        <v>45658</v>
      </c>
    </row>
    <row r="58" spans="1:21" ht="16.5" customHeight="1"/>
    <row r="59" spans="1:21" ht="16.5" customHeight="1"/>
    <row r="60" spans="1:21" ht="16.5" customHeight="1">
      <c r="A60" s="279" t="s">
        <v>287</v>
      </c>
      <c r="B60" s="288" t="s">
        <v>282</v>
      </c>
      <c r="S60" s="138"/>
      <c r="T60" s="99"/>
      <c r="U60" s="281"/>
    </row>
    <row r="61" spans="1:21" ht="16.5" customHeight="1">
      <c r="A61" s="278" t="s">
        <v>47</v>
      </c>
      <c r="B61" s="278" t="s">
        <v>51</v>
      </c>
      <c r="C61" s="1" t="s">
        <v>52</v>
      </c>
    </row>
    <row r="62" spans="1:21" ht="16.5" customHeight="1">
      <c r="A62" s="278" t="s">
        <v>3</v>
      </c>
      <c r="B62" s="287"/>
    </row>
    <row r="63" spans="1:21" ht="16.5" customHeight="1" thickBot="1">
      <c r="A63" s="279" t="s">
        <v>216</v>
      </c>
      <c r="B63" s="337">
        <v>0</v>
      </c>
      <c r="C63" s="368" t="s">
        <v>311</v>
      </c>
      <c r="S63" s="19"/>
      <c r="T63" s="19"/>
      <c r="U63" s="19"/>
    </row>
    <row r="64" spans="1:21" ht="16.5" customHeight="1">
      <c r="A64" s="3" t="s">
        <v>49</v>
      </c>
      <c r="B64" s="3">
        <f>IF(B61="배우자",1.5,IF(B61="직계존비속",1,0))</f>
        <v>1</v>
      </c>
    </row>
    <row r="65" spans="1:21" ht="16.5" customHeight="1" thickBot="1">
      <c r="A65" s="3" t="s">
        <v>50</v>
      </c>
      <c r="B65" s="3" t="s">
        <v>53</v>
      </c>
      <c r="C65" s="127" t="str">
        <f>C$5</f>
        <v>주택1</v>
      </c>
      <c r="D65" s="127" t="str">
        <f t="shared" ref="D65:I65" si="18">D$5</f>
        <v>주택2</v>
      </c>
      <c r="E65" s="127" t="str">
        <f t="shared" si="18"/>
        <v>주택3</v>
      </c>
      <c r="F65" s="127" t="str">
        <f t="shared" si="18"/>
        <v>주택4</v>
      </c>
      <c r="G65" s="127" t="str">
        <f t="shared" si="18"/>
        <v>건축물</v>
      </c>
      <c r="H65" s="127" t="str">
        <f t="shared" si="18"/>
        <v>토지1</v>
      </c>
      <c r="I65" s="127" t="str">
        <f t="shared" si="18"/>
        <v>토지2</v>
      </c>
      <c r="S65" s="138" t="s">
        <v>30</v>
      </c>
      <c r="T65" s="99" t="s">
        <v>31</v>
      </c>
      <c r="U65" s="281" t="s">
        <v>281</v>
      </c>
    </row>
    <row r="66" spans="1:21" ht="16.5" customHeight="1">
      <c r="A66" s="289" t="s">
        <v>41</v>
      </c>
      <c r="B66" s="115"/>
      <c r="C66" s="290"/>
      <c r="D66" s="290"/>
      <c r="E66" s="290"/>
      <c r="F66" s="290"/>
      <c r="G66" s="290"/>
      <c r="H66" s="290"/>
      <c r="I66" s="291"/>
    </row>
    <row r="67" spans="1:21" ht="16.5" customHeight="1">
      <c r="A67" s="275" t="s">
        <v>42</v>
      </c>
      <c r="B67" s="99"/>
      <c r="C67" s="292"/>
      <c r="D67" s="292"/>
      <c r="E67" s="292"/>
      <c r="F67" s="292"/>
      <c r="G67" s="292"/>
      <c r="H67" s="292"/>
      <c r="I67" s="293"/>
    </row>
    <row r="68" spans="1:21" ht="16.5" customHeight="1">
      <c r="A68" s="275" t="s">
        <v>43</v>
      </c>
      <c r="B68" s="99"/>
      <c r="C68" s="292"/>
      <c r="D68" s="292"/>
      <c r="E68" s="292"/>
      <c r="F68" s="292"/>
      <c r="G68" s="292"/>
      <c r="H68" s="292"/>
      <c r="I68" s="293"/>
    </row>
    <row r="69" spans="1:21" ht="16.5" customHeight="1" thickBot="1">
      <c r="A69" s="277" t="s">
        <v>45</v>
      </c>
      <c r="B69" s="286"/>
      <c r="C69" s="294"/>
      <c r="D69" s="295"/>
      <c r="E69" s="295"/>
      <c r="F69" s="295"/>
      <c r="G69" s="295"/>
      <c r="H69" s="295"/>
      <c r="I69" s="296"/>
    </row>
    <row r="70" spans="1:21" ht="16.5" customHeight="1">
      <c r="A70" s="3" t="s">
        <v>46</v>
      </c>
      <c r="B70" s="15">
        <f>SUM(C70:R70)</f>
        <v>0</v>
      </c>
      <c r="C70" s="4">
        <f>(MIN(C$9:C$10)-C$11)*C69</f>
        <v>0</v>
      </c>
      <c r="D70" s="4">
        <f t="shared" ref="D70" si="19">(MIN(D$9:D$10)-D$11)*D69</f>
        <v>0</v>
      </c>
      <c r="E70" s="4">
        <f t="shared" ref="E70" si="20">(MIN(E$9:E$10)-E$11)*E69</f>
        <v>0</v>
      </c>
      <c r="F70" s="4">
        <f t="shared" ref="F70" si="21">(MIN(F$9:F$10)-F$11)*F69</f>
        <v>0</v>
      </c>
      <c r="G70" s="4">
        <f t="shared" ref="G70" si="22">(MIN(G$9:G$10)-G$11)*G69</f>
        <v>0</v>
      </c>
      <c r="H70" s="4">
        <f t="shared" ref="H70" si="23">(MIN(H$9:H$10)-H$11)*H69</f>
        <v>0</v>
      </c>
      <c r="I70" s="4">
        <f t="shared" ref="I70" si="24">(MIN(I$9:I$10)-I$11)*I69</f>
        <v>0</v>
      </c>
      <c r="S70" s="247">
        <v>600000000</v>
      </c>
      <c r="T70" s="299">
        <v>0</v>
      </c>
      <c r="U70" s="300">
        <v>45658</v>
      </c>
    </row>
    <row r="71" spans="1:21" ht="16.5" customHeight="1"/>
    <row r="72" spans="1:21" ht="16.5" customHeight="1"/>
    <row r="73" spans="1:21" ht="16.5" customHeight="1">
      <c r="A73" s="279" t="s">
        <v>288</v>
      </c>
      <c r="B73" s="288" t="s">
        <v>282</v>
      </c>
      <c r="S73" s="138"/>
      <c r="T73" s="99"/>
      <c r="U73" s="281"/>
    </row>
    <row r="74" spans="1:21" ht="16.5" customHeight="1">
      <c r="A74" s="278" t="s">
        <v>47</v>
      </c>
      <c r="B74" s="278" t="s">
        <v>51</v>
      </c>
      <c r="C74" s="1" t="s">
        <v>52</v>
      </c>
    </row>
    <row r="75" spans="1:21" ht="16.5" customHeight="1">
      <c r="A75" s="278" t="s">
        <v>3</v>
      </c>
      <c r="B75" s="287"/>
    </row>
    <row r="76" spans="1:21" ht="16.5" customHeight="1" thickBot="1">
      <c r="A76" s="279" t="s">
        <v>216</v>
      </c>
      <c r="B76" s="337">
        <v>0</v>
      </c>
      <c r="C76" s="368" t="s">
        <v>311</v>
      </c>
      <c r="S76" s="19"/>
      <c r="T76" s="19"/>
      <c r="U76" s="19"/>
    </row>
    <row r="77" spans="1:21" ht="16.5" customHeight="1">
      <c r="A77" s="3" t="s">
        <v>49</v>
      </c>
      <c r="B77" s="3">
        <f>IF(B74="배우자",1.5,IF(B74="직계존비속",1,0))</f>
        <v>1</v>
      </c>
    </row>
    <row r="78" spans="1:21" ht="16.5" customHeight="1" thickBot="1">
      <c r="A78" s="3" t="s">
        <v>50</v>
      </c>
      <c r="B78" s="3" t="s">
        <v>53</v>
      </c>
      <c r="C78" s="127" t="str">
        <f>C$5</f>
        <v>주택1</v>
      </c>
      <c r="D78" s="127" t="str">
        <f t="shared" ref="D78:I78" si="25">D$5</f>
        <v>주택2</v>
      </c>
      <c r="E78" s="127" t="str">
        <f t="shared" si="25"/>
        <v>주택3</v>
      </c>
      <c r="F78" s="127" t="str">
        <f t="shared" si="25"/>
        <v>주택4</v>
      </c>
      <c r="G78" s="127" t="str">
        <f t="shared" si="25"/>
        <v>건축물</v>
      </c>
      <c r="H78" s="127" t="str">
        <f t="shared" si="25"/>
        <v>토지1</v>
      </c>
      <c r="I78" s="127" t="str">
        <f t="shared" si="25"/>
        <v>토지2</v>
      </c>
      <c r="S78" s="138" t="s">
        <v>30</v>
      </c>
      <c r="T78" s="99" t="s">
        <v>31</v>
      </c>
      <c r="U78" s="281" t="s">
        <v>281</v>
      </c>
    </row>
    <row r="79" spans="1:21" ht="16.5" customHeight="1">
      <c r="A79" s="289" t="s">
        <v>41</v>
      </c>
      <c r="B79" s="115"/>
      <c r="C79" s="290"/>
      <c r="D79" s="290"/>
      <c r="E79" s="290"/>
      <c r="F79" s="290"/>
      <c r="G79" s="290"/>
      <c r="H79" s="290"/>
      <c r="I79" s="291"/>
    </row>
    <row r="80" spans="1:21" ht="16.5" customHeight="1">
      <c r="A80" s="275" t="s">
        <v>42</v>
      </c>
      <c r="B80" s="99"/>
      <c r="C80" s="292"/>
      <c r="D80" s="292"/>
      <c r="E80" s="292"/>
      <c r="F80" s="292"/>
      <c r="G80" s="292"/>
      <c r="H80" s="292"/>
      <c r="I80" s="293"/>
    </row>
    <row r="81" spans="1:21" ht="16.5" customHeight="1">
      <c r="A81" s="275" t="s">
        <v>43</v>
      </c>
      <c r="B81" s="99"/>
      <c r="C81" s="292"/>
      <c r="D81" s="292"/>
      <c r="E81" s="292"/>
      <c r="F81" s="292"/>
      <c r="G81" s="292"/>
      <c r="H81" s="292"/>
      <c r="I81" s="293"/>
    </row>
    <row r="82" spans="1:21" ht="16.5" customHeight="1" thickBot="1">
      <c r="A82" s="277" t="s">
        <v>45</v>
      </c>
      <c r="B82" s="286"/>
      <c r="C82" s="294"/>
      <c r="D82" s="295"/>
      <c r="E82" s="295"/>
      <c r="F82" s="295"/>
      <c r="G82" s="295"/>
      <c r="H82" s="295"/>
      <c r="I82" s="296"/>
    </row>
    <row r="83" spans="1:21" ht="16.5" customHeight="1">
      <c r="A83" s="3" t="s">
        <v>46</v>
      </c>
      <c r="B83" s="15">
        <f>SUM(C83:R83)</f>
        <v>0</v>
      </c>
      <c r="C83" s="4">
        <f>(MIN(C$9:C$10)-C$11)*C82</f>
        <v>0</v>
      </c>
      <c r="D83" s="4">
        <f t="shared" ref="D83" si="26">(MIN(D$9:D$10)-D$11)*D82</f>
        <v>0</v>
      </c>
      <c r="E83" s="4">
        <f t="shared" ref="E83" si="27">(MIN(E$9:E$10)-E$11)*E82</f>
        <v>0</v>
      </c>
      <c r="F83" s="4">
        <f t="shared" ref="F83" si="28">(MIN(F$9:F$10)-F$11)*F82</f>
        <v>0</v>
      </c>
      <c r="G83" s="4">
        <f t="shared" ref="G83" si="29">(MIN(G$9:G$10)-G$11)*G82</f>
        <v>0</v>
      </c>
      <c r="H83" s="4">
        <f t="shared" ref="H83" si="30">(MIN(H$9:H$10)-H$11)*H82</f>
        <v>0</v>
      </c>
      <c r="I83" s="4">
        <f t="shared" ref="I83" si="31">(MIN(I$9:I$10)-I$11)*I82</f>
        <v>0</v>
      </c>
      <c r="S83" s="247">
        <v>600000000</v>
      </c>
      <c r="T83" s="299">
        <v>0</v>
      </c>
      <c r="U83" s="300">
        <v>45658</v>
      </c>
    </row>
    <row r="84" spans="1:21" ht="16.5" customHeight="1"/>
    <row r="85" spans="1:21" ht="16.5" customHeight="1"/>
    <row r="86" spans="1:21" ht="16.5" customHeight="1"/>
    <row r="87" spans="1:21" ht="16.5" customHeight="1"/>
    <row r="88" spans="1:21" ht="16.5" customHeight="1"/>
    <row r="89" spans="1:21" ht="16.5" customHeight="1"/>
    <row r="90" spans="1:21" ht="16.5" customHeight="1"/>
    <row r="91" spans="1:21" ht="16.5" customHeight="1"/>
    <row r="92" spans="1:21" ht="16.5" customHeight="1"/>
    <row r="93" spans="1:21" ht="16.5" customHeight="1"/>
    <row r="94" spans="1:21" ht="16.5" customHeight="1"/>
    <row r="95" spans="1:21" ht="16.5" customHeight="1"/>
    <row r="96" spans="1:21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</sheetData>
  <phoneticPr fontId="15" type="noConversion"/>
  <dataValidations count="6">
    <dataValidation type="list" allowBlank="1" showErrorMessage="1" sqref="C7:F7" xr:uid="{00000000-0002-0000-0100-000002000000}">
      <formula1>"조정대상지역,일반지역"</formula1>
    </dataValidation>
    <dataValidation type="list" allowBlank="1" showErrorMessage="1" sqref="B26 B39 B65 B52 B78" xr:uid="{00000000-0002-0000-0100-000003000000}">
      <formula1>"동거,혼인,출산"</formula1>
    </dataValidation>
    <dataValidation type="list" allowBlank="1" showErrorMessage="1" sqref="H6:I6" xr:uid="{00000000-0002-0000-0100-000005000000}">
      <formula1>"농지,자경농지"</formula1>
    </dataValidation>
    <dataValidation type="list" allowBlank="1" showErrorMessage="1" sqref="C6:F6" xr:uid="{D4F1A17F-541E-4F68-B0BF-DAFBD745B3CD}">
      <formula1>"국평,85 초과"</formula1>
    </dataValidation>
    <dataValidation type="list" allowBlank="1" showErrorMessage="1" sqref="C3 C24 C37 C50 C63 C76" xr:uid="{66713D22-6636-4B74-B5C8-2D1A8CCB80B8}">
      <formula1>주택특징</formula1>
    </dataValidation>
    <dataValidation allowBlank="1" showErrorMessage="1" sqref="H1" xr:uid="{6483C75A-A043-47F2-AC72-936D17E10CB3}"/>
  </dataValidations>
  <pageMargins left="0.25" right="0.25" top="0.75" bottom="0.75" header="0.3" footer="0.3"/>
  <pageSetup scale="37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t!$AR$2:$AR$5</xm:f>
          </x14:formula1>
          <xm:sqref>B22 B35 B61 B48 B74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-0.499984740745262"/>
    <pageSetUpPr fitToPage="1"/>
  </sheetPr>
  <dimension ref="A1:AR977"/>
  <sheetViews>
    <sheetView workbookViewId="0"/>
  </sheetViews>
  <sheetFormatPr defaultColWidth="14.42578125" defaultRowHeight="15" customHeight="1"/>
  <cols>
    <col min="1" max="1" width="22" style="19" customWidth="1"/>
    <col min="2" max="2" width="18.5703125" style="19" bestFit="1" customWidth="1"/>
    <col min="3" max="4" width="15.42578125" style="19" customWidth="1"/>
    <col min="5" max="5" width="14.85546875" style="19" customWidth="1"/>
    <col min="6" max="7" width="17.85546875" style="19" bestFit="1" customWidth="1"/>
    <col min="8" max="8" width="13" style="19" customWidth="1"/>
    <col min="9" max="9" width="5" style="19" customWidth="1"/>
    <col min="10" max="10" width="31" style="19" bestFit="1" customWidth="1"/>
    <col min="11" max="13" width="17.85546875" style="19" bestFit="1" customWidth="1"/>
    <col min="14" max="14" width="16" style="19" bestFit="1" customWidth="1"/>
    <col min="15" max="16" width="17.85546875" style="19" bestFit="1" customWidth="1"/>
    <col min="17" max="17" width="15.140625" style="19" bestFit="1" customWidth="1"/>
    <col min="18" max="18" width="4.85546875" style="19" customWidth="1"/>
    <col min="19" max="19" width="31.140625" style="19" bestFit="1" customWidth="1"/>
    <col min="20" max="22" width="18.5703125" style="19" bestFit="1" customWidth="1"/>
    <col min="23" max="23" width="16" style="19" bestFit="1" customWidth="1"/>
    <col min="24" max="25" width="18.5703125" style="19" bestFit="1" customWidth="1"/>
    <col min="26" max="26" width="15.140625" style="19" bestFit="1" customWidth="1"/>
    <col min="27" max="27" width="4.85546875" style="19" customWidth="1"/>
    <col min="28" max="28" width="31.140625" style="19" bestFit="1" customWidth="1"/>
    <col min="29" max="31" width="18.5703125" style="19" bestFit="1" customWidth="1"/>
    <col min="32" max="32" width="16" style="19" bestFit="1" customWidth="1"/>
    <col min="33" max="34" width="18.5703125" style="19" bestFit="1" customWidth="1"/>
    <col min="35" max="35" width="15.140625" style="19" bestFit="1" customWidth="1"/>
    <col min="36" max="36" width="4.85546875" style="19" customWidth="1"/>
    <col min="37" max="37" width="31.140625" style="19" bestFit="1" customWidth="1"/>
    <col min="38" max="40" width="18.5703125" style="19" bestFit="1" customWidth="1"/>
    <col min="41" max="41" width="16" style="19" bestFit="1" customWidth="1"/>
    <col min="42" max="43" width="18.5703125" style="19" bestFit="1" customWidth="1"/>
    <col min="44" max="44" width="15.140625" style="19" bestFit="1" customWidth="1"/>
    <col min="45" max="16384" width="14.42578125" style="19"/>
  </cols>
  <sheetData>
    <row r="1" spans="1:44" ht="15" customHeight="1">
      <c r="B1" s="364" t="s">
        <v>308</v>
      </c>
      <c r="C1" s="365" t="s">
        <v>309</v>
      </c>
    </row>
    <row r="2" spans="1:44" ht="16.5" customHeight="1">
      <c r="A2" s="119" t="s">
        <v>310</v>
      </c>
      <c r="B2" s="119" t="str">
        <f>기초!B1</f>
        <v>홍길동</v>
      </c>
      <c r="C2" s="363" t="s">
        <v>284</v>
      </c>
      <c r="D2" s="3"/>
      <c r="E2" s="3"/>
      <c r="F2" s="3"/>
      <c r="G2" s="359"/>
      <c r="H2" s="139"/>
      <c r="I2" s="3"/>
    </row>
    <row r="3" spans="1:44" ht="16.5" customHeight="1">
      <c r="A3" s="184" t="s">
        <v>216</v>
      </c>
      <c r="B3" s="119">
        <f>기초!B3</f>
        <v>4</v>
      </c>
      <c r="C3" s="166">
        <f ca="1">INDIRECT("기초!b"&amp;(MATCH(C$2,기초!$B:$B,0)+3))</f>
        <v>1</v>
      </c>
      <c r="D3" s="3"/>
      <c r="E3" s="3"/>
      <c r="H3" s="360"/>
      <c r="I3" s="3"/>
      <c r="J3" s="361"/>
      <c r="K3" s="3"/>
      <c r="L3" s="3"/>
      <c r="M3" s="3"/>
      <c r="N3" s="3"/>
      <c r="O3" s="3"/>
      <c r="P3" s="3"/>
      <c r="Q3" s="3"/>
      <c r="T3" s="3"/>
      <c r="U3" s="3"/>
      <c r="V3" s="3"/>
      <c r="W3" s="3"/>
      <c r="X3" s="3"/>
      <c r="Y3" s="3"/>
      <c r="Z3" s="3"/>
      <c r="AC3" s="3"/>
      <c r="AD3" s="3"/>
      <c r="AE3" s="3"/>
      <c r="AF3" s="3"/>
      <c r="AG3" s="3"/>
      <c r="AH3" s="3"/>
      <c r="AI3" s="3"/>
      <c r="AL3" s="3"/>
      <c r="AM3" s="3"/>
      <c r="AN3" s="3"/>
      <c r="AO3" s="3"/>
      <c r="AP3" s="3"/>
      <c r="AQ3" s="3"/>
      <c r="AR3" s="3"/>
    </row>
    <row r="4" spans="1:44" ht="16.5" customHeight="1" thickBot="1">
      <c r="A4" s="184" t="s">
        <v>261</v>
      </c>
      <c r="B4" s="368" t="s">
        <v>318</v>
      </c>
      <c r="C4" s="368" t="s">
        <v>318</v>
      </c>
      <c r="D4" s="15"/>
      <c r="E4" s="15"/>
      <c r="H4" s="360"/>
      <c r="I4" s="3"/>
      <c r="J4" s="361"/>
      <c r="K4" s="3"/>
      <c r="L4" s="3"/>
      <c r="M4" s="3"/>
      <c r="N4" s="3"/>
      <c r="O4" s="3"/>
      <c r="P4" s="3"/>
      <c r="Q4" s="3"/>
      <c r="T4" s="3"/>
      <c r="U4" s="3"/>
      <c r="V4" s="3"/>
      <c r="W4" s="3"/>
      <c r="X4" s="3"/>
      <c r="Y4" s="3"/>
      <c r="Z4" s="3"/>
      <c r="AC4" s="3"/>
      <c r="AD4" s="3"/>
      <c r="AE4" s="3"/>
      <c r="AF4" s="3"/>
      <c r="AG4" s="3"/>
      <c r="AH4" s="3"/>
      <c r="AI4" s="3"/>
      <c r="AL4" s="3"/>
      <c r="AM4" s="3"/>
      <c r="AN4" s="3"/>
      <c r="AO4" s="3"/>
      <c r="AP4" s="3"/>
      <c r="AQ4" s="3"/>
      <c r="AR4" s="3"/>
    </row>
    <row r="5" spans="1:44" ht="16.5" customHeight="1">
      <c r="A5" s="3"/>
      <c r="B5" s="3"/>
      <c r="C5" s="43"/>
      <c r="D5" s="15"/>
      <c r="E5" s="15"/>
      <c r="F5" s="371" t="s">
        <v>96</v>
      </c>
      <c r="G5" s="247">
        <f>SUM(B20:H20)</f>
        <v>12741212</v>
      </c>
      <c r="H5" s="135"/>
      <c r="I5" s="3"/>
      <c r="O5" s="371" t="s">
        <v>96</v>
      </c>
      <c r="P5" s="247">
        <f>SUM(K20:Q20)</f>
        <v>18790524.800000001</v>
      </c>
      <c r="X5" s="371" t="s">
        <v>96</v>
      </c>
      <c r="Y5" s="247">
        <f>SUM(T20:Z20)</f>
        <v>21726658.52</v>
      </c>
      <c r="AG5" s="371" t="s">
        <v>96</v>
      </c>
      <c r="AH5" s="247">
        <f>SUM(AC20:AI20)</f>
        <v>25103212.298</v>
      </c>
      <c r="AP5" s="371" t="s">
        <v>96</v>
      </c>
      <c r="AQ5" s="247">
        <f>SUM(AL20:AR20)</f>
        <v>28986249.142699994</v>
      </c>
    </row>
    <row r="6" spans="1:44" ht="16.5" customHeight="1">
      <c r="A6" s="3"/>
      <c r="B6" s="3"/>
      <c r="C6" s="3"/>
      <c r="D6" s="3"/>
      <c r="E6" s="3"/>
      <c r="F6" s="250" t="s">
        <v>172</v>
      </c>
      <c r="G6" s="133">
        <f ca="1">B55+B85</f>
        <v>16125552</v>
      </c>
      <c r="H6" s="3"/>
      <c r="I6" s="3"/>
      <c r="K6" s="3"/>
      <c r="L6" s="3"/>
      <c r="M6" s="3"/>
      <c r="N6" s="3"/>
      <c r="O6" s="250" t="s">
        <v>172</v>
      </c>
      <c r="P6" s="133">
        <f ca="1">HLOOKUP($C$4,$K$70:$N$85,16,0)+HLOOKUP($B$4,$K$40:$N$55,16,0)</f>
        <v>35803572.684044786</v>
      </c>
      <c r="Q6" s="3"/>
      <c r="T6" s="3"/>
      <c r="U6" s="3"/>
      <c r="V6" s="3"/>
      <c r="W6" s="3"/>
      <c r="X6" s="250" t="s">
        <v>172</v>
      </c>
      <c r="Y6" s="133">
        <f ca="1">HLOOKUP($C$4,$T$70:$W$85,16,0)+HLOOKUP($B$4,$T$40:$W$55,16,0)</f>
        <v>65244041.564077362</v>
      </c>
      <c r="Z6" s="3"/>
      <c r="AC6" s="3"/>
      <c r="AD6" s="3"/>
      <c r="AE6" s="3"/>
      <c r="AF6" s="3"/>
      <c r="AG6" s="250" t="s">
        <v>172</v>
      </c>
      <c r="AH6" s="133">
        <f ca="1">HLOOKUP($C$4,$AC$70:$AF$85,16,0)+HLOOKUP($B$4,$AC$40:$AF$55,16,0)</f>
        <v>86697313.257075712</v>
      </c>
      <c r="AI6" s="3"/>
      <c r="AL6" s="3"/>
      <c r="AM6" s="3"/>
      <c r="AN6" s="3"/>
      <c r="AO6" s="3"/>
      <c r="AP6" s="250" t="s">
        <v>172</v>
      </c>
      <c r="AQ6" s="133">
        <f ca="1">HLOOKUP($C$4,$AL$70:$AO$85,16,0)+HLOOKUP($B$4,$AL$40:$AO$55,16,0)</f>
        <v>111368251.44377038</v>
      </c>
      <c r="AR6" s="3"/>
    </row>
    <row r="7" spans="1:44" ht="16.5" customHeight="1">
      <c r="A7" s="3"/>
      <c r="B7" s="3"/>
      <c r="C7" s="3"/>
      <c r="D7" s="3"/>
      <c r="E7" s="3"/>
      <c r="F7" s="372"/>
      <c r="G7" s="107"/>
      <c r="H7" s="3"/>
      <c r="I7" s="3"/>
      <c r="K7" s="3"/>
      <c r="L7" s="3"/>
      <c r="M7" s="3"/>
      <c r="N7" s="3"/>
      <c r="O7" s="372"/>
      <c r="P7" s="133"/>
      <c r="Q7" s="3"/>
      <c r="T7" s="3"/>
      <c r="U7" s="3"/>
      <c r="V7" s="3"/>
      <c r="W7" s="3"/>
      <c r="X7" s="3"/>
      <c r="Y7" s="3"/>
      <c r="Z7" s="3"/>
      <c r="AC7" s="3"/>
      <c r="AD7" s="3"/>
      <c r="AE7" s="3"/>
      <c r="AF7" s="3"/>
      <c r="AG7" s="3"/>
      <c r="AH7" s="3"/>
      <c r="AI7" s="3"/>
      <c r="AL7" s="3"/>
      <c r="AM7" s="3"/>
      <c r="AN7" s="3"/>
      <c r="AO7" s="3"/>
      <c r="AP7" s="3"/>
      <c r="AQ7" s="3"/>
      <c r="AR7" s="3"/>
    </row>
    <row r="8" spans="1:44" ht="16.5" customHeight="1">
      <c r="A8" s="3"/>
      <c r="B8" s="3"/>
      <c r="C8" s="3"/>
      <c r="D8" s="3"/>
      <c r="E8" s="3"/>
      <c r="F8" s="372"/>
      <c r="G8" s="107"/>
      <c r="H8" s="3"/>
      <c r="I8" s="3"/>
      <c r="J8" s="44" t="s">
        <v>66</v>
      </c>
      <c r="K8" s="45">
        <v>0.15</v>
      </c>
      <c r="L8" s="45">
        <v>0.15</v>
      </c>
      <c r="M8" s="45">
        <v>0.15</v>
      </c>
      <c r="N8" s="45">
        <v>0.15</v>
      </c>
      <c r="O8" s="3"/>
      <c r="P8" s="45">
        <v>0.15</v>
      </c>
      <c r="Q8" s="207"/>
      <c r="S8" s="19" t="s">
        <v>66</v>
      </c>
      <c r="T8" s="45">
        <v>0.15</v>
      </c>
      <c r="U8" s="45">
        <v>0.15</v>
      </c>
      <c r="V8" s="45">
        <v>0.15</v>
      </c>
      <c r="W8" s="45">
        <v>0.15</v>
      </c>
      <c r="X8" s="3"/>
      <c r="Y8" s="45">
        <v>0.15</v>
      </c>
      <c r="Z8" s="207"/>
      <c r="AB8" s="19" t="s">
        <v>66</v>
      </c>
      <c r="AC8" s="45">
        <v>0.15</v>
      </c>
      <c r="AD8" s="45">
        <v>0.15</v>
      </c>
      <c r="AE8" s="45">
        <v>0.15</v>
      </c>
      <c r="AF8" s="45">
        <v>0.15</v>
      </c>
      <c r="AG8" s="3"/>
      <c r="AH8" s="45">
        <v>0.15</v>
      </c>
      <c r="AI8" s="207"/>
      <c r="AK8" s="19" t="s">
        <v>66</v>
      </c>
      <c r="AL8" s="45">
        <v>0.15</v>
      </c>
      <c r="AM8" s="45">
        <v>0.15</v>
      </c>
      <c r="AN8" s="45">
        <v>0.15</v>
      </c>
      <c r="AO8" s="45">
        <v>0.15</v>
      </c>
      <c r="AP8" s="3"/>
      <c r="AQ8" s="45">
        <v>0.15</v>
      </c>
      <c r="AR8" s="207"/>
    </row>
    <row r="9" spans="1:44" ht="16.5" customHeight="1">
      <c r="A9" s="193">
        <v>2026</v>
      </c>
      <c r="B9" s="187" t="s">
        <v>8</v>
      </c>
      <c r="C9" s="99" t="s">
        <v>9</v>
      </c>
      <c r="D9" s="99" t="s">
        <v>11</v>
      </c>
      <c r="E9" s="99" t="s">
        <v>12</v>
      </c>
      <c r="F9" s="187" t="s">
        <v>69</v>
      </c>
      <c r="G9" s="99" t="s">
        <v>13</v>
      </c>
      <c r="H9" s="99" t="s">
        <v>264</v>
      </c>
      <c r="I9" s="3"/>
      <c r="J9" s="193">
        <f>A9+1</f>
        <v>2027</v>
      </c>
      <c r="K9" s="99" t="s">
        <v>8</v>
      </c>
      <c r="L9" s="99" t="s">
        <v>9</v>
      </c>
      <c r="M9" s="99" t="s">
        <v>11</v>
      </c>
      <c r="N9" s="99" t="s">
        <v>12</v>
      </c>
      <c r="O9" s="187" t="s">
        <v>69</v>
      </c>
      <c r="P9" s="99" t="s">
        <v>13</v>
      </c>
      <c r="Q9" s="99" t="s">
        <v>264</v>
      </c>
      <c r="S9" s="193">
        <f>J9+1</f>
        <v>2028</v>
      </c>
      <c r="T9" s="99" t="s">
        <v>8</v>
      </c>
      <c r="U9" s="99" t="s">
        <v>9</v>
      </c>
      <c r="V9" s="99" t="s">
        <v>11</v>
      </c>
      <c r="W9" s="99" t="s">
        <v>12</v>
      </c>
      <c r="X9" s="187" t="s">
        <v>69</v>
      </c>
      <c r="Y9" s="99" t="s">
        <v>13</v>
      </c>
      <c r="Z9" s="99" t="s">
        <v>264</v>
      </c>
      <c r="AB9" s="193">
        <f>S9+1</f>
        <v>2029</v>
      </c>
      <c r="AC9" s="99" t="s">
        <v>8</v>
      </c>
      <c r="AD9" s="99" t="s">
        <v>9</v>
      </c>
      <c r="AE9" s="99" t="s">
        <v>11</v>
      </c>
      <c r="AF9" s="99" t="s">
        <v>12</v>
      </c>
      <c r="AG9" s="187" t="s">
        <v>69</v>
      </c>
      <c r="AH9" s="99" t="s">
        <v>13</v>
      </c>
      <c r="AI9" s="99" t="s">
        <v>264</v>
      </c>
      <c r="AK9" s="193">
        <f>AB9+1</f>
        <v>2030</v>
      </c>
      <c r="AL9" s="99" t="s">
        <v>8</v>
      </c>
      <c r="AM9" s="99" t="s">
        <v>9</v>
      </c>
      <c r="AN9" s="99" t="s">
        <v>11</v>
      </c>
      <c r="AO9" s="99" t="s">
        <v>12</v>
      </c>
      <c r="AP9" s="187" t="s">
        <v>69</v>
      </c>
      <c r="AQ9" s="99" t="s">
        <v>13</v>
      </c>
      <c r="AR9" s="99" t="s">
        <v>264</v>
      </c>
    </row>
    <row r="10" spans="1:44" ht="16.5" customHeight="1">
      <c r="A10" s="3"/>
      <c r="B10" s="186" t="s">
        <v>14</v>
      </c>
      <c r="C10" s="186" t="s">
        <v>14</v>
      </c>
      <c r="D10" s="186" t="s">
        <v>14</v>
      </c>
      <c r="E10" s="186" t="s">
        <v>14</v>
      </c>
      <c r="F10" s="119" t="s">
        <v>263</v>
      </c>
      <c r="G10" s="186" t="s">
        <v>73</v>
      </c>
      <c r="H10" s="186" t="s">
        <v>18</v>
      </c>
      <c r="I10" s="3"/>
      <c r="J10" s="99"/>
      <c r="K10" s="186" t="s">
        <v>14</v>
      </c>
      <c r="L10" s="186" t="s">
        <v>14</v>
      </c>
      <c r="M10" s="186" t="s">
        <v>14</v>
      </c>
      <c r="N10" s="186" t="s">
        <v>14</v>
      </c>
      <c r="O10" s="208" t="s">
        <v>14</v>
      </c>
      <c r="P10" s="186" t="s">
        <v>73</v>
      </c>
      <c r="Q10" s="186" t="s">
        <v>18</v>
      </c>
      <c r="S10" s="99"/>
      <c r="T10" s="314" t="s">
        <v>14</v>
      </c>
      <c r="U10" s="314" t="s">
        <v>14</v>
      </c>
      <c r="V10" s="314" t="s">
        <v>14</v>
      </c>
      <c r="W10" s="314" t="s">
        <v>14</v>
      </c>
      <c r="X10" s="315" t="s">
        <v>14</v>
      </c>
      <c r="Y10" s="314" t="s">
        <v>73</v>
      </c>
      <c r="Z10" s="314" t="s">
        <v>18</v>
      </c>
      <c r="AB10" s="99"/>
      <c r="AC10" s="314" t="s">
        <v>14</v>
      </c>
      <c r="AD10" s="314" t="s">
        <v>14</v>
      </c>
      <c r="AE10" s="314" t="s">
        <v>14</v>
      </c>
      <c r="AF10" s="314" t="s">
        <v>14</v>
      </c>
      <c r="AG10" s="315" t="s">
        <v>14</v>
      </c>
      <c r="AH10" s="314" t="s">
        <v>73</v>
      </c>
      <c r="AI10" s="314" t="s">
        <v>18</v>
      </c>
      <c r="AK10" s="99"/>
      <c r="AL10" s="314" t="s">
        <v>14</v>
      </c>
      <c r="AM10" s="314" t="s">
        <v>14</v>
      </c>
      <c r="AN10" s="314" t="s">
        <v>14</v>
      </c>
      <c r="AO10" s="314" t="s">
        <v>14</v>
      </c>
      <c r="AP10" s="315" t="s">
        <v>14</v>
      </c>
      <c r="AQ10" s="314" t="s">
        <v>73</v>
      </c>
      <c r="AR10" s="314" t="s">
        <v>18</v>
      </c>
    </row>
    <row r="11" spans="1:44" s="221" customFormat="1" ht="16.5" customHeight="1">
      <c r="A11" s="195" t="s">
        <v>39</v>
      </c>
      <c r="B11" s="219">
        <f>HLOOKUP(B$9,기초!$C$5:$I$16,MATCH($A11,기초!$A$5:$A$16,0),0)</f>
        <v>4632000000</v>
      </c>
      <c r="C11" s="219"/>
      <c r="D11" s="219"/>
      <c r="E11" s="219"/>
      <c r="F11" s="220">
        <f>SUM(B11:E11)</f>
        <v>4632000000</v>
      </c>
      <c r="G11" s="219">
        <f>HLOOKUP(G$9,기초!$C$5:$I$16,MATCH($A11,기초!$A$5:$A$16,0),0)</f>
        <v>300000000</v>
      </c>
      <c r="H11" s="219">
        <f>HLOOKUP(H$9,기초!$C$5:$I$16,MATCH($A11,기초!$A$5:$A$16,0),0)</f>
        <v>0</v>
      </c>
      <c r="I11" s="137"/>
      <c r="J11" s="229" t="s">
        <v>76</v>
      </c>
      <c r="K11" s="209">
        <f>B11*(1+K8)</f>
        <v>5326800000</v>
      </c>
      <c r="L11" s="136">
        <f>C11*(1+L8)</f>
        <v>0</v>
      </c>
      <c r="M11" s="136">
        <f>D11*(1+M8)</f>
        <v>0</v>
      </c>
      <c r="N11" s="136">
        <f>E11*(1+N8)</f>
        <v>0</v>
      </c>
      <c r="O11" s="136">
        <f>SUM(K11:N11)</f>
        <v>5326800000</v>
      </c>
      <c r="P11" s="136">
        <f>G11*(1+P8)</f>
        <v>345000000</v>
      </c>
      <c r="Q11" s="136">
        <f>H11*(1+Q8)</f>
        <v>0</v>
      </c>
      <c r="S11" s="316" t="s">
        <v>76</v>
      </c>
      <c r="T11" s="317">
        <f>K11*(1+T8)</f>
        <v>6125820000</v>
      </c>
      <c r="U11" s="318">
        <f>L11*(1+U8)</f>
        <v>0</v>
      </c>
      <c r="V11" s="318">
        <f>M11*(1+V8)</f>
        <v>0</v>
      </c>
      <c r="W11" s="318">
        <f>N11*(1+W8)</f>
        <v>0</v>
      </c>
      <c r="X11" s="318">
        <f>SUM(T11:W11)</f>
        <v>6125820000</v>
      </c>
      <c r="Y11" s="318">
        <f>P11*(1+Y8)</f>
        <v>396749999.99999994</v>
      </c>
      <c r="Z11" s="318">
        <f>Q11*(1+Z8)</f>
        <v>0</v>
      </c>
      <c r="AB11" s="316" t="s">
        <v>76</v>
      </c>
      <c r="AC11" s="317">
        <f>T11*(1+AC8)</f>
        <v>7044692999.999999</v>
      </c>
      <c r="AD11" s="318">
        <f>U11*(1+AD8)</f>
        <v>0</v>
      </c>
      <c r="AE11" s="318">
        <f>V11*(1+AE8)</f>
        <v>0</v>
      </c>
      <c r="AF11" s="318">
        <f>W11*(1+AF8)</f>
        <v>0</v>
      </c>
      <c r="AG11" s="318">
        <f>SUM(AC11:AF11)</f>
        <v>7044692999.999999</v>
      </c>
      <c r="AH11" s="318">
        <f>Y11*(1+AH8)</f>
        <v>456262499.99999988</v>
      </c>
      <c r="AI11" s="318">
        <f>Z11*(1+AI8)</f>
        <v>0</v>
      </c>
      <c r="AK11" s="316" t="s">
        <v>76</v>
      </c>
      <c r="AL11" s="317">
        <f>AC11*(1+AL8)</f>
        <v>8101396949.9999981</v>
      </c>
      <c r="AM11" s="318">
        <f>AD11*(1+AM8)</f>
        <v>0</v>
      </c>
      <c r="AN11" s="318">
        <f>AE11*(1+AN8)</f>
        <v>0</v>
      </c>
      <c r="AO11" s="318">
        <f>AF11*(1+AO8)</f>
        <v>0</v>
      </c>
      <c r="AP11" s="318">
        <f>SUM(AL11:AO11)</f>
        <v>8101396949.9999981</v>
      </c>
      <c r="AQ11" s="318">
        <f>AH11*(1+AQ8)</f>
        <v>524701874.99999982</v>
      </c>
      <c r="AR11" s="318">
        <f>AI11*(1+AR8)</f>
        <v>0</v>
      </c>
    </row>
    <row r="12" spans="1:44" ht="16.5" customHeight="1">
      <c r="A12" s="196" t="s">
        <v>78</v>
      </c>
      <c r="B12" s="121">
        <f>IF(B$10="1세대1주택",
IF(B11&lt;=3*10^8,43%,
IF(B11&lt;=6*10^8,44%,
45%)),
VLOOKUP(B$10,t!$H$3:$I$9,2,0))</f>
        <v>0.6</v>
      </c>
      <c r="C12" s="121">
        <f>IF(C$10="1세대1주택",
IF(C11&lt;=3*10^8,43%,
IF(C11&lt;=6*10^8,44%,
45%)),
VLOOKUP(C$10,t!$H$3:$I$9,2,0))</f>
        <v>0.6</v>
      </c>
      <c r="D12" s="121">
        <f>IF(D$10="1세대1주택",
IF(D11&lt;=3*10^8,43%,
IF(D11&lt;=6*10^8,44%,
45%)),
VLOOKUP(D$10,t!$H$3:$I$9,2,0))</f>
        <v>0.6</v>
      </c>
      <c r="E12" s="121">
        <f>IF(E$10="1세대1주택",
IF(E11&lt;=3*10^8,43%,
IF(E11&lt;=6*10^8,44%,
45%)),
VLOOKUP(E$10,t!$H$3:$I$9,2,0))</f>
        <v>0.6</v>
      </c>
      <c r="F12" s="121">
        <v>0.6</v>
      </c>
      <c r="G12" s="121">
        <f>IF(G10="1세대1주택",
IF(G11&lt;=3*10^8,43%,
IF(G11&lt;=6*10^8,44%,
45%)),
VLOOKUP(G10,t!$H$3:$I$9,2,0))</f>
        <v>0.7</v>
      </c>
      <c r="H12" s="121">
        <f>IF(H10="1세대1주택",
IF(H11&lt;=3*10^8,43%,
IF(H11&lt;=6*10^8,44%,
45%)),
VLOOKUP(H10,t!$H$3:$I$9,2,0))</f>
        <v>0.7</v>
      </c>
      <c r="I12" s="3"/>
      <c r="J12" s="197" t="s">
        <v>78</v>
      </c>
      <c r="K12" s="210">
        <f>IF(K$10="1세대1주택",
IF(K11&lt;=3*10^8,43%,
IF(K11&lt;=6*10^8,44%,
45%)),
VLOOKUP(K$10,t!$H$3:$I$9,2,0))</f>
        <v>0.6</v>
      </c>
      <c r="L12" s="10">
        <f>IF(L$10="1세대1주택",
IF(L11&lt;=3*10^8,43%,
IF(L11&lt;=6*10^8,44%,
45%)),
VLOOKUP(L$10,t!$H$3:$I$9,2,0))</f>
        <v>0.6</v>
      </c>
      <c r="M12" s="10">
        <f>IF(M$10="1세대1주택",
IF(M11&lt;=3*10^8,43%,
IF(M11&lt;=6*10^8,44%,
45%)),
VLOOKUP(M$10,t!$H$3:$I$9,2,0))</f>
        <v>0.6</v>
      </c>
      <c r="N12" s="10">
        <f>IF(N$10="1세대1주택",
IF(N11&lt;=3*10^8,43%,
IF(N11&lt;=6*10^8,44%,
45%)),
VLOOKUP(N$10,t!$H$3:$I$9,2,0))</f>
        <v>0.6</v>
      </c>
      <c r="O12" s="10">
        <v>0.6</v>
      </c>
      <c r="P12" s="121">
        <f>IF(P10="1세대1주택",
IF(P11&lt;=3*10^8,43%,
IF(P11&lt;=6*10^8,44%,
45%)),
VLOOKUP(P10,t!$H$3:$I$9,2,0))</f>
        <v>0.7</v>
      </c>
      <c r="Q12" s="121">
        <f>IF(Q10="1세대1주택",
IF(Q11&lt;=3*10^8,43%,
IF(Q11&lt;=6*10^8,44%,
45%)),
VLOOKUP(Q10,t!$H$3:$I$9,2,0))</f>
        <v>0.7</v>
      </c>
      <c r="S12" s="319" t="s">
        <v>78</v>
      </c>
      <c r="T12" s="210">
        <f>IF(T$10="1세대1주택",
IF(T11&lt;=3*10^8,43%,
IF(T11&lt;=6*10^8,44%,
45%)),
VLOOKUP(T$10,t!$H$3:$I$9,2,0))</f>
        <v>0.6</v>
      </c>
      <c r="U12" s="10">
        <f>IF(U$10="1세대1주택",
IF(U11&lt;=3*10^8,43%,
IF(U11&lt;=6*10^8,44%,
45%)),
VLOOKUP(U$10,t!$H$3:$I$9,2,0))</f>
        <v>0.6</v>
      </c>
      <c r="V12" s="10">
        <f>IF(V$10="1세대1주택",
IF(V11&lt;=3*10^8,43%,
IF(V11&lt;=6*10^8,44%,
45%)),
VLOOKUP(V$10,t!$H$3:$I$9,2,0))</f>
        <v>0.6</v>
      </c>
      <c r="W12" s="10">
        <f>IF(W$10="1세대1주택",
IF(W11&lt;=3*10^8,43%,
IF(W11&lt;=6*10^8,44%,
45%)),
VLOOKUP(W$10,t!$H$3:$I$9,2,0))</f>
        <v>0.6</v>
      </c>
      <c r="X12" s="10">
        <v>0.6</v>
      </c>
      <c r="Y12" s="121">
        <f>IF(Y10="1세대1주택",
IF(Y11&lt;=3*10^8,43%,
IF(Y11&lt;=6*10^8,44%,
45%)),
VLOOKUP(Y10,t!$H$3:$I$9,2,0))</f>
        <v>0.7</v>
      </c>
      <c r="Z12" s="121">
        <f>IF(Z10="1세대1주택",
IF(Z11&lt;=3*10^8,43%,
IF(Z11&lt;=6*10^8,44%,
45%)),
VLOOKUP(Z10,t!$H$3:$I$9,2,0))</f>
        <v>0.7</v>
      </c>
      <c r="AB12" s="319" t="s">
        <v>78</v>
      </c>
      <c r="AC12" s="210">
        <f>IF(AC$10="1세대1주택",
IF(AC11&lt;=3*10^8,43%,
IF(AC11&lt;=6*10^8,44%,
45%)),
VLOOKUP(AC$10,t!$H$3:$I$9,2,0))</f>
        <v>0.6</v>
      </c>
      <c r="AD12" s="10">
        <f>IF(AD$10="1세대1주택",
IF(AD11&lt;=3*10^8,43%,
IF(AD11&lt;=6*10^8,44%,
45%)),
VLOOKUP(AD$10,t!$H$3:$I$9,2,0))</f>
        <v>0.6</v>
      </c>
      <c r="AE12" s="10">
        <f>IF(AE$10="1세대1주택",
IF(AE11&lt;=3*10^8,43%,
IF(AE11&lt;=6*10^8,44%,
45%)),
VLOOKUP(AE$10,t!$H$3:$I$9,2,0))</f>
        <v>0.6</v>
      </c>
      <c r="AF12" s="10">
        <f>IF(AF$10="1세대1주택",
IF(AF11&lt;=3*10^8,43%,
IF(AF11&lt;=6*10^8,44%,
45%)),
VLOOKUP(AF$10,t!$H$3:$I$9,2,0))</f>
        <v>0.6</v>
      </c>
      <c r="AG12" s="10">
        <v>0.6</v>
      </c>
      <c r="AH12" s="121">
        <f>IF(AH10="1세대1주택",
IF(AH11&lt;=3*10^8,43%,
IF(AH11&lt;=6*10^8,44%,
45%)),
VLOOKUP(AH10,t!$H$3:$I$9,2,0))</f>
        <v>0.7</v>
      </c>
      <c r="AI12" s="121">
        <f>IF(AI10="1세대1주택",
IF(AI11&lt;=3*10^8,43%,
IF(AI11&lt;=6*10^8,44%,
45%)),
VLOOKUP(AI10,t!$H$3:$I$9,2,0))</f>
        <v>0.7</v>
      </c>
      <c r="AK12" s="319" t="s">
        <v>78</v>
      </c>
      <c r="AL12" s="210">
        <f>IF(AL$10="1세대1주택",
IF(AL11&lt;=3*10^8,43%,
IF(AL11&lt;=6*10^8,44%,
45%)),
VLOOKUP(AL$10,t!$H$3:$I$9,2,0))</f>
        <v>0.6</v>
      </c>
      <c r="AM12" s="10">
        <f>IF(AM$10="1세대1주택",
IF(AM11&lt;=3*10^8,43%,
IF(AM11&lt;=6*10^8,44%,
45%)),
VLOOKUP(AM$10,t!$H$3:$I$9,2,0))</f>
        <v>0.6</v>
      </c>
      <c r="AN12" s="10">
        <f>IF(AN$10="1세대1주택",
IF(AN11&lt;=3*10^8,43%,
IF(AN11&lt;=6*10^8,44%,
45%)),
VLOOKUP(AN$10,t!$H$3:$I$9,2,0))</f>
        <v>0.6</v>
      </c>
      <c r="AO12" s="10">
        <f>IF(AO$10="1세대1주택",
IF(AO11&lt;=3*10^8,43%,
IF(AO11&lt;=6*10^8,44%,
45%)),
VLOOKUP(AO$10,t!$H$3:$I$9,2,0))</f>
        <v>0.6</v>
      </c>
      <c r="AP12" s="10">
        <v>0.6</v>
      </c>
      <c r="AQ12" s="121">
        <f>IF(AQ10="1세대1주택",
IF(AQ11&lt;=3*10^8,43%,
IF(AQ11&lt;=6*10^8,44%,
45%)),
VLOOKUP(AQ10,t!$H$3:$I$9,2,0))</f>
        <v>0.7</v>
      </c>
      <c r="AR12" s="121">
        <f>IF(AR10="1세대1주택",
IF(AR11&lt;=3*10^8,43%,
IF(AR11&lt;=6*10^8,44%,
45%)),
VLOOKUP(AR10,t!$H$3:$I$9,2,0))</f>
        <v>0.7</v>
      </c>
    </row>
    <row r="13" spans="1:44" ht="16.5" customHeight="1">
      <c r="A13" s="197" t="s">
        <v>86</v>
      </c>
      <c r="B13" s="170">
        <f>IF(RIGHT(B10,2)="주택",MIN(B11*B12,B23*B12+B11*B12*5%),B11*B12)</f>
        <v>1991760000</v>
      </c>
      <c r="C13" s="170">
        <f t="shared" ref="C13:E13" si="0">IF(RIGHT(C10,2)="주택",MIN(C11*C12,C23*C12+C11*C12*5%),C11*C12)</f>
        <v>0</v>
      </c>
      <c r="D13" s="170">
        <f t="shared" si="0"/>
        <v>0</v>
      </c>
      <c r="E13" s="170">
        <f t="shared" si="0"/>
        <v>0</v>
      </c>
      <c r="F13" s="24">
        <f>F11*F12</f>
        <v>2779200000</v>
      </c>
      <c r="G13" s="66">
        <f>IF(RIGHT(G10,2)="주택",MIN(G11*G12,G23*G12+G11*G12*5%),G11*G12)</f>
        <v>210000000</v>
      </c>
      <c r="H13" s="66">
        <f t="shared" ref="H13" si="1">IF(RIGHT(H10,2)="주택",MIN(H11*H12,H23*H12+H11*H12*5%),H11*H12)</f>
        <v>0</v>
      </c>
      <c r="I13" s="3"/>
      <c r="J13" s="197" t="s">
        <v>88</v>
      </c>
      <c r="K13" s="211">
        <f t="shared" ref="K13:N13" si="2">IF(RIGHT(K10,2)="주택",MIN(K11*K12,K23*K12+K11*K12*5%),K11*K12)</f>
        <v>2939004000</v>
      </c>
      <c r="L13" s="22">
        <f t="shared" si="2"/>
        <v>0</v>
      </c>
      <c r="M13" s="22">
        <f t="shared" si="2"/>
        <v>0</v>
      </c>
      <c r="N13" s="22">
        <f t="shared" si="2"/>
        <v>0</v>
      </c>
      <c r="O13" s="22">
        <f>O11*O12</f>
        <v>3196080000</v>
      </c>
      <c r="P13" s="66">
        <f t="shared" ref="P13:Q13" si="3">IF(RIGHT(P10,2)="주택",MIN(P11*P12,P23*P12+P11*P12*5%),P11*P12)</f>
        <v>241499999.99999997</v>
      </c>
      <c r="Q13" s="66">
        <f t="shared" si="3"/>
        <v>0</v>
      </c>
      <c r="S13" s="319" t="s">
        <v>88</v>
      </c>
      <c r="T13" s="211">
        <f t="shared" ref="T13:W13" si="4">IF(RIGHT(T10,2)="주택",MIN(T11*T12,T23*T12+T11*T12*5%),T11*T12)</f>
        <v>3379854600</v>
      </c>
      <c r="U13" s="22">
        <f t="shared" si="4"/>
        <v>0</v>
      </c>
      <c r="V13" s="22">
        <f t="shared" si="4"/>
        <v>0</v>
      </c>
      <c r="W13" s="22">
        <f t="shared" si="4"/>
        <v>0</v>
      </c>
      <c r="X13" s="22">
        <f>X11*X12</f>
        <v>3675492000</v>
      </c>
      <c r="Y13" s="66">
        <f t="shared" ref="Y13:Z13" si="5">IF(RIGHT(Y10,2)="주택",MIN(Y11*Y12,Y23*Y12+Y11*Y12*5%),Y11*Y12)</f>
        <v>277724999.99999994</v>
      </c>
      <c r="Z13" s="66">
        <f t="shared" si="5"/>
        <v>0</v>
      </c>
      <c r="AB13" s="319" t="s">
        <v>88</v>
      </c>
      <c r="AC13" s="211">
        <f t="shared" ref="AC13:AF13" si="6">IF(RIGHT(AC10,2)="주택",MIN(AC11*AC12,AC23*AC12+AC11*AC12*5%),AC11*AC12)</f>
        <v>3886832790</v>
      </c>
      <c r="AD13" s="22">
        <f t="shared" si="6"/>
        <v>0</v>
      </c>
      <c r="AE13" s="22">
        <f t="shared" si="6"/>
        <v>0</v>
      </c>
      <c r="AF13" s="22">
        <f t="shared" si="6"/>
        <v>0</v>
      </c>
      <c r="AG13" s="22">
        <f>AG11*AG12</f>
        <v>4226815799.999999</v>
      </c>
      <c r="AH13" s="66">
        <f t="shared" ref="AH13:AI13" si="7">IF(RIGHT(AH10,2)="주택",MIN(AH11*AH12,AH23*AH12+AH11*AH12*5%),AH11*AH12)</f>
        <v>319383749.99999988</v>
      </c>
      <c r="AI13" s="66">
        <f t="shared" si="7"/>
        <v>0</v>
      </c>
      <c r="AK13" s="319" t="s">
        <v>88</v>
      </c>
      <c r="AL13" s="211">
        <f t="shared" ref="AL13:AO13" si="8">IF(RIGHT(AL10,2)="주택",MIN(AL11*AL12,AL23*AL12+AL11*AL12*5%),AL11*AL12)</f>
        <v>4469857708.499999</v>
      </c>
      <c r="AM13" s="22">
        <f t="shared" si="8"/>
        <v>0</v>
      </c>
      <c r="AN13" s="22">
        <f t="shared" si="8"/>
        <v>0</v>
      </c>
      <c r="AO13" s="22">
        <f t="shared" si="8"/>
        <v>0</v>
      </c>
      <c r="AP13" s="22">
        <f>AP11*AP12</f>
        <v>4860838169.999999</v>
      </c>
      <c r="AQ13" s="66">
        <f t="shared" ref="AQ13:AR13" si="9">IF(RIGHT(AQ10,2)="주택",MIN(AQ11*AQ12,AQ23*AQ12+AQ11*AQ12*5%),AQ11*AQ12)</f>
        <v>367291312.49999988</v>
      </c>
      <c r="AR13" s="66">
        <f t="shared" si="9"/>
        <v>0</v>
      </c>
    </row>
    <row r="14" spans="1:44" ht="16.5" customHeight="1">
      <c r="A14" s="198" t="s">
        <v>90</v>
      </c>
      <c r="B14" s="131" cm="1">
        <f t="array" ref="B14">IF(AND(B10="1세대1주택",B11&lt;=9*10^8),INDEX(t!$D$3:$D$6,MATCH(TRUE,B13&lt;=t!$A$3:$A$6,0)),INDEX(t!$B$3:$B$6,MATCH(TRUE,B13&lt;=t!$A$3:$A$6,0)))</f>
        <v>4.0000000000000001E-3</v>
      </c>
      <c r="C14" s="131">
        <f t="array" ref="C14">IF(C10="1세대1주택",INDEX(t!$D$3:$D$6,MATCH(TRUE,C13&lt;=t!$A$3:$A$6,0)),INDEX(t!$B$3:$B$6,MATCH(TRUE,C13&lt;=t!$A$3:$A$6,0)))</f>
        <v>1E-3</v>
      </c>
      <c r="D14" s="131">
        <f t="array" ref="D14">IF(D10="1세대1주택",INDEX(t!$D$3:$D$6,MATCH(TRUE,D13&lt;=t!$A$3:$A$6,0)),INDEX(t!$B$3:$B$6,MATCH(TRUE,D13&lt;=t!$A$3:$A$6,0)))</f>
        <v>1E-3</v>
      </c>
      <c r="E14" s="131">
        <f t="array" ref="E14">IF(E10="1세대1주택",INDEX(t!$D$3:$D$6,MATCH(TRUE,E13&lt;=t!$A$3:$A$6,0)),INDEX(t!$B$3:$B$6,MATCH(TRUE,E13&lt;=t!$A$3:$A$6,0)))</f>
        <v>1E-3</v>
      </c>
      <c r="F14" s="14">
        <f t="array" ref="F14">INDEX(t!$B$3:$B$6,MATCH(TRUE,F13&lt;=t!$A$3:$A$6,0))</f>
        <v>4.0000000000000001E-3</v>
      </c>
      <c r="G14" s="14">
        <v>2.5000000000000001E-3</v>
      </c>
      <c r="H14" s="14">
        <v>2E-3</v>
      </c>
      <c r="I14" s="3"/>
      <c r="J14" s="197" t="s">
        <v>90</v>
      </c>
      <c r="K14" s="212">
        <f t="array" ref="K14">IF(AND(K10="1세대1주택",K11&lt;=9*10^8),INDEX(t!$D$3:$D$6,MATCH(TRUE,K13&lt;=t!$A$3:$A$6,0)),INDEX(t!$B$3:$B$6,MATCH(TRUE,K13&lt;=t!$A$3:$A$6,0)))</f>
        <v>4.0000000000000001E-3</v>
      </c>
      <c r="L14" s="14">
        <f t="array" ref="L14">IF(AND(L10="1세대1주택",L11&lt;=9*10^8),INDEX(t!$D$3:$D$6,MATCH(TRUE,L13&lt;=t!$A$3:$A$6,0)),INDEX(t!$B$3:$B$6,MATCH(TRUE,L13&lt;=t!$A$3:$A$6,0)))</f>
        <v>1E-3</v>
      </c>
      <c r="M14" s="14">
        <f t="array" ref="M14">IF(AND(M10="1세대1주택",M11&lt;=9*10^8),INDEX(t!$D$3:$D$6,MATCH(TRUE,M13&lt;=t!$A$3:$A$6,0)),INDEX(t!$B$3:$B$6,MATCH(TRUE,M13&lt;=t!$A$3:$A$6,0)))</f>
        <v>1E-3</v>
      </c>
      <c r="N14" s="14">
        <f t="array" ref="N14">IF(AND(N10="1세대1주택",N11&lt;=9*10^8),INDEX(t!$D$3:$D$6,MATCH(TRUE,N13&lt;=t!$A$3:$A$6,0)),INDEX(t!$B$3:$B$6,MATCH(TRUE,N13&lt;=t!$A$3:$A$6,0)))</f>
        <v>1E-3</v>
      </c>
      <c r="O14" s="14">
        <f t="array" ref="O14">INDEX(t!$B$3:$B$6,MATCH(TRUE,O13&lt;=t!$A$3:$A$6,0))</f>
        <v>4.0000000000000001E-3</v>
      </c>
      <c r="P14" s="14">
        <v>2.5000000000000001E-3</v>
      </c>
      <c r="Q14" s="14">
        <v>2E-3</v>
      </c>
      <c r="S14" s="320" t="s">
        <v>90</v>
      </c>
      <c r="T14" s="212">
        <f t="array" ref="T14">IF(AND(T10="1세대1주택",T11&lt;=9*10^8),INDEX(t!$D$3:$D$6,MATCH(TRUE,T13&lt;=t!$A$3:$A$6,0)),INDEX(t!$B$3:$B$6,MATCH(TRUE,T13&lt;=t!$A$3:$A$6,0)))</f>
        <v>4.0000000000000001E-3</v>
      </c>
      <c r="U14" s="14">
        <f t="array" ref="U14">IF(AND(U10="1세대1주택",U11&lt;=9*10^8),INDEX(t!$D$3:$D$6,MATCH(TRUE,U13&lt;=t!$A$3:$A$6,0)),INDEX(t!$B$3:$B$6,MATCH(TRUE,U13&lt;=t!$A$3:$A$6,0)))</f>
        <v>1E-3</v>
      </c>
      <c r="V14" s="14">
        <f t="array" ref="V14">IF(AND(V10="1세대1주택",V11&lt;=9*10^8),INDEX(t!$D$3:$D$6,MATCH(TRUE,V13&lt;=t!$A$3:$A$6,0)),INDEX(t!$B$3:$B$6,MATCH(TRUE,V13&lt;=t!$A$3:$A$6,0)))</f>
        <v>1E-3</v>
      </c>
      <c r="W14" s="14">
        <f t="array" ref="W14">IF(AND(W10="1세대1주택",W11&lt;=9*10^8),INDEX(t!$D$3:$D$6,MATCH(TRUE,W13&lt;=t!$A$3:$A$6,0)),INDEX(t!$B$3:$B$6,MATCH(TRUE,W13&lt;=t!$A$3:$A$6,0)))</f>
        <v>1E-3</v>
      </c>
      <c r="X14" s="14">
        <f t="array" ref="X14">INDEX(t!$B$3:$B$6,MATCH(TRUE,X13&lt;=t!$A$3:$A$6,0))</f>
        <v>4.0000000000000001E-3</v>
      </c>
      <c r="Y14" s="14">
        <v>2.5000000000000001E-3</v>
      </c>
      <c r="Z14" s="14">
        <v>2E-3</v>
      </c>
      <c r="AB14" s="320" t="s">
        <v>90</v>
      </c>
      <c r="AC14" s="212">
        <f t="array" ref="AC14">IF(AND(AC10="1세대1주택",AC11&lt;=9*10^8),INDEX(t!$D$3:$D$6,MATCH(TRUE,AC13&lt;=t!$A$3:$A$6,0)),INDEX(t!$B$3:$B$6,MATCH(TRUE,AC13&lt;=t!$A$3:$A$6,0)))</f>
        <v>4.0000000000000001E-3</v>
      </c>
      <c r="AD14" s="14">
        <f t="array" ref="AD14">IF(AND(AD10="1세대1주택",AD11&lt;=9*10^8),INDEX(t!$D$3:$D$6,MATCH(TRUE,AD13&lt;=t!$A$3:$A$6,0)),INDEX(t!$B$3:$B$6,MATCH(TRUE,AD13&lt;=t!$A$3:$A$6,0)))</f>
        <v>1E-3</v>
      </c>
      <c r="AE14" s="14">
        <f t="array" ref="AE14">IF(AND(AE10="1세대1주택",AE11&lt;=9*10^8),INDEX(t!$D$3:$D$6,MATCH(TRUE,AE13&lt;=t!$A$3:$A$6,0)),INDEX(t!$B$3:$B$6,MATCH(TRUE,AE13&lt;=t!$A$3:$A$6,0)))</f>
        <v>1E-3</v>
      </c>
      <c r="AF14" s="14">
        <f t="array" ref="AF14">IF(AND(AF10="1세대1주택",AF11&lt;=9*10^8),INDEX(t!$D$3:$D$6,MATCH(TRUE,AF13&lt;=t!$A$3:$A$6,0)),INDEX(t!$B$3:$B$6,MATCH(TRUE,AF13&lt;=t!$A$3:$A$6,0)))</f>
        <v>1E-3</v>
      </c>
      <c r="AG14" s="14">
        <f t="array" ref="AG14">INDEX(t!$B$3:$B$6,MATCH(TRUE,AG13&lt;=t!$A$3:$A$6,0))</f>
        <v>4.0000000000000001E-3</v>
      </c>
      <c r="AH14" s="14">
        <v>2.5000000000000001E-3</v>
      </c>
      <c r="AI14" s="14">
        <v>2E-3</v>
      </c>
      <c r="AK14" s="320" t="s">
        <v>90</v>
      </c>
      <c r="AL14" s="212">
        <f t="array" ref="AL14">IF(AND(AL10="1세대1주택",AL11&lt;=9*10^8),INDEX(t!$D$3:$D$6,MATCH(TRUE,AL13&lt;=t!$A$3:$A$6,0)),INDEX(t!$B$3:$B$6,MATCH(TRUE,AL13&lt;=t!$A$3:$A$6,0)))</f>
        <v>4.0000000000000001E-3</v>
      </c>
      <c r="AM14" s="14">
        <f t="array" ref="AM14">IF(AND(AM10="1세대1주택",AM11&lt;=9*10^8),INDEX(t!$D$3:$D$6,MATCH(TRUE,AM13&lt;=t!$A$3:$A$6,0)),INDEX(t!$B$3:$B$6,MATCH(TRUE,AM13&lt;=t!$A$3:$A$6,0)))</f>
        <v>1E-3</v>
      </c>
      <c r="AN14" s="14">
        <f t="array" ref="AN14">IF(AND(AN10="1세대1주택",AN11&lt;=9*10^8),INDEX(t!$D$3:$D$6,MATCH(TRUE,AN13&lt;=t!$A$3:$A$6,0)),INDEX(t!$B$3:$B$6,MATCH(TRUE,AN13&lt;=t!$A$3:$A$6,0)))</f>
        <v>1E-3</v>
      </c>
      <c r="AO14" s="14">
        <f t="array" ref="AO14">IF(AND(AO10="1세대1주택",AO11&lt;=9*10^8),INDEX(t!$D$3:$D$6,MATCH(TRUE,AO13&lt;=t!$A$3:$A$6,0)),INDEX(t!$B$3:$B$6,MATCH(TRUE,AO13&lt;=t!$A$3:$A$6,0)))</f>
        <v>1E-3</v>
      </c>
      <c r="AP14" s="14">
        <f t="array" ref="AP14">INDEX(t!$B$3:$B$6,MATCH(TRUE,AP13&lt;=t!$A$3:$A$6,0))</f>
        <v>4.0000000000000001E-3</v>
      </c>
      <c r="AQ14" s="14">
        <v>2.5000000000000001E-3</v>
      </c>
      <c r="AR14" s="14">
        <v>2E-3</v>
      </c>
    </row>
    <row r="15" spans="1:44" ht="16.5" customHeight="1" thickBot="1">
      <c r="A15" s="199" t="s">
        <v>64</v>
      </c>
      <c r="B15" s="64">
        <f>B13*B14-VLOOKUP(B14,IF(AND(B10="1세대1주택",B11&lt;=9*10^8),t!$D$2:$E$6,t!$B$2:$C$6),2,0)</f>
        <v>7337040</v>
      </c>
      <c r="C15" s="64">
        <f>C13*C14-VLOOKUP(C14,IF(AND(C10="1세대1주택",C11&lt;=9*10^8),t!$D$2:$E$6,t!$B$2:$C$6),2,0)</f>
        <v>0</v>
      </c>
      <c r="D15" s="64">
        <f>D13*D14-VLOOKUP(D14,IF(AND(D10="1세대1주택",D11&lt;=9*10^8),t!$D$2:$E$6,t!$B$2:$C$6),2,0)</f>
        <v>0</v>
      </c>
      <c r="E15" s="64">
        <f>E13*E14-VLOOKUP(E14,IF(AND(E10="1세대1주택",E11&lt;=9*10^8),t!$D$2:$E$6,t!$B$2:$C$6),2,0)</f>
        <v>0</v>
      </c>
      <c r="F15" s="64">
        <f>F13*F14-VLOOKUP(F14,IF(F10="1세대1주택",t!$D$2:$E$6,t!$B$2:$C$6),2,0)</f>
        <v>10486800</v>
      </c>
      <c r="G15" s="64">
        <f>G13*0.25%</f>
        <v>525000</v>
      </c>
      <c r="H15" s="64">
        <f>H13*0.25%</f>
        <v>0</v>
      </c>
      <c r="I15" s="3"/>
      <c r="J15" s="230" t="s">
        <v>64</v>
      </c>
      <c r="K15" s="231">
        <f>K13*K14-VLOOKUP(K14,IF(AND(K10="1세대1주택",K11&lt;=9*10^8),t!$D$2:$E$6,t!$B$2:$C$6),2,0)</f>
        <v>11126016</v>
      </c>
      <c r="L15" s="64">
        <f>L13*L14-VLOOKUP(L14,IF(AND(L10="1세대1주택",L11&lt;=9*10^8),t!$D$2:$E$6,t!$B$2:$C$6),2,0)</f>
        <v>0</v>
      </c>
      <c r="M15" s="64">
        <f>M13*M14-VLOOKUP(M14,IF(AND(M10="1세대1주택",M11&lt;=9*10^8),t!$D$2:$E$6,t!$B$2:$C$6),2,0)</f>
        <v>0</v>
      </c>
      <c r="N15" s="64">
        <f>N13*N14-VLOOKUP(N14,IF(AND(N10="1세대1주택",N11&lt;=9*10^8),t!$D$2:$E$6,t!$B$2:$C$6),2,0)</f>
        <v>0</v>
      </c>
      <c r="O15" s="64">
        <f>O13*O14-VLOOKUP(O14,IF(O10="1세대1주택",t!$D$2:$E$6,t!$B$2:$C$6),2,0)</f>
        <v>12154320</v>
      </c>
      <c r="P15" s="64">
        <f>P13*0.25%</f>
        <v>603749.99999999988</v>
      </c>
      <c r="Q15" s="64">
        <f>Q13*0.25%</f>
        <v>0</v>
      </c>
      <c r="S15" s="320" t="s">
        <v>64</v>
      </c>
      <c r="T15" s="231">
        <f>T13*T14-VLOOKUP(T14,IF(AND(T10="1세대1주택",T11&lt;=9*10^8),t!$D$2:$E$6,t!$B$2:$C$6),2,0)</f>
        <v>12889418.4</v>
      </c>
      <c r="U15" s="64">
        <f>U13*U14-VLOOKUP(U14,IF(AND(U10="1세대1주택",U11&lt;=9*10^8),t!$D$2:$E$6,t!$B$2:$C$6),2,0)</f>
        <v>0</v>
      </c>
      <c r="V15" s="64">
        <f>V13*V14-VLOOKUP(V14,IF(AND(V10="1세대1주택",V11&lt;=9*10^8),t!$D$2:$E$6,t!$B$2:$C$6),2,0)</f>
        <v>0</v>
      </c>
      <c r="W15" s="64">
        <f>W13*W14-VLOOKUP(W14,IF(AND(W10="1세대1주택",W11&lt;=9*10^8),t!$D$2:$E$6,t!$B$2:$C$6),2,0)</f>
        <v>0</v>
      </c>
      <c r="X15" s="64">
        <f>X13*X14-VLOOKUP(X14,IF(X10="1세대1주택",t!$D$2:$E$6,t!$B$2:$C$6),2,0)</f>
        <v>14071968</v>
      </c>
      <c r="Y15" s="64">
        <f>Y13*0.25%</f>
        <v>694312.49999999988</v>
      </c>
      <c r="Z15" s="64">
        <f>Z13*0.25%</f>
        <v>0</v>
      </c>
      <c r="AB15" s="320" t="s">
        <v>64</v>
      </c>
      <c r="AC15" s="231">
        <f>AC13*AC14-VLOOKUP(AC14,IF(AND(AC10="1세대1주택",AC11&lt;=9*10^8),t!$D$2:$E$6,t!$B$2:$C$6),2,0)</f>
        <v>14917331.16</v>
      </c>
      <c r="AD15" s="64">
        <f>AD13*AD14-VLOOKUP(AD14,IF(AND(AD10="1세대1주택",AD11&lt;=9*10^8),t!$D$2:$E$6,t!$B$2:$C$6),2,0)</f>
        <v>0</v>
      </c>
      <c r="AE15" s="64">
        <f>AE13*AE14-VLOOKUP(AE14,IF(AND(AE10="1세대1주택",AE11&lt;=9*10^8),t!$D$2:$E$6,t!$B$2:$C$6),2,0)</f>
        <v>0</v>
      </c>
      <c r="AF15" s="64">
        <f>AF13*AF14-VLOOKUP(AF14,IF(AND(AF10="1세대1주택",AF11&lt;=9*10^8),t!$D$2:$E$6,t!$B$2:$C$6),2,0)</f>
        <v>0</v>
      </c>
      <c r="AG15" s="64">
        <f>AG13*AG14-VLOOKUP(AG14,IF(AG10="1세대1주택",t!$D$2:$E$6,t!$B$2:$C$6),2,0)</f>
        <v>16277263.199999996</v>
      </c>
      <c r="AH15" s="64">
        <f>AH13*0.25%</f>
        <v>798459.37499999977</v>
      </c>
      <c r="AI15" s="64">
        <f>AI13*0.25%</f>
        <v>0</v>
      </c>
      <c r="AK15" s="320" t="s">
        <v>64</v>
      </c>
      <c r="AL15" s="231">
        <f>AL13*AL14-VLOOKUP(AL14,IF(AND(AL10="1세대1주택",AL11&lt;=9*10^8),t!$D$2:$E$6,t!$B$2:$C$6),2,0)</f>
        <v>17249430.833999995</v>
      </c>
      <c r="AM15" s="64">
        <f>AM13*AM14-VLOOKUP(AM14,IF(AND(AM10="1세대1주택",AM11&lt;=9*10^8),t!$D$2:$E$6,t!$B$2:$C$6),2,0)</f>
        <v>0</v>
      </c>
      <c r="AN15" s="64">
        <f>AN13*AN14-VLOOKUP(AN14,IF(AND(AN10="1세대1주택",AN11&lt;=9*10^8),t!$D$2:$E$6,t!$B$2:$C$6),2,0)</f>
        <v>0</v>
      </c>
      <c r="AO15" s="64">
        <f>AO13*AO14-VLOOKUP(AO14,IF(AND(AO10="1세대1주택",AO11&lt;=9*10^8),t!$D$2:$E$6,t!$B$2:$C$6),2,0)</f>
        <v>0</v>
      </c>
      <c r="AP15" s="64">
        <f>AP13*AP14-VLOOKUP(AP14,IF(AP10="1세대1주택",t!$D$2:$E$6,t!$B$2:$C$6),2,0)</f>
        <v>18813352.679999996</v>
      </c>
      <c r="AQ15" s="64">
        <f>AQ13*0.25%</f>
        <v>918228.28124999977</v>
      </c>
      <c r="AR15" s="64">
        <f>AR13*0.25%</f>
        <v>0</v>
      </c>
    </row>
    <row r="16" spans="1:44" ht="16.5" customHeight="1" thickBot="1">
      <c r="A16" s="200" t="s">
        <v>93</v>
      </c>
      <c r="B16" s="223">
        <f t="shared" ref="B16:E16" si="10">B15</f>
        <v>7337040</v>
      </c>
      <c r="C16" s="223">
        <f t="shared" si="10"/>
        <v>0</v>
      </c>
      <c r="D16" s="223">
        <f t="shared" si="10"/>
        <v>0</v>
      </c>
      <c r="E16" s="223">
        <f t="shared" si="10"/>
        <v>0</v>
      </c>
      <c r="F16" s="223">
        <f>SUM(B16:E16)</f>
        <v>7337040</v>
      </c>
      <c r="G16" s="223">
        <f t="shared" ref="G16:H16" si="11">MIN(G15,G24*150%)</f>
        <v>525000</v>
      </c>
      <c r="H16" s="223">
        <f t="shared" si="11"/>
        <v>0</v>
      </c>
      <c r="I16" s="15"/>
      <c r="J16" s="232" t="s">
        <v>93</v>
      </c>
      <c r="K16" s="213">
        <f t="shared" ref="K16:N16" si="12">K15</f>
        <v>11126016</v>
      </c>
      <c r="L16" s="65">
        <f t="shared" si="12"/>
        <v>0</v>
      </c>
      <c r="M16" s="65">
        <f t="shared" si="12"/>
        <v>0</v>
      </c>
      <c r="N16" s="65">
        <f t="shared" si="12"/>
        <v>0</v>
      </c>
      <c r="O16" s="65">
        <f>SUM(K16:N16)</f>
        <v>11126016</v>
      </c>
      <c r="P16" s="223">
        <f t="shared" ref="P16:Q16" si="13">MIN(P15,P24*150%)</f>
        <v>603749.99999999988</v>
      </c>
      <c r="Q16" s="223">
        <f t="shared" si="13"/>
        <v>0</v>
      </c>
      <c r="S16" s="200" t="s">
        <v>93</v>
      </c>
      <c r="T16" s="326">
        <f t="shared" ref="T16:W16" si="14">T15</f>
        <v>12889418.4</v>
      </c>
      <c r="U16" s="223">
        <f t="shared" si="14"/>
        <v>0</v>
      </c>
      <c r="V16" s="223">
        <f t="shared" si="14"/>
        <v>0</v>
      </c>
      <c r="W16" s="223">
        <f t="shared" si="14"/>
        <v>0</v>
      </c>
      <c r="X16" s="223">
        <f>SUM(T16:W16)</f>
        <v>12889418.4</v>
      </c>
      <c r="Y16" s="223">
        <f t="shared" ref="Y16:Z16" si="15">MIN(Y15,Y24*150%)</f>
        <v>694312.49999999988</v>
      </c>
      <c r="Z16" s="223">
        <f t="shared" si="15"/>
        <v>0</v>
      </c>
      <c r="AB16" s="200" t="s">
        <v>93</v>
      </c>
      <c r="AC16" s="326">
        <f t="shared" ref="AC16:AF16" si="16">AC15</f>
        <v>14917331.16</v>
      </c>
      <c r="AD16" s="223">
        <f t="shared" si="16"/>
        <v>0</v>
      </c>
      <c r="AE16" s="223">
        <f t="shared" si="16"/>
        <v>0</v>
      </c>
      <c r="AF16" s="223">
        <f t="shared" si="16"/>
        <v>0</v>
      </c>
      <c r="AG16" s="223">
        <f>SUM(AC16:AF16)</f>
        <v>14917331.16</v>
      </c>
      <c r="AH16" s="223">
        <f t="shared" ref="AH16:AI16" si="17">MIN(AH15,AH24*150%)</f>
        <v>798459.37499999977</v>
      </c>
      <c r="AI16" s="223">
        <f t="shared" si="17"/>
        <v>0</v>
      </c>
      <c r="AK16" s="200" t="s">
        <v>93</v>
      </c>
      <c r="AL16" s="326">
        <f t="shared" ref="AL16:AO16" si="18">AL15</f>
        <v>17249430.833999995</v>
      </c>
      <c r="AM16" s="223">
        <f t="shared" si="18"/>
        <v>0</v>
      </c>
      <c r="AN16" s="223">
        <f t="shared" si="18"/>
        <v>0</v>
      </c>
      <c r="AO16" s="223">
        <f t="shared" si="18"/>
        <v>0</v>
      </c>
      <c r="AP16" s="223">
        <f>SUM(AL16:AO16)</f>
        <v>17249430.833999995</v>
      </c>
      <c r="AQ16" s="223">
        <f t="shared" ref="AQ16:AR16" si="19">MIN(AQ15,AQ24*150%)</f>
        <v>918228.28124999977</v>
      </c>
      <c r="AR16" s="223">
        <f t="shared" si="19"/>
        <v>0</v>
      </c>
    </row>
    <row r="17" spans="1:44" ht="16.5" customHeight="1">
      <c r="A17" s="201" t="s">
        <v>94</v>
      </c>
      <c r="B17" s="66">
        <f t="shared" ref="B17:E17" si="20">B$13*0.14%</f>
        <v>2788464.0000000005</v>
      </c>
      <c r="C17" s="66">
        <f t="shared" si="20"/>
        <v>0</v>
      </c>
      <c r="D17" s="66">
        <f t="shared" si="20"/>
        <v>0</v>
      </c>
      <c r="E17" s="66">
        <f t="shared" si="20"/>
        <v>0</v>
      </c>
      <c r="F17" s="222"/>
      <c r="G17" s="66">
        <f t="shared" ref="G17:H17" si="21">G$13*0.14%</f>
        <v>294000.00000000006</v>
      </c>
      <c r="H17" s="66">
        <f t="shared" si="21"/>
        <v>0</v>
      </c>
      <c r="I17" s="3"/>
      <c r="J17" s="233" t="s">
        <v>94</v>
      </c>
      <c r="K17" s="214">
        <f t="shared" ref="K17:N17" si="22">K$13*0.14%</f>
        <v>4114605.6000000006</v>
      </c>
      <c r="L17" s="67">
        <f t="shared" si="22"/>
        <v>0</v>
      </c>
      <c r="M17" s="67">
        <f t="shared" si="22"/>
        <v>0</v>
      </c>
      <c r="N17" s="67">
        <f t="shared" si="22"/>
        <v>0</v>
      </c>
      <c r="O17" s="222"/>
      <c r="P17" s="66">
        <f t="shared" ref="P17:Q17" si="23">P$13*0.14%</f>
        <v>338100</v>
      </c>
      <c r="Q17" s="66">
        <f t="shared" si="23"/>
        <v>0</v>
      </c>
      <c r="S17" s="324" t="s">
        <v>94</v>
      </c>
      <c r="T17" s="325">
        <f t="shared" ref="T17:W17" si="24">T$13*0.14%</f>
        <v>4731796.4400000004</v>
      </c>
      <c r="U17" s="66">
        <f t="shared" si="24"/>
        <v>0</v>
      </c>
      <c r="V17" s="66">
        <f t="shared" si="24"/>
        <v>0</v>
      </c>
      <c r="W17" s="66">
        <f t="shared" si="24"/>
        <v>0</v>
      </c>
      <c r="X17" s="222"/>
      <c r="Y17" s="66">
        <f t="shared" ref="Y17:Z17" si="25">Y$13*0.14%</f>
        <v>388815</v>
      </c>
      <c r="Z17" s="66">
        <f t="shared" si="25"/>
        <v>0</v>
      </c>
      <c r="AB17" s="324" t="s">
        <v>94</v>
      </c>
      <c r="AC17" s="325">
        <f t="shared" ref="AC17:AF17" si="26">AC$13*0.14%</f>
        <v>5441565.9060000004</v>
      </c>
      <c r="AD17" s="66">
        <f t="shared" si="26"/>
        <v>0</v>
      </c>
      <c r="AE17" s="66">
        <f t="shared" si="26"/>
        <v>0</v>
      </c>
      <c r="AF17" s="66">
        <f t="shared" si="26"/>
        <v>0</v>
      </c>
      <c r="AG17" s="222"/>
      <c r="AH17" s="66">
        <f t="shared" ref="AH17:AI17" si="27">AH$13*0.14%</f>
        <v>447137.24999999988</v>
      </c>
      <c r="AI17" s="66">
        <f t="shared" si="27"/>
        <v>0</v>
      </c>
      <c r="AK17" s="324" t="s">
        <v>94</v>
      </c>
      <c r="AL17" s="325">
        <f t="shared" ref="AL17:AO17" si="28">AL$13*0.14%</f>
        <v>6257800.7918999996</v>
      </c>
      <c r="AM17" s="66">
        <f t="shared" si="28"/>
        <v>0</v>
      </c>
      <c r="AN17" s="66">
        <f t="shared" si="28"/>
        <v>0</v>
      </c>
      <c r="AO17" s="66">
        <f t="shared" si="28"/>
        <v>0</v>
      </c>
      <c r="AP17" s="222"/>
      <c r="AQ17" s="66">
        <f t="shared" ref="AQ17:AR17" si="29">AQ$13*0.14%</f>
        <v>514207.83749999991</v>
      </c>
      <c r="AR17" s="66">
        <f t="shared" si="29"/>
        <v>0</v>
      </c>
    </row>
    <row r="18" spans="1:44" ht="16.5" customHeight="1">
      <c r="A18" s="357" t="s">
        <v>95</v>
      </c>
      <c r="B18" s="225"/>
      <c r="C18" s="225"/>
      <c r="D18" s="225"/>
      <c r="E18" s="225"/>
      <c r="F18" s="224"/>
      <c r="G18" s="22">
        <f>IF(G13&lt;=6000000,
 G13*0.04%,
 IF(G13&lt;=13000000,
  2400+(G13-6000000)*0.05%,
  IF(G13&lt;=26000000,
   5900+(G13-13000000)*0.06%,
   IF(G13&lt;=39000000,
    13700+(G13-26000000)*0.08%,
    IF(G13&lt;=64000000,
     24100+(G13-39000000)*0.1%,
     49100+(G13-64000000)*0.12%
    )
   )
  )
 )
)</f>
        <v>224299.99999999997</v>
      </c>
      <c r="H18" s="68"/>
      <c r="I18" s="3"/>
      <c r="J18" s="197" t="s">
        <v>95</v>
      </c>
      <c r="K18" s="215"/>
      <c r="L18" s="68"/>
      <c r="M18" s="68"/>
      <c r="N18" s="68"/>
      <c r="O18" s="224"/>
      <c r="P18" s="22">
        <f>IF(P13&lt;=6000000,
 P13*0.04%,
 IF(P13&lt;=13000000,
  2400+(P13-6000000)*0.05%,
  IF(P13&lt;=26000000,
   5900+(P13-13000000)*0.06%,
   IF(P13&lt;=39000000,
    13700+(P13-26000000)*0.08%,
    IF(P13&lt;=64000000,
     24100+(P13-39000000)*0.1%,
     49100+(P13-64000000)*0.12%
    )
   )
  )
 )
)</f>
        <v>262099.99999999994</v>
      </c>
      <c r="Q18" s="68"/>
      <c r="S18" s="321" t="s">
        <v>95</v>
      </c>
      <c r="T18" s="215"/>
      <c r="U18" s="68"/>
      <c r="V18" s="68"/>
      <c r="W18" s="68"/>
      <c r="X18" s="224"/>
      <c r="Y18" s="22">
        <f>IF(Y13&lt;=6000000,
 Y13*0.04%,
 IF(Y13&lt;=13000000,
  2400+(Y13-6000000)*0.05%,
  IF(Y13&lt;=26000000,
   5900+(Y13-13000000)*0.06%,
   IF(Y13&lt;=39000000,
    13700+(Y13-26000000)*0.08%,
    IF(Y13&lt;=64000000,
     24100+(Y13-39000000)*0.1%,
     49100+(Y13-64000000)*0.12%
    )
   )
  )
 )
)</f>
        <v>305569.99999999988</v>
      </c>
      <c r="Z18" s="68"/>
      <c r="AB18" s="321" t="s">
        <v>95</v>
      </c>
      <c r="AC18" s="215"/>
      <c r="AD18" s="68"/>
      <c r="AE18" s="68"/>
      <c r="AF18" s="68"/>
      <c r="AG18" s="224"/>
      <c r="AH18" s="22">
        <f>IF(AH13&lt;=6000000,
 AH13*0.04%,
 IF(AH13&lt;=13000000,
  2400+(AH13-6000000)*0.05%,
  IF(AH13&lt;=26000000,
   5900+(AH13-13000000)*0.06%,
   IF(AH13&lt;=39000000,
    13700+(AH13-26000000)*0.08%,
    IF(AH13&lt;=64000000,
     24100+(AH13-39000000)*0.1%,
     49100+(AH13-64000000)*0.12%
    )
   )
  )
 )
)</f>
        <v>355560.49999999983</v>
      </c>
      <c r="AI18" s="68"/>
      <c r="AK18" s="321" t="s">
        <v>95</v>
      </c>
      <c r="AL18" s="215"/>
      <c r="AM18" s="68"/>
      <c r="AN18" s="68"/>
      <c r="AO18" s="68"/>
      <c r="AP18" s="224"/>
      <c r="AQ18" s="22">
        <f>IF(AQ13&lt;=6000000,
 AQ13*0.04%,
 IF(AQ13&lt;=13000000,
  2400+(AQ13-6000000)*0.05%,
  IF(AQ13&lt;=26000000,
   5900+(AQ13-13000000)*0.06%,
   IF(AQ13&lt;=39000000,
    13700+(AQ13-26000000)*0.08%,
    IF(AQ13&lt;=64000000,
     24100+(AQ13-39000000)*0.1%,
     49100+(AQ13-64000000)*0.12%
    )
   )
  )
 )
)</f>
        <v>413049.57499999984</v>
      </c>
      <c r="AR18" s="68"/>
    </row>
    <row r="19" spans="1:44" ht="16.5" customHeight="1" thickBot="1">
      <c r="A19" s="310" t="s">
        <v>34</v>
      </c>
      <c r="B19" s="311">
        <f t="shared" ref="B19:E19" si="30">B$16*0.2</f>
        <v>1467408</v>
      </c>
      <c r="C19" s="311">
        <f t="shared" si="30"/>
        <v>0</v>
      </c>
      <c r="D19" s="311">
        <f t="shared" si="30"/>
        <v>0</v>
      </c>
      <c r="E19" s="311">
        <f t="shared" si="30"/>
        <v>0</v>
      </c>
      <c r="F19" s="312"/>
      <c r="G19" s="311">
        <f t="shared" ref="G19:H19" si="31">G$16*0.2</f>
        <v>105000</v>
      </c>
      <c r="H19" s="311">
        <f t="shared" si="31"/>
        <v>0</v>
      </c>
      <c r="I19" s="3"/>
      <c r="J19" s="234" t="s">
        <v>34</v>
      </c>
      <c r="K19" s="216">
        <f t="shared" ref="K19:N19" si="32">K$16*0.2</f>
        <v>2225203.2000000002</v>
      </c>
      <c r="L19" s="70">
        <f t="shared" si="32"/>
        <v>0</v>
      </c>
      <c r="M19" s="70">
        <f t="shared" si="32"/>
        <v>0</v>
      </c>
      <c r="N19" s="70">
        <f t="shared" si="32"/>
        <v>0</v>
      </c>
      <c r="O19" s="226"/>
      <c r="P19" s="70">
        <f t="shared" ref="P19:Q19" si="33">P$16*0.2</f>
        <v>120749.99999999999</v>
      </c>
      <c r="Q19" s="70">
        <f t="shared" si="33"/>
        <v>0</v>
      </c>
      <c r="S19" s="322" t="s">
        <v>34</v>
      </c>
      <c r="T19" s="216">
        <f t="shared" ref="T19:W19" si="34">T$16*0.2</f>
        <v>2577883.6800000002</v>
      </c>
      <c r="U19" s="70">
        <f t="shared" si="34"/>
        <v>0</v>
      </c>
      <c r="V19" s="70">
        <f t="shared" si="34"/>
        <v>0</v>
      </c>
      <c r="W19" s="70">
        <f t="shared" si="34"/>
        <v>0</v>
      </c>
      <c r="X19" s="226"/>
      <c r="Y19" s="70">
        <f t="shared" ref="Y19:Z19" si="35">Y$16*0.2</f>
        <v>138862.49999999997</v>
      </c>
      <c r="Z19" s="70">
        <f t="shared" si="35"/>
        <v>0</v>
      </c>
      <c r="AB19" s="322" t="s">
        <v>34</v>
      </c>
      <c r="AC19" s="216">
        <f t="shared" ref="AC19:AF19" si="36">AC$16*0.2</f>
        <v>2983466.2320000003</v>
      </c>
      <c r="AD19" s="70">
        <f t="shared" si="36"/>
        <v>0</v>
      </c>
      <c r="AE19" s="70">
        <f t="shared" si="36"/>
        <v>0</v>
      </c>
      <c r="AF19" s="70">
        <f t="shared" si="36"/>
        <v>0</v>
      </c>
      <c r="AG19" s="226"/>
      <c r="AH19" s="70">
        <f t="shared" ref="AH19:AI19" si="37">AH$16*0.2</f>
        <v>159691.87499999997</v>
      </c>
      <c r="AI19" s="70">
        <f t="shared" si="37"/>
        <v>0</v>
      </c>
      <c r="AK19" s="322" t="s">
        <v>34</v>
      </c>
      <c r="AL19" s="216">
        <f t="shared" ref="AL19:AO19" si="38">AL$16*0.2</f>
        <v>3449886.1667999993</v>
      </c>
      <c r="AM19" s="70">
        <f t="shared" si="38"/>
        <v>0</v>
      </c>
      <c r="AN19" s="70">
        <f t="shared" si="38"/>
        <v>0</v>
      </c>
      <c r="AO19" s="70">
        <f t="shared" si="38"/>
        <v>0</v>
      </c>
      <c r="AP19" s="226"/>
      <c r="AQ19" s="70">
        <f t="shared" ref="AQ19:AR19" si="39">AQ$16*0.2</f>
        <v>183645.65624999997</v>
      </c>
      <c r="AR19" s="70">
        <f t="shared" si="39"/>
        <v>0</v>
      </c>
    </row>
    <row r="20" spans="1:44" ht="16.5" customHeight="1" thickTop="1">
      <c r="A20" s="3" t="s">
        <v>315</v>
      </c>
      <c r="B20" s="170">
        <f>SUM(B16:B19)</f>
        <v>11592912</v>
      </c>
      <c r="C20" s="170">
        <f t="shared" ref="B20:E20" si="40">SUM(C16:C19)</f>
        <v>0</v>
      </c>
      <c r="D20" s="170">
        <f t="shared" si="40"/>
        <v>0</v>
      </c>
      <c r="E20" s="170">
        <f t="shared" si="40"/>
        <v>0</v>
      </c>
      <c r="F20" s="309"/>
      <c r="G20" s="170">
        <f t="shared" ref="G20:H20" si="41">SUM(G16:G19)</f>
        <v>1148300</v>
      </c>
      <c r="H20" s="170">
        <f t="shared" si="41"/>
        <v>0</v>
      </c>
      <c r="I20" s="3"/>
      <c r="J20" s="235" t="s">
        <v>96</v>
      </c>
      <c r="K20" s="217">
        <f t="shared" ref="K20:N20" si="42">SUM(K16:K19)</f>
        <v>17465824.800000001</v>
      </c>
      <c r="L20" s="218">
        <f t="shared" si="42"/>
        <v>0</v>
      </c>
      <c r="M20" s="218">
        <f t="shared" si="42"/>
        <v>0</v>
      </c>
      <c r="N20" s="218">
        <f t="shared" si="42"/>
        <v>0</v>
      </c>
      <c r="O20" s="222"/>
      <c r="P20" s="218">
        <f t="shared" ref="P20:Q20" si="43">SUM(P16:P19)</f>
        <v>1324699.9999999998</v>
      </c>
      <c r="Q20" s="218">
        <f t="shared" si="43"/>
        <v>0</v>
      </c>
      <c r="S20" s="323" t="s">
        <v>96</v>
      </c>
      <c r="T20" s="217">
        <f t="shared" ref="T20:W20" si="44">SUM(T16:T19)</f>
        <v>20199098.52</v>
      </c>
      <c r="U20" s="218">
        <f t="shared" si="44"/>
        <v>0</v>
      </c>
      <c r="V20" s="218">
        <f t="shared" si="44"/>
        <v>0</v>
      </c>
      <c r="W20" s="218">
        <f t="shared" si="44"/>
        <v>0</v>
      </c>
      <c r="X20" s="222"/>
      <c r="Y20" s="218">
        <f t="shared" ref="Y20:Z20" si="45">SUM(Y16:Y19)</f>
        <v>1527560</v>
      </c>
      <c r="Z20" s="218">
        <f t="shared" si="45"/>
        <v>0</v>
      </c>
      <c r="AB20" s="323" t="s">
        <v>96</v>
      </c>
      <c r="AC20" s="217">
        <f t="shared" ref="AC20:AF20" si="46">SUM(AC16:AC19)</f>
        <v>23342363.298</v>
      </c>
      <c r="AD20" s="218">
        <f t="shared" si="46"/>
        <v>0</v>
      </c>
      <c r="AE20" s="218">
        <f t="shared" si="46"/>
        <v>0</v>
      </c>
      <c r="AF20" s="218">
        <f t="shared" si="46"/>
        <v>0</v>
      </c>
      <c r="AG20" s="222"/>
      <c r="AH20" s="218">
        <f t="shared" ref="AH20:AI20" si="47">SUM(AH16:AH19)</f>
        <v>1760848.9999999993</v>
      </c>
      <c r="AI20" s="218">
        <f t="shared" si="47"/>
        <v>0</v>
      </c>
      <c r="AK20" s="323" t="s">
        <v>96</v>
      </c>
      <c r="AL20" s="217">
        <f t="shared" ref="AL20:AO20" si="48">SUM(AL16:AL19)</f>
        <v>26957117.792699993</v>
      </c>
      <c r="AM20" s="218">
        <f t="shared" si="48"/>
        <v>0</v>
      </c>
      <c r="AN20" s="218">
        <f t="shared" si="48"/>
        <v>0</v>
      </c>
      <c r="AO20" s="218">
        <f t="shared" si="48"/>
        <v>0</v>
      </c>
      <c r="AP20" s="222"/>
      <c r="AQ20" s="218">
        <f t="shared" ref="AQ20:AR20" si="49">SUM(AQ16:AQ19)</f>
        <v>2029131.3499999996</v>
      </c>
      <c r="AR20" s="218">
        <f t="shared" si="49"/>
        <v>0</v>
      </c>
    </row>
    <row r="21" spans="1:44" ht="16.5" customHeight="1">
      <c r="B21" s="313"/>
      <c r="C21" s="313"/>
      <c r="D21" s="313"/>
      <c r="E21" s="313"/>
      <c r="F21" s="313"/>
      <c r="G21" s="313"/>
      <c r="H21" s="313"/>
      <c r="I21" s="3"/>
      <c r="J21" s="250" t="s">
        <v>172</v>
      </c>
      <c r="K21" s="313"/>
      <c r="L21" s="313"/>
      <c r="M21" s="313"/>
      <c r="N21" s="313"/>
      <c r="O21" s="313"/>
      <c r="P21" s="313"/>
      <c r="Q21" s="313"/>
      <c r="S21" s="250" t="s">
        <v>172</v>
      </c>
      <c r="T21" s="313"/>
      <c r="U21" s="313"/>
      <c r="V21" s="313"/>
      <c r="W21" s="313"/>
      <c r="X21" s="313"/>
      <c r="Y21" s="313"/>
      <c r="Z21" s="313"/>
      <c r="AB21" s="250" t="s">
        <v>172</v>
      </c>
      <c r="AC21" s="313"/>
      <c r="AD21" s="313"/>
      <c r="AE21" s="313"/>
      <c r="AF21" s="313"/>
      <c r="AG21" s="313"/>
      <c r="AH21" s="313"/>
      <c r="AI21" s="313"/>
      <c r="AK21" s="250" t="s">
        <v>172</v>
      </c>
      <c r="AL21" s="313"/>
      <c r="AM21" s="313"/>
      <c r="AN21" s="313"/>
      <c r="AO21" s="313"/>
      <c r="AP21" s="313"/>
      <c r="AQ21" s="313"/>
      <c r="AR21" s="313"/>
    </row>
    <row r="22" spans="1:44" ht="16.5" customHeight="1">
      <c r="A22" s="202"/>
      <c r="B22" s="3"/>
      <c r="C22" s="3"/>
      <c r="D22" s="3"/>
      <c r="E22" s="3"/>
      <c r="F22" s="71"/>
      <c r="G22" s="3"/>
      <c r="H22" s="3"/>
      <c r="I22" s="3"/>
      <c r="J22" s="202"/>
      <c r="K22" s="3"/>
      <c r="L22" s="3"/>
      <c r="M22" s="3"/>
      <c r="N22" s="3"/>
      <c r="O22" s="71"/>
      <c r="P22" s="3"/>
      <c r="Q22" s="3"/>
      <c r="S22" s="202"/>
      <c r="T22" s="3"/>
      <c r="U22" s="3"/>
      <c r="V22" s="3"/>
      <c r="W22" s="3"/>
      <c r="X22" s="71"/>
      <c r="Y22" s="3"/>
      <c r="Z22" s="3"/>
      <c r="AB22" s="202"/>
      <c r="AC22" s="3"/>
      <c r="AD22" s="3"/>
      <c r="AE22" s="3"/>
      <c r="AF22" s="3"/>
      <c r="AG22" s="71"/>
      <c r="AH22" s="3"/>
      <c r="AI22" s="3"/>
      <c r="AK22" s="202"/>
      <c r="AL22" s="3"/>
      <c r="AM22" s="3"/>
      <c r="AN22" s="3"/>
      <c r="AO22" s="3"/>
      <c r="AP22" s="71"/>
      <c r="AQ22" s="3"/>
      <c r="AR22" s="3"/>
    </row>
    <row r="23" spans="1:44" ht="16.5" customHeight="1">
      <c r="A23" s="241" t="s">
        <v>98</v>
      </c>
      <c r="B23" s="239">
        <v>3088000000</v>
      </c>
      <c r="C23" s="239">
        <v>2000000000</v>
      </c>
      <c r="D23" s="190">
        <v>700000000</v>
      </c>
      <c r="E23" s="190">
        <v>400000000</v>
      </c>
      <c r="F23" s="22">
        <f t="shared" ref="F23:F24" si="50">SUM(B23:E23)</f>
        <v>6188000000</v>
      </c>
      <c r="G23" s="72">
        <v>153363459</v>
      </c>
      <c r="H23" s="107"/>
      <c r="I23" s="3"/>
      <c r="J23" s="197" t="s">
        <v>98</v>
      </c>
      <c r="K23" s="133">
        <f>B11</f>
        <v>4632000000</v>
      </c>
      <c r="L23" s="133">
        <f>C11</f>
        <v>0</v>
      </c>
      <c r="M23" s="133">
        <f>D11</f>
        <v>0</v>
      </c>
      <c r="N23" s="133">
        <f>E11</f>
        <v>0</v>
      </c>
      <c r="O23" s="133">
        <f t="shared" ref="O23:O24" si="51">SUM(K23:N23)</f>
        <v>4632000000</v>
      </c>
      <c r="P23" s="133">
        <f>G11</f>
        <v>300000000</v>
      </c>
      <c r="Q23" s="107"/>
      <c r="S23" s="197" t="s">
        <v>98</v>
      </c>
      <c r="T23" s="133">
        <f>K11</f>
        <v>5326800000</v>
      </c>
      <c r="U23" s="133">
        <f>L11</f>
        <v>0</v>
      </c>
      <c r="V23" s="133">
        <f>M11</f>
        <v>0</v>
      </c>
      <c r="W23" s="133">
        <f>N11</f>
        <v>0</v>
      </c>
      <c r="X23" s="133">
        <f t="shared" ref="X23:X24" si="52">SUM(T23:W23)</f>
        <v>5326800000</v>
      </c>
      <c r="Y23" s="133">
        <f>P11</f>
        <v>345000000</v>
      </c>
      <c r="Z23" s="107"/>
      <c r="AB23" s="197" t="s">
        <v>98</v>
      </c>
      <c r="AC23" s="133">
        <f>T11</f>
        <v>6125820000</v>
      </c>
      <c r="AD23" s="133">
        <f>U11</f>
        <v>0</v>
      </c>
      <c r="AE23" s="133">
        <f>V11</f>
        <v>0</v>
      </c>
      <c r="AF23" s="133">
        <f>W11</f>
        <v>0</v>
      </c>
      <c r="AG23" s="133">
        <f t="shared" ref="AG23:AG24" si="53">SUM(AC23:AF23)</f>
        <v>6125820000</v>
      </c>
      <c r="AH23" s="133">
        <f>Y11</f>
        <v>396749999.99999994</v>
      </c>
      <c r="AI23" s="107"/>
      <c r="AK23" s="197" t="s">
        <v>98</v>
      </c>
      <c r="AL23" s="133">
        <f>AC11</f>
        <v>7044692999.999999</v>
      </c>
      <c r="AM23" s="133">
        <f>AD11</f>
        <v>0</v>
      </c>
      <c r="AN23" s="133">
        <f>AE11</f>
        <v>0</v>
      </c>
      <c r="AO23" s="133">
        <f>AF11</f>
        <v>0</v>
      </c>
      <c r="AP23" s="133">
        <f t="shared" ref="AP23:AP24" si="54">SUM(AL23:AO23)</f>
        <v>7044692999.999999</v>
      </c>
      <c r="AQ23" s="133">
        <f>AH11</f>
        <v>456262499.99999988</v>
      </c>
      <c r="AR23" s="107"/>
    </row>
    <row r="24" spans="1:44" ht="16.5" customHeight="1">
      <c r="A24" s="241" t="s">
        <v>269</v>
      </c>
      <c r="B24" s="239">
        <v>4000000</v>
      </c>
      <c r="C24" s="239">
        <v>1500000</v>
      </c>
      <c r="D24" s="190">
        <v>500000</v>
      </c>
      <c r="E24" s="190">
        <v>350000</v>
      </c>
      <c r="F24" s="22">
        <f t="shared" si="50"/>
        <v>6350000</v>
      </c>
      <c r="G24" s="72">
        <v>511066</v>
      </c>
      <c r="H24" s="107"/>
      <c r="I24" s="3"/>
      <c r="J24" s="197" t="s">
        <v>269</v>
      </c>
      <c r="K24" s="133">
        <f>B16</f>
        <v>7337040</v>
      </c>
      <c r="L24" s="133">
        <f>C16</f>
        <v>0</v>
      </c>
      <c r="M24" s="133">
        <f>D16</f>
        <v>0</v>
      </c>
      <c r="N24" s="133">
        <f>E16</f>
        <v>0</v>
      </c>
      <c r="O24" s="133">
        <f t="shared" si="51"/>
        <v>7337040</v>
      </c>
      <c r="P24" s="133">
        <f>G16</f>
        <v>525000</v>
      </c>
      <c r="Q24" s="107"/>
      <c r="S24" s="197" t="s">
        <v>269</v>
      </c>
      <c r="T24" s="133">
        <f>K16</f>
        <v>11126016</v>
      </c>
      <c r="U24" s="133">
        <f>L16</f>
        <v>0</v>
      </c>
      <c r="V24" s="133">
        <f>M16</f>
        <v>0</v>
      </c>
      <c r="W24" s="133">
        <f>N16</f>
        <v>0</v>
      </c>
      <c r="X24" s="133">
        <f t="shared" si="52"/>
        <v>11126016</v>
      </c>
      <c r="Y24" s="133">
        <f>P16</f>
        <v>603749.99999999988</v>
      </c>
      <c r="Z24" s="107"/>
      <c r="AB24" s="197" t="s">
        <v>269</v>
      </c>
      <c r="AC24" s="133">
        <f>T16</f>
        <v>12889418.4</v>
      </c>
      <c r="AD24" s="133">
        <f>U16</f>
        <v>0</v>
      </c>
      <c r="AE24" s="133">
        <f>V16</f>
        <v>0</v>
      </c>
      <c r="AF24" s="133">
        <f>W16</f>
        <v>0</v>
      </c>
      <c r="AG24" s="133">
        <f t="shared" si="53"/>
        <v>12889418.4</v>
      </c>
      <c r="AH24" s="133">
        <f>Y16</f>
        <v>694312.49999999988</v>
      </c>
      <c r="AI24" s="107"/>
      <c r="AK24" s="197" t="s">
        <v>269</v>
      </c>
      <c r="AL24" s="133">
        <f>AC16</f>
        <v>14917331.16</v>
      </c>
      <c r="AM24" s="133">
        <f>AD16</f>
        <v>0</v>
      </c>
      <c r="AN24" s="133">
        <f>AE16</f>
        <v>0</v>
      </c>
      <c r="AO24" s="133">
        <f>AF16</f>
        <v>0</v>
      </c>
      <c r="AP24" s="133">
        <f t="shared" si="54"/>
        <v>14917331.16</v>
      </c>
      <c r="AQ24" s="133">
        <f>AH16</f>
        <v>798459.37499999977</v>
      </c>
      <c r="AR24" s="107"/>
    </row>
    <row r="25" spans="1:44" ht="16.5" customHeight="1">
      <c r="A25" s="241" t="s">
        <v>272</v>
      </c>
      <c r="B25" s="240"/>
      <c r="C25" s="204"/>
      <c r="D25" s="204"/>
      <c r="E25" s="204"/>
      <c r="F25" s="205">
        <v>7500000</v>
      </c>
      <c r="G25" s="68"/>
      <c r="H25" s="3"/>
      <c r="I25" s="3"/>
      <c r="J25" s="230" t="s">
        <v>272</v>
      </c>
      <c r="K25" s="238"/>
      <c r="L25" s="238"/>
      <c r="M25" s="238"/>
      <c r="N25" s="238"/>
      <c r="O25" s="133">
        <f>B53</f>
        <v>13437960</v>
      </c>
      <c r="P25" s="238"/>
      <c r="Q25" s="99"/>
      <c r="S25" s="230" t="s">
        <v>272</v>
      </c>
      <c r="T25" s="238"/>
      <c r="U25" s="238"/>
      <c r="V25" s="238"/>
      <c r="W25" s="238"/>
      <c r="X25" s="133">
        <f ca="1">HLOOKUP($C$4,$K$70:$N$85,14,0)+HLOOKUP($B$4,$K$40:$N$55,14,0)</f>
        <v>29836310.57003732</v>
      </c>
      <c r="Y25" s="238"/>
      <c r="Z25" s="99"/>
      <c r="AB25" s="230" t="s">
        <v>272</v>
      </c>
      <c r="AC25" s="238"/>
      <c r="AD25" s="238"/>
      <c r="AE25" s="238"/>
      <c r="AF25" s="238"/>
      <c r="AG25" s="133">
        <f ca="1">HLOOKUP($C$4,$T$70:$W$85,14,0)+HLOOKUP($B$4,$T$40:$W$55,14,0)</f>
        <v>54370034.636731133</v>
      </c>
      <c r="AH25" s="238"/>
      <c r="AI25" s="99"/>
      <c r="AK25" s="230" t="s">
        <v>272</v>
      </c>
      <c r="AL25" s="238"/>
      <c r="AM25" s="238"/>
      <c r="AN25" s="238"/>
      <c r="AO25" s="238"/>
      <c r="AP25" s="133">
        <f ca="1">HLOOKUP($C$4,$AC$70:$AF$85,14,0)+HLOOKUP($B$4,$AC$40:$AF$55,14,0)</f>
        <v>72247761.047563091</v>
      </c>
      <c r="AQ25" s="238"/>
      <c r="AR25" s="99"/>
    </row>
    <row r="26" spans="1:44" ht="16.5" customHeight="1">
      <c r="A26" s="119" t="s">
        <v>270</v>
      </c>
      <c r="B26" s="240"/>
      <c r="C26" s="204"/>
      <c r="D26" s="204"/>
      <c r="E26" s="204"/>
      <c r="F26" s="133">
        <f>SUM(F24:F25)*150%</f>
        <v>20775000</v>
      </c>
      <c r="G26" s="3"/>
      <c r="H26" s="3"/>
      <c r="I26" s="3"/>
      <c r="J26" s="237" t="s">
        <v>270</v>
      </c>
      <c r="K26" s="238"/>
      <c r="L26" s="238"/>
      <c r="M26" s="238"/>
      <c r="N26" s="238"/>
      <c r="O26" s="258">
        <f>SUM(O24:O25)*200%</f>
        <v>41550000</v>
      </c>
      <c r="P26" s="238"/>
      <c r="Q26" s="99"/>
      <c r="S26" s="237" t="s">
        <v>270</v>
      </c>
      <c r="T26" s="238"/>
      <c r="U26" s="238"/>
      <c r="V26" s="238"/>
      <c r="W26" s="238"/>
      <c r="X26" s="258">
        <f ca="1">SUM(X24:X25)*200%</f>
        <v>81924653.140074641</v>
      </c>
      <c r="Y26" s="238"/>
      <c r="Z26" s="99"/>
      <c r="AB26" s="237" t="s">
        <v>270</v>
      </c>
      <c r="AC26" s="238"/>
      <c r="AD26" s="238"/>
      <c r="AE26" s="238"/>
      <c r="AF26" s="238"/>
      <c r="AG26" s="258">
        <f ca="1">SUM(AG24:AG25)*200%</f>
        <v>134518906.07346228</v>
      </c>
      <c r="AH26" s="238"/>
      <c r="AI26" s="99"/>
      <c r="AK26" s="237" t="s">
        <v>270</v>
      </c>
      <c r="AL26" s="238"/>
      <c r="AM26" s="238"/>
      <c r="AN26" s="238"/>
      <c r="AO26" s="238"/>
      <c r="AP26" s="258">
        <f ca="1">SUM(AP24:AP25)*200%</f>
        <v>174330184.41512617</v>
      </c>
      <c r="AQ26" s="238"/>
      <c r="AR26" s="99"/>
    </row>
    <row r="27" spans="1:44" ht="16.5" customHeight="1">
      <c r="A27" s="202"/>
      <c r="B27" s="15"/>
      <c r="C27" s="3"/>
      <c r="D27" s="3"/>
      <c r="E27" s="3"/>
      <c r="F27" s="3"/>
      <c r="G27" s="17"/>
      <c r="H27" s="3"/>
      <c r="I27" s="3"/>
      <c r="J27" s="236"/>
      <c r="K27" s="3"/>
      <c r="L27" s="3"/>
      <c r="M27" s="3"/>
      <c r="N27" s="3"/>
      <c r="O27" s="3"/>
      <c r="P27" s="17"/>
      <c r="Q27" s="17"/>
      <c r="S27" s="236"/>
      <c r="T27" s="3"/>
      <c r="U27" s="3"/>
      <c r="V27" s="3"/>
      <c r="W27" s="3"/>
      <c r="X27" s="3"/>
      <c r="Y27" s="17"/>
      <c r="Z27" s="17"/>
      <c r="AB27" s="236"/>
      <c r="AC27" s="3"/>
      <c r="AD27" s="3"/>
      <c r="AE27" s="3"/>
      <c r="AF27" s="3"/>
      <c r="AG27" s="3"/>
      <c r="AH27" s="17"/>
      <c r="AI27" s="17"/>
      <c r="AK27" s="236"/>
      <c r="AL27" s="3"/>
      <c r="AM27" s="3"/>
      <c r="AN27" s="3"/>
      <c r="AO27" s="3"/>
      <c r="AP27" s="3"/>
      <c r="AQ27" s="17"/>
      <c r="AR27" s="17"/>
    </row>
    <row r="28" spans="1:44" ht="16.5" hidden="1" customHeight="1">
      <c r="A28" s="192">
        <f>A9</f>
        <v>2026</v>
      </c>
      <c r="B28" s="186" t="s">
        <v>0</v>
      </c>
      <c r="C28" s="244" t="s">
        <v>314</v>
      </c>
      <c r="D28" s="3"/>
      <c r="E28" s="3"/>
      <c r="F28" s="3"/>
      <c r="G28" s="3"/>
      <c r="H28" s="3"/>
      <c r="I28" s="3"/>
      <c r="J28" s="193">
        <f>A28+1</f>
        <v>2027</v>
      </c>
      <c r="K28" s="186" t="s">
        <v>14</v>
      </c>
      <c r="L28" s="186" t="s">
        <v>14</v>
      </c>
      <c r="M28" s="186" t="s">
        <v>14</v>
      </c>
      <c r="N28" s="186" t="s">
        <v>14</v>
      </c>
      <c r="O28" s="3"/>
      <c r="P28" s="3"/>
      <c r="Q28" s="3"/>
      <c r="S28" s="193">
        <f>J28+1</f>
        <v>2028</v>
      </c>
      <c r="T28" s="186" t="s">
        <v>14</v>
      </c>
      <c r="U28" s="186" t="s">
        <v>14</v>
      </c>
      <c r="V28" s="186" t="s">
        <v>14</v>
      </c>
      <c r="W28" s="186" t="s">
        <v>14</v>
      </c>
      <c r="X28" s="3"/>
      <c r="Y28" s="3"/>
      <c r="Z28" s="3"/>
      <c r="AB28" s="193">
        <f>S28+1</f>
        <v>2029</v>
      </c>
      <c r="AC28" s="186" t="s">
        <v>0</v>
      </c>
      <c r="AD28" s="186" t="s">
        <v>14</v>
      </c>
      <c r="AE28" s="186" t="s">
        <v>14</v>
      </c>
      <c r="AF28" s="186" t="s">
        <v>14</v>
      </c>
      <c r="AG28" s="3"/>
      <c r="AH28" s="3"/>
      <c r="AI28" s="3"/>
      <c r="AK28" s="193">
        <f>AB28+1</f>
        <v>2030</v>
      </c>
      <c r="AL28" s="186" t="s">
        <v>14</v>
      </c>
      <c r="AM28" s="186" t="s">
        <v>14</v>
      </c>
      <c r="AN28" s="186" t="s">
        <v>14</v>
      </c>
      <c r="AO28" s="186" t="s">
        <v>14</v>
      </c>
      <c r="AP28" s="3"/>
      <c r="AQ28" s="3"/>
      <c r="AR28" s="3"/>
    </row>
    <row r="29" spans="1:44" ht="16.5" hidden="1" customHeight="1">
      <c r="A29" s="8" t="s">
        <v>308</v>
      </c>
      <c r="B29" s="3"/>
      <c r="C29" s="3"/>
      <c r="D29" s="3"/>
      <c r="E29" s="3"/>
      <c r="F29" s="137"/>
      <c r="G29" s="137"/>
      <c r="H29" s="137"/>
      <c r="I29" s="3"/>
      <c r="J29" s="8" t="s">
        <v>276</v>
      </c>
      <c r="K29" s="186"/>
      <c r="L29" s="186" t="s">
        <v>274</v>
      </c>
      <c r="M29" s="186"/>
      <c r="N29" s="186"/>
      <c r="O29" s="244"/>
      <c r="P29" s="3"/>
      <c r="Q29" s="3"/>
      <c r="S29" s="8" t="s">
        <v>101</v>
      </c>
      <c r="T29" s="186"/>
      <c r="U29" s="186" t="s">
        <v>274</v>
      </c>
      <c r="V29" s="186"/>
      <c r="W29" s="186"/>
      <c r="X29" s="3"/>
      <c r="Y29" s="3"/>
      <c r="Z29" s="3"/>
      <c r="AB29" s="8" t="s">
        <v>101</v>
      </c>
      <c r="AC29" s="186"/>
      <c r="AD29" s="186" t="s">
        <v>274</v>
      </c>
      <c r="AE29" s="186"/>
      <c r="AF29" s="186"/>
      <c r="AG29" s="3"/>
      <c r="AH29" s="3"/>
      <c r="AI29" s="3"/>
      <c r="AK29" s="8" t="s">
        <v>101</v>
      </c>
      <c r="AL29" s="186"/>
      <c r="AM29" s="186" t="s">
        <v>274</v>
      </c>
      <c r="AN29" s="78"/>
      <c r="AO29" s="79"/>
      <c r="AP29" s="3"/>
      <c r="AQ29" s="3"/>
      <c r="AR29" s="3"/>
    </row>
    <row r="30" spans="1:44" ht="16.5" hidden="1" customHeight="1">
      <c r="A30" s="8" t="s">
        <v>228</v>
      </c>
      <c r="B30" s="227">
        <f>HLOOKUP(B$9,기초!$C$5:$I$16,MATCH($A30,기초!$A$5:$A$16,0),0)</f>
        <v>1</v>
      </c>
      <c r="C30" s="227">
        <f>HLOOKUP(C$9,기초!$C$5:$I$16,MATCH($A30,기초!$A$5:$A$16,0),0)</f>
        <v>0.5</v>
      </c>
      <c r="D30" s="227">
        <f>HLOOKUP(D$9,기초!$C$5:$I$16,MATCH($A30,기초!$A$5:$A$16,0),0)</f>
        <v>1</v>
      </c>
      <c r="E30" s="227">
        <f>HLOOKUP(E$9,기초!$C$5:$I$16,MATCH($A30,기초!$A$5:$A$16,0),0)</f>
        <v>1</v>
      </c>
      <c r="F30" s="17"/>
      <c r="G30" s="137"/>
      <c r="H30" s="137"/>
      <c r="I30" s="3"/>
      <c r="J30" s="8" t="s">
        <v>102</v>
      </c>
      <c r="K30" s="121">
        <f>B30</f>
        <v>1</v>
      </c>
      <c r="L30" s="121">
        <f>C30</f>
        <v>0.5</v>
      </c>
      <c r="M30" s="121">
        <f>D30</f>
        <v>1</v>
      </c>
      <c r="N30" s="121">
        <f>E30</f>
        <v>1</v>
      </c>
      <c r="O30" s="3"/>
      <c r="P30" s="3"/>
      <c r="Q30" s="3"/>
      <c r="S30" s="8" t="s">
        <v>102</v>
      </c>
      <c r="T30" s="10">
        <f>K30</f>
        <v>1</v>
      </c>
      <c r="U30" s="10">
        <f t="shared" ref="U30:W30" si="55">L30</f>
        <v>0.5</v>
      </c>
      <c r="V30" s="10">
        <f t="shared" si="55"/>
        <v>1</v>
      </c>
      <c r="W30" s="10">
        <f t="shared" si="55"/>
        <v>1</v>
      </c>
      <c r="X30" s="3"/>
      <c r="Y30" s="3"/>
      <c r="Z30" s="3"/>
      <c r="AB30" s="8" t="s">
        <v>102</v>
      </c>
      <c r="AC30" s="121">
        <f>K30</f>
        <v>1</v>
      </c>
      <c r="AD30" s="121">
        <f>L30</f>
        <v>0.5</v>
      </c>
      <c r="AE30" s="121">
        <f>M30</f>
        <v>1</v>
      </c>
      <c r="AF30" s="121">
        <f>N30</f>
        <v>1</v>
      </c>
      <c r="AG30" s="3"/>
      <c r="AH30" s="3"/>
      <c r="AI30" s="3"/>
      <c r="AK30" s="8" t="s">
        <v>102</v>
      </c>
      <c r="AL30" s="10">
        <f>T30</f>
        <v>1</v>
      </c>
      <c r="AM30" s="10">
        <f>U30</f>
        <v>0.5</v>
      </c>
      <c r="AN30" s="10">
        <f>V30</f>
        <v>1</v>
      </c>
      <c r="AO30" s="10">
        <f>W30</f>
        <v>1</v>
      </c>
      <c r="AP30" s="3"/>
      <c r="AQ30" s="3"/>
      <c r="AR30" s="3"/>
    </row>
    <row r="31" spans="1:44" ht="16.5" hidden="1" customHeight="1">
      <c r="A31" s="191" t="s">
        <v>42</v>
      </c>
      <c r="B31" s="228">
        <v>4</v>
      </c>
      <c r="C31" s="219">
        <f>HLOOKUP(C$9,기초!$C$5:$I$16,MATCH($A31,기초!$A$5:$A$16,0),0)</f>
        <v>3</v>
      </c>
      <c r="D31" s="219">
        <f>HLOOKUP(D$9,기초!$C$5:$I$16,MATCH($A31,기초!$A$5:$A$16,0),0)</f>
        <v>4</v>
      </c>
      <c r="E31" s="219">
        <f>HLOOKUP(E$9,기초!$C$5:$I$16,MATCH($A31,기초!$A$5:$A$16,0),0)</f>
        <v>5</v>
      </c>
      <c r="F31" s="17"/>
      <c r="G31" s="137"/>
      <c r="H31" s="137"/>
      <c r="I31" s="3"/>
      <c r="J31" s="80" t="s">
        <v>103</v>
      </c>
      <c r="K31" s="219">
        <f>B31+1</f>
        <v>5</v>
      </c>
      <c r="L31" s="219">
        <f>C31+1</f>
        <v>4</v>
      </c>
      <c r="M31" s="219">
        <f>D31+1</f>
        <v>5</v>
      </c>
      <c r="N31" s="219">
        <f>E31+1</f>
        <v>6</v>
      </c>
      <c r="O31" s="3"/>
      <c r="P31" s="3"/>
      <c r="Q31" s="3"/>
      <c r="S31" s="81"/>
      <c r="T31" s="17"/>
      <c r="U31" s="17"/>
      <c r="V31" s="17"/>
      <c r="W31" s="17"/>
      <c r="X31" s="3"/>
      <c r="Y31" s="3"/>
      <c r="Z31" s="3"/>
      <c r="AB31" s="81"/>
      <c r="AC31" s="17"/>
      <c r="AD31" s="17"/>
      <c r="AE31" s="17"/>
      <c r="AF31" s="17"/>
      <c r="AG31" s="3"/>
      <c r="AH31" s="3"/>
      <c r="AI31" s="3"/>
      <c r="AK31" s="81"/>
      <c r="AL31" s="17"/>
      <c r="AM31" s="17"/>
      <c r="AN31" s="17"/>
      <c r="AO31" s="17"/>
      <c r="AP31" s="3"/>
      <c r="AQ31" s="3"/>
      <c r="AR31" s="3"/>
    </row>
    <row r="32" spans="1:44" ht="16.5" hidden="1" customHeight="1">
      <c r="A32" s="8" t="s">
        <v>104</v>
      </c>
      <c r="B32" s="10" t="b">
        <f>IF(B$10="1세대1주택",IF(B31&gt;=15,50%,IF(B31&gt;=10,40%,IF(B31&gt;=5,20%,0))))</f>
        <v>0</v>
      </c>
      <c r="C32" s="17"/>
      <c r="D32" s="17"/>
      <c r="E32" s="17"/>
      <c r="F32" s="17"/>
      <c r="G32" s="137"/>
      <c r="H32" s="3"/>
      <c r="I32" s="3"/>
      <c r="J32" s="8" t="s">
        <v>105</v>
      </c>
      <c r="K32" s="121" t="b">
        <f>IF(K$10="1세대1주택",IF(K31&gt;=15,25%,IF(K31&gt;=10,20%,IF(K31&gt;=5,10%,0))))</f>
        <v>0</v>
      </c>
      <c r="L32" s="121" t="b">
        <f t="shared" ref="L32:N32" si="56">IF(L$10="1세대1주택",IF(L31&gt;=15,25%,IF(L31&gt;=10,20%,IF(L31&gt;=5,10%,0))))</f>
        <v>0</v>
      </c>
      <c r="M32" s="121" t="b">
        <f t="shared" si="56"/>
        <v>0</v>
      </c>
      <c r="N32" s="121" t="b">
        <f t="shared" si="56"/>
        <v>0</v>
      </c>
      <c r="O32" s="17"/>
      <c r="P32" s="3"/>
      <c r="Q32" s="3"/>
      <c r="S32" s="81"/>
      <c r="T32" s="3"/>
      <c r="U32" s="17"/>
      <c r="V32" s="17"/>
      <c r="W32" s="17"/>
      <c r="X32" s="17"/>
      <c r="Y32" s="3"/>
      <c r="Z32" s="3"/>
      <c r="AB32" s="81"/>
      <c r="AC32" s="3"/>
      <c r="AD32" s="17"/>
      <c r="AE32" s="17"/>
      <c r="AF32" s="17"/>
      <c r="AG32" s="17"/>
      <c r="AH32" s="3"/>
      <c r="AI32" s="3"/>
      <c r="AK32" s="81"/>
      <c r="AL32" s="3"/>
      <c r="AM32" s="17"/>
      <c r="AN32" s="17"/>
      <c r="AO32" s="17"/>
      <c r="AP32" s="17"/>
      <c r="AQ32" s="3"/>
      <c r="AR32" s="3"/>
    </row>
    <row r="33" spans="1:44" ht="16.5" hidden="1" customHeight="1">
      <c r="A33" s="8" t="s">
        <v>106</v>
      </c>
      <c r="B33" s="2">
        <v>1</v>
      </c>
      <c r="C33" s="2">
        <f t="shared" ref="C33:E33" si="57">$B$3</f>
        <v>4</v>
      </c>
      <c r="D33" s="2">
        <f t="shared" si="57"/>
        <v>4</v>
      </c>
      <c r="E33" s="2">
        <f t="shared" si="57"/>
        <v>4</v>
      </c>
      <c r="G33" s="358"/>
      <c r="H33" s="3"/>
      <c r="I33" s="3"/>
      <c r="J33" s="8" t="s">
        <v>106</v>
      </c>
      <c r="K33" s="119">
        <f>$B$3</f>
        <v>4</v>
      </c>
      <c r="L33" s="119">
        <f t="shared" ref="L33:N33" si="58">$B$3</f>
        <v>4</v>
      </c>
      <c r="M33" s="119">
        <f t="shared" si="58"/>
        <v>4</v>
      </c>
      <c r="N33" s="119">
        <f t="shared" si="58"/>
        <v>4</v>
      </c>
      <c r="O33" s="17"/>
      <c r="P33" s="3"/>
      <c r="Q33" s="3"/>
      <c r="S33" s="8" t="s">
        <v>106</v>
      </c>
      <c r="T33" s="2">
        <f>K33</f>
        <v>4</v>
      </c>
      <c r="U33" s="2">
        <f>L33</f>
        <v>4</v>
      </c>
      <c r="V33" s="2">
        <f>M33</f>
        <v>4</v>
      </c>
      <c r="W33" s="2">
        <f>N33</f>
        <v>4</v>
      </c>
      <c r="X33" s="17"/>
      <c r="Y33" s="3"/>
      <c r="Z33" s="3"/>
      <c r="AB33" s="8" t="s">
        <v>106</v>
      </c>
      <c r="AC33" s="2">
        <f>T33</f>
        <v>4</v>
      </c>
      <c r="AD33" s="2">
        <f t="shared" ref="AD33:AF33" si="59">U33</f>
        <v>4</v>
      </c>
      <c r="AE33" s="2">
        <f t="shared" si="59"/>
        <v>4</v>
      </c>
      <c r="AF33" s="2">
        <f t="shared" si="59"/>
        <v>4</v>
      </c>
      <c r="AG33" s="17"/>
      <c r="AH33" s="3"/>
      <c r="AI33" s="3"/>
      <c r="AK33" s="8" t="s">
        <v>106</v>
      </c>
      <c r="AL33" s="2">
        <f>AC33</f>
        <v>4</v>
      </c>
      <c r="AM33" s="2">
        <f t="shared" ref="AM33" si="60">AD33</f>
        <v>4</v>
      </c>
      <c r="AN33" s="2">
        <f t="shared" ref="AN33" si="61">AE33</f>
        <v>4</v>
      </c>
      <c r="AO33" s="2">
        <f t="shared" ref="AO33" si="62">AF33</f>
        <v>4</v>
      </c>
      <c r="AP33" s="17"/>
      <c r="AQ33" s="3"/>
      <c r="AR33" s="3"/>
    </row>
    <row r="34" spans="1:44" ht="16.5" hidden="1" customHeight="1">
      <c r="A34" s="8" t="s">
        <v>77</v>
      </c>
      <c r="B34" s="2" t="str">
        <f>IF(B33&lt;=2,"기본세율","중과세율")</f>
        <v>기본세율</v>
      </c>
      <c r="C34" s="17"/>
      <c r="D34" s="17"/>
      <c r="E34" s="17"/>
      <c r="F34" s="17"/>
      <c r="G34" s="3"/>
      <c r="H34" s="3"/>
      <c r="I34" s="3"/>
      <c r="J34" s="8" t="s">
        <v>77</v>
      </c>
      <c r="K34" s="119" t="str">
        <f>IF(K33&lt;=2,"기본세율","중과세율")</f>
        <v>중과세율</v>
      </c>
      <c r="L34" s="119" t="str">
        <f t="shared" ref="L34:N34" si="63">IF(L33&lt;=2,"기본세율","중과세율")</f>
        <v>중과세율</v>
      </c>
      <c r="M34" s="119" t="str">
        <f t="shared" si="63"/>
        <v>중과세율</v>
      </c>
      <c r="N34" s="119" t="str">
        <f t="shared" si="63"/>
        <v>중과세율</v>
      </c>
      <c r="O34" s="17"/>
      <c r="P34" s="3"/>
      <c r="Q34" s="3"/>
      <c r="S34" s="8" t="s">
        <v>77</v>
      </c>
      <c r="T34" s="2" t="str">
        <f>IF(T33&lt;=2,"기본세율","중과세율")</f>
        <v>중과세율</v>
      </c>
      <c r="U34" s="2" t="str">
        <f t="shared" ref="U34:W34" si="64">IF(U33&lt;=2,"기본세율","중과세율")</f>
        <v>중과세율</v>
      </c>
      <c r="V34" s="2" t="str">
        <f t="shared" si="64"/>
        <v>중과세율</v>
      </c>
      <c r="W34" s="2" t="str">
        <f t="shared" si="64"/>
        <v>중과세율</v>
      </c>
      <c r="X34" s="17"/>
      <c r="Y34" s="3"/>
      <c r="Z34" s="3"/>
      <c r="AB34" s="8" t="s">
        <v>77</v>
      </c>
      <c r="AC34" s="2" t="str">
        <f>IF(AC33&lt;=2,"기본세율","중과세율")</f>
        <v>중과세율</v>
      </c>
      <c r="AD34" s="2" t="str">
        <f t="shared" ref="AD34:AF34" si="65">IF(AD33&lt;=2,"기본세율","중과세율")</f>
        <v>중과세율</v>
      </c>
      <c r="AE34" s="2" t="str">
        <f t="shared" si="65"/>
        <v>중과세율</v>
      </c>
      <c r="AF34" s="2" t="str">
        <f t="shared" si="65"/>
        <v>중과세율</v>
      </c>
      <c r="AG34" s="17"/>
      <c r="AH34" s="3"/>
      <c r="AI34" s="3"/>
      <c r="AK34" s="8" t="s">
        <v>77</v>
      </c>
      <c r="AL34" s="2" t="str">
        <f>IF(AL33&lt;=2,"기본세율","중과세율")</f>
        <v>중과세율</v>
      </c>
      <c r="AM34" s="2" t="str">
        <f t="shared" ref="AM34" si="66">IF(AM33&lt;=2,"기본세율","중과세율")</f>
        <v>중과세율</v>
      </c>
      <c r="AN34" s="2" t="str">
        <f t="shared" ref="AN34" si="67">IF(AN33&lt;=2,"기본세율","중과세율")</f>
        <v>중과세율</v>
      </c>
      <c r="AO34" s="2" t="str">
        <f t="shared" ref="AO34" si="68">IF(AO33&lt;=2,"기본세율","중과세율")</f>
        <v>중과세율</v>
      </c>
      <c r="AP34" s="17"/>
      <c r="AQ34" s="3"/>
      <c r="AR34" s="3"/>
    </row>
    <row r="35" spans="1:44" ht="16.5" hidden="1" customHeight="1">
      <c r="A35" s="355" t="s">
        <v>234</v>
      </c>
      <c r="B35" s="132">
        <f>HLOOKUP(B$9,기초!$C$5:$I$16,MATCH($J35,기초!$A$5:$A$16,0),0)</f>
        <v>5</v>
      </c>
      <c r="C35" s="132">
        <f>HLOOKUP(C$9,기초!$C$5:$I$16,MATCH($J35,기초!$A$5:$A$16,0),0)</f>
        <v>3</v>
      </c>
      <c r="D35" s="132">
        <f>HLOOKUP(D$9,기초!$C$5:$I$16,MATCH($J35,기초!$A$5:$A$16,0),0)</f>
        <v>3</v>
      </c>
      <c r="E35" s="132">
        <f>HLOOKUP(E$9,기초!$C$5:$I$16,MATCH($J35,기초!$A$5:$A$16,0),0)</f>
        <v>2</v>
      </c>
      <c r="F35" s="17"/>
      <c r="G35" s="3"/>
      <c r="H35" s="3"/>
      <c r="I35" s="3"/>
      <c r="J35" s="259" t="s">
        <v>277</v>
      </c>
      <c r="K35" s="219">
        <f>B35+1</f>
        <v>6</v>
      </c>
      <c r="L35" s="219">
        <f>C35+1</f>
        <v>4</v>
      </c>
      <c r="M35" s="219">
        <f>D35+1</f>
        <v>4</v>
      </c>
      <c r="N35" s="219">
        <f>E35+1</f>
        <v>3</v>
      </c>
      <c r="O35" s="17"/>
      <c r="P35" s="137"/>
      <c r="Q35" s="3"/>
      <c r="S35" s="259" t="s">
        <v>280</v>
      </c>
      <c r="T35" s="22">
        <f>K35+1</f>
        <v>7</v>
      </c>
      <c r="U35" s="22">
        <f>L35+1</f>
        <v>5</v>
      </c>
      <c r="V35" s="22">
        <f>M35+1</f>
        <v>5</v>
      </c>
      <c r="W35" s="22">
        <f>N35+1</f>
        <v>4</v>
      </c>
      <c r="X35" s="17"/>
      <c r="Y35" s="3"/>
      <c r="Z35" s="3"/>
      <c r="AB35" s="259" t="s">
        <v>280</v>
      </c>
      <c r="AC35" s="22">
        <f>T35+1</f>
        <v>8</v>
      </c>
      <c r="AD35" s="22">
        <f>U35+1</f>
        <v>6</v>
      </c>
      <c r="AE35" s="22">
        <f>V35+1</f>
        <v>6</v>
      </c>
      <c r="AF35" s="22">
        <f>W35+1</f>
        <v>5</v>
      </c>
      <c r="AG35" s="17"/>
      <c r="AH35" s="3"/>
      <c r="AI35" s="3"/>
      <c r="AK35" s="259" t="s">
        <v>280</v>
      </c>
      <c r="AL35" s="22">
        <f>AC35+1</f>
        <v>9</v>
      </c>
      <c r="AM35" s="22">
        <f t="shared" ref="AM35" si="69">AD35+1</f>
        <v>7</v>
      </c>
      <c r="AN35" s="22">
        <f t="shared" ref="AN35" si="70">AE35+1</f>
        <v>7</v>
      </c>
      <c r="AO35" s="22">
        <f t="shared" ref="AO35" si="71">AF35+1</f>
        <v>6</v>
      </c>
      <c r="AP35" s="17"/>
      <c r="AQ35" s="3"/>
      <c r="AR35" s="3"/>
    </row>
    <row r="36" spans="1:44" ht="16.5" hidden="1" customHeight="1">
      <c r="A36" s="81"/>
      <c r="B36" s="3"/>
      <c r="C36" s="17"/>
      <c r="D36" s="17"/>
      <c r="E36" s="17"/>
      <c r="F36" s="17"/>
      <c r="G36" s="3"/>
      <c r="H36" s="3"/>
      <c r="I36" s="3"/>
      <c r="J36" s="259" t="s">
        <v>278</v>
      </c>
      <c r="K36" s="121" t="b">
        <f>IF(AND(K$10="1세대1주택",K29="거주"),IF(K35&gt;=15,50%,IF(K35&gt;=10,40%,IF(K35&gt;=5,20%,0))))</f>
        <v>0</v>
      </c>
      <c r="L36" s="121" t="b">
        <f>IF(AND(L$10="1세대1주택",L29="거주"),IF(L35&gt;=15,50%,IF(L35&gt;=10,40%,IF(L35&gt;=5,20%,0))))</f>
        <v>0</v>
      </c>
      <c r="M36" s="121" t="b">
        <f>IF(AND(M$10="1세대1주택",M29="거주"),IF(M35&gt;=15,50%,IF(M35&gt;=10,40%,IF(M35&gt;=5,20%,0))))</f>
        <v>0</v>
      </c>
      <c r="N36" s="121" t="b">
        <f>IF(AND(N$10="1세대1주택",N29="거주"),IF(N35&gt;=15,50%,IF(N35&gt;=10,40%,IF(N35&gt;=5,20%,0))))</f>
        <v>0</v>
      </c>
      <c r="O36" s="17"/>
      <c r="P36" s="137"/>
      <c r="Q36" s="356"/>
      <c r="S36" s="259" t="s">
        <v>278</v>
      </c>
      <c r="T36" s="10" t="b">
        <f>IF(AND(T$10="1세대1주택",T29="거주"),IF(T35&gt;=15,50%,IF(T35&gt;=10,40%,IF(T35&gt;=5,20%,0))))</f>
        <v>0</v>
      </c>
      <c r="U36" s="10" t="b">
        <f t="shared" ref="U36:W36" si="72">IF(AND(U$10="1세대1주택",U29="거주"),IF(U35&gt;=15,50%,IF(U35&gt;=10,40%,IF(U35&gt;=5,20%,0))))</f>
        <v>0</v>
      </c>
      <c r="V36" s="10" t="b">
        <f t="shared" si="72"/>
        <v>0</v>
      </c>
      <c r="W36" s="10" t="b">
        <f t="shared" si="72"/>
        <v>0</v>
      </c>
      <c r="X36" s="17"/>
      <c r="Y36" s="3"/>
      <c r="Z36" s="3"/>
      <c r="AB36" s="259" t="s">
        <v>278</v>
      </c>
      <c r="AC36" s="10" t="b">
        <f>IF(AND(AC$10="1세대1주택",AC29="거주"),IF(AC35&gt;=15,50%,IF(AC35&gt;=10,40%,IF(AC35&gt;=5,20%,0))))</f>
        <v>0</v>
      </c>
      <c r="AD36" s="10" t="b">
        <f t="shared" ref="AD36:AF36" si="73">IF(AND(AD$10="1세대1주택",AD29="거주"),IF(AD35&gt;=15,50%,IF(AD35&gt;=10,40%,IF(AD35&gt;=5,20%,0))))</f>
        <v>0</v>
      </c>
      <c r="AE36" s="10" t="b">
        <f t="shared" si="73"/>
        <v>0</v>
      </c>
      <c r="AF36" s="10" t="b">
        <f t="shared" si="73"/>
        <v>0</v>
      </c>
      <c r="AG36" s="17"/>
      <c r="AH36" s="3"/>
      <c r="AI36" s="3"/>
      <c r="AK36" s="259" t="s">
        <v>278</v>
      </c>
      <c r="AL36" s="10" t="b">
        <f>IF(AND(AL28="1세대1주택",AL29="거주"),IF(AL35&gt;=15,50%,IF(AL35&gt;=10,40%,IF(AL35&gt;=5,20%,0))))</f>
        <v>0</v>
      </c>
      <c r="AM36" s="10" t="b">
        <f t="shared" ref="AM36:AO36" si="74">IF(AND(AM28="1세대1주택",AM29="거주"),IF(AM35&gt;=15,50%,IF(AM35&gt;=10,40%,IF(AM35&gt;=5,20%,0))))</f>
        <v>0</v>
      </c>
      <c r="AN36" s="10" t="b">
        <f t="shared" si="74"/>
        <v>0</v>
      </c>
      <c r="AO36" s="10" t="b">
        <f t="shared" si="74"/>
        <v>0</v>
      </c>
      <c r="AP36" s="17"/>
      <c r="AQ36" s="3"/>
      <c r="AR36" s="3"/>
    </row>
    <row r="37" spans="1:44" ht="16.5" hidden="1" customHeight="1">
      <c r="A37" s="8" t="s">
        <v>3</v>
      </c>
      <c r="B37" s="219">
        <f>기초!B2</f>
        <v>40</v>
      </c>
      <c r="C37" s="17"/>
      <c r="D37" s="17"/>
      <c r="E37" s="17"/>
      <c r="F37" s="17"/>
      <c r="G37" s="3"/>
      <c r="H37" s="137"/>
      <c r="I37" s="3"/>
      <c r="J37" s="8" t="s">
        <v>108</v>
      </c>
      <c r="K37" s="354">
        <f>B37+1</f>
        <v>41</v>
      </c>
      <c r="L37" s="219">
        <f>K37</f>
        <v>41</v>
      </c>
      <c r="M37" s="219">
        <f>L37</f>
        <v>41</v>
      </c>
      <c r="N37" s="219">
        <f>M37</f>
        <v>41</v>
      </c>
      <c r="O37" s="17"/>
      <c r="P37" s="3"/>
      <c r="Q37" s="3"/>
      <c r="S37" s="8" t="s">
        <v>108</v>
      </c>
      <c r="T37" s="49">
        <f>K37+1</f>
        <v>42</v>
      </c>
      <c r="U37" s="49">
        <f>L37+1</f>
        <v>42</v>
      </c>
      <c r="V37" s="49">
        <f>M37+1</f>
        <v>42</v>
      </c>
      <c r="W37" s="49">
        <f>N37+1</f>
        <v>42</v>
      </c>
      <c r="X37" s="17"/>
      <c r="Y37" s="3"/>
      <c r="Z37" s="3"/>
      <c r="AB37" s="8" t="s">
        <v>108</v>
      </c>
      <c r="AC37" s="49">
        <f>T37+1</f>
        <v>43</v>
      </c>
      <c r="AD37" s="49">
        <f>U37+1</f>
        <v>43</v>
      </c>
      <c r="AE37" s="49">
        <f>V37+1</f>
        <v>43</v>
      </c>
      <c r="AF37" s="49">
        <f>W37+1</f>
        <v>43</v>
      </c>
      <c r="AG37" s="17"/>
      <c r="AH37" s="3"/>
      <c r="AI37" s="3"/>
      <c r="AK37" s="8" t="s">
        <v>108</v>
      </c>
      <c r="AL37" s="49">
        <f>AC37+1</f>
        <v>44</v>
      </c>
      <c r="AM37" s="49">
        <f t="shared" ref="AM37:AO37" si="75">AD37+1</f>
        <v>44</v>
      </c>
      <c r="AN37" s="49">
        <f t="shared" si="75"/>
        <v>44</v>
      </c>
      <c r="AO37" s="49">
        <f t="shared" si="75"/>
        <v>44</v>
      </c>
      <c r="AP37" s="17"/>
      <c r="AQ37" s="3"/>
      <c r="AR37" s="3"/>
    </row>
    <row r="38" spans="1:44" ht="16.5" hidden="1" customHeight="1">
      <c r="A38" s="8" t="s">
        <v>110</v>
      </c>
      <c r="B38" s="10" t="b">
        <f>IF(B$10="1세대1주택",IF(B37&gt;=70,40%,IF(B37&gt;=65,30%,IF(B37&gt;=60,20%,0))))</f>
        <v>0</v>
      </c>
      <c r="C38" s="17"/>
      <c r="D38" s="17"/>
      <c r="E38" s="17"/>
      <c r="F38" s="17"/>
      <c r="G38" s="3"/>
      <c r="H38" s="137"/>
      <c r="I38" s="3"/>
      <c r="J38" s="8" t="s">
        <v>115</v>
      </c>
      <c r="K38" s="121" t="b">
        <f>IF(K$10="1세대1주택",IF(K37&gt;=70,40%,IF(K37&gt;=65,30%,IF(K37&gt;=60,20%,0))))</f>
        <v>0</v>
      </c>
      <c r="L38" s="121" t="b">
        <f>IF(L$10="1세대1주택",IF(L37&gt;=70,40%,IF(L37&gt;=65,30%,IF(L37&gt;=60,20%,0))))</f>
        <v>0</v>
      </c>
      <c r="M38" s="121" t="b">
        <f>IF(M$10="1세대1주택",IF(M37&gt;=70,40%,IF(M37&gt;=65,30%,IF(M37&gt;=60,20%,0))))</f>
        <v>0</v>
      </c>
      <c r="N38" s="121" t="b">
        <f>IF(N$10="1세대1주택",IF(N37&gt;=70,40%,IF(N37&gt;=65,30%,IF(N37&gt;=60,20%,0))))</f>
        <v>0</v>
      </c>
      <c r="O38" s="17"/>
      <c r="P38" s="3"/>
      <c r="Q38" s="3"/>
      <c r="S38" s="8" t="s">
        <v>115</v>
      </c>
      <c r="T38" s="10" t="b">
        <f>IF(T$10="1세대1주택",IF(T37&gt;=70,40%,IF(T37&gt;=65,30%,IF(T37&gt;=60,20%,0))))</f>
        <v>0</v>
      </c>
      <c r="U38" s="10" t="b">
        <f t="shared" ref="U38:W38" si="76">IF(U$10="1세대1주택",IF(U37&gt;=70,40%,IF(U37&gt;=65,30%,IF(U37&gt;=60,20%,0))))</f>
        <v>0</v>
      </c>
      <c r="V38" s="10" t="b">
        <f t="shared" si="76"/>
        <v>0</v>
      </c>
      <c r="W38" s="10" t="b">
        <f t="shared" si="76"/>
        <v>0</v>
      </c>
      <c r="X38" s="17"/>
      <c r="Y38" s="3"/>
      <c r="Z38" s="3"/>
      <c r="AB38" s="8" t="s">
        <v>115</v>
      </c>
      <c r="AC38" s="10" t="b">
        <f>IF(AC$10="1세대1주택",IF(AC37&gt;=70,40%,IF(AC37&gt;=65,30%,IF(AC37&gt;=60,20%,0))))</f>
        <v>0</v>
      </c>
      <c r="AD38" s="10" t="b">
        <f t="shared" ref="AD38:AF38" si="77">IF(AD$10="1세대1주택",IF(AD37&gt;=70,40%,IF(AD37&gt;=65,30%,IF(AD37&gt;=60,20%,0))))</f>
        <v>0</v>
      </c>
      <c r="AE38" s="10" t="b">
        <f t="shared" si="77"/>
        <v>0</v>
      </c>
      <c r="AF38" s="10" t="b">
        <f t="shared" si="77"/>
        <v>0</v>
      </c>
      <c r="AG38" s="17"/>
      <c r="AH38" s="3"/>
      <c r="AI38" s="3"/>
      <c r="AK38" s="8" t="s">
        <v>115</v>
      </c>
      <c r="AL38" s="10" t="b">
        <f>IF(AL28="1세대1주택",IF(AL37&gt;=70,40%,IF(AL37&gt;=65,30%,IF(AL37&gt;=60,20%,0))))</f>
        <v>0</v>
      </c>
      <c r="AM38" s="10" t="b">
        <f t="shared" ref="AM38:AO38" si="78">IF(AM28="1세대1주택",IF(AM37&gt;=70,40%,IF(AM37&gt;=65,30%,IF(AM37&gt;=60,20%,0))))</f>
        <v>0</v>
      </c>
      <c r="AN38" s="10" t="b">
        <f t="shared" si="78"/>
        <v>0</v>
      </c>
      <c r="AO38" s="10" t="b">
        <f t="shared" si="78"/>
        <v>0</v>
      </c>
      <c r="AP38" s="17"/>
      <c r="AQ38" s="3"/>
      <c r="AR38" s="3"/>
    </row>
    <row r="39" spans="1:44" ht="16.5" customHeight="1">
      <c r="A39" s="83"/>
      <c r="B39" s="17"/>
      <c r="C39" s="17"/>
      <c r="D39" s="17"/>
      <c r="E39" s="17"/>
      <c r="F39" s="17"/>
      <c r="G39" s="3"/>
      <c r="H39" s="3"/>
      <c r="I39" s="3"/>
      <c r="J39" s="3"/>
      <c r="K39" s="15"/>
      <c r="L39" s="17"/>
      <c r="M39" s="17"/>
      <c r="N39" s="17"/>
      <c r="O39" s="17"/>
      <c r="P39" s="3"/>
      <c r="Q39" s="3"/>
      <c r="S39" s="83"/>
      <c r="T39" s="17"/>
      <c r="U39" s="17"/>
      <c r="V39" s="17"/>
      <c r="W39" s="17"/>
      <c r="X39" s="17"/>
      <c r="Y39" s="3"/>
      <c r="Z39" s="3"/>
      <c r="AB39" s="83"/>
      <c r="AC39" s="17"/>
      <c r="AD39" s="17"/>
      <c r="AE39" s="17"/>
      <c r="AF39" s="17"/>
      <c r="AG39" s="17"/>
      <c r="AH39" s="3"/>
      <c r="AI39" s="3"/>
      <c r="AK39" s="83"/>
      <c r="AL39" s="17"/>
      <c r="AM39" s="17"/>
      <c r="AN39" s="17"/>
      <c r="AO39" s="17"/>
      <c r="AP39" s="17"/>
      <c r="AQ39" s="3"/>
      <c r="AR39" s="3"/>
    </row>
    <row r="40" spans="1:44" ht="16.5" customHeight="1">
      <c r="A40" s="192">
        <f>A9</f>
        <v>2026</v>
      </c>
      <c r="B40" s="17"/>
      <c r="C40" s="17"/>
      <c r="D40" s="17"/>
      <c r="E40" s="17"/>
      <c r="F40" s="17"/>
      <c r="G40" s="3"/>
      <c r="H40" s="3"/>
      <c r="I40" s="3"/>
      <c r="J40" s="245">
        <f>A40+1</f>
        <v>2027</v>
      </c>
      <c r="K40" s="121" t="s">
        <v>319</v>
      </c>
      <c r="L40" s="121" t="s">
        <v>317</v>
      </c>
      <c r="M40" s="121" t="s">
        <v>211</v>
      </c>
      <c r="N40" s="121" t="s">
        <v>215</v>
      </c>
      <c r="O40" s="17"/>
      <c r="P40" s="3"/>
      <c r="Q40" s="3"/>
      <c r="S40" s="245">
        <f>J40+1</f>
        <v>2028</v>
      </c>
      <c r="T40" s="121" t="s">
        <v>319</v>
      </c>
      <c r="U40" s="121" t="s">
        <v>317</v>
      </c>
      <c r="V40" s="121" t="s">
        <v>211</v>
      </c>
      <c r="W40" s="121" t="s">
        <v>215</v>
      </c>
      <c r="X40" s="17"/>
      <c r="Y40" s="3"/>
      <c r="Z40" s="3"/>
      <c r="AB40" s="245">
        <f>S40+1</f>
        <v>2029</v>
      </c>
      <c r="AC40" s="121" t="s">
        <v>319</v>
      </c>
      <c r="AD40" s="121" t="s">
        <v>317</v>
      </c>
      <c r="AE40" s="121" t="s">
        <v>211</v>
      </c>
      <c r="AF40" s="121" t="s">
        <v>215</v>
      </c>
      <c r="AG40" s="17"/>
      <c r="AH40" s="3"/>
      <c r="AI40" s="3"/>
      <c r="AK40" s="245">
        <f>AB40+1</f>
        <v>2030</v>
      </c>
      <c r="AL40" s="121" t="s">
        <v>319</v>
      </c>
      <c r="AM40" s="121" t="s">
        <v>317</v>
      </c>
      <c r="AN40" s="121" t="s">
        <v>211</v>
      </c>
      <c r="AO40" s="121" t="s">
        <v>215</v>
      </c>
      <c r="AP40" s="17"/>
      <c r="AQ40" s="3"/>
      <c r="AR40" s="3"/>
    </row>
    <row r="41" spans="1:44" ht="16.5" customHeight="1">
      <c r="A41" s="194" t="s">
        <v>142</v>
      </c>
      <c r="B41" s="15">
        <f>SUMPRODUCT($B$11:$E$11,$B$30:$E$30)</f>
        <v>4632000000</v>
      </c>
      <c r="C41" s="3"/>
      <c r="D41" s="3"/>
      <c r="E41" s="3"/>
      <c r="F41" s="3"/>
      <c r="G41" s="3"/>
      <c r="H41" s="3"/>
      <c r="I41" s="3"/>
      <c r="J41" s="246" t="s">
        <v>142</v>
      </c>
      <c r="K41" s="247">
        <f>SUMPRODUCT($K$11:$N$11,$K$30:$N$30)</f>
        <v>5326800000</v>
      </c>
      <c r="L41" s="247">
        <f t="shared" ref="L41:N41" si="79">SUMPRODUCT($K$11:$N$11,$K$30:$N$30)</f>
        <v>5326800000</v>
      </c>
      <c r="M41" s="247">
        <f t="shared" si="79"/>
        <v>5326800000</v>
      </c>
      <c r="N41" s="247">
        <f t="shared" si="79"/>
        <v>5326800000</v>
      </c>
      <c r="O41" s="15"/>
      <c r="P41" s="3"/>
      <c r="Q41" s="3"/>
      <c r="S41" s="246" t="s">
        <v>142</v>
      </c>
      <c r="T41" s="247">
        <f>SUMPRODUCT($T$11:$W$11,$T$30:$W$30)</f>
        <v>6125820000</v>
      </c>
      <c r="U41" s="247">
        <f>SUMPRODUCT($T$11:$W$11,$T$30:$W$30)</f>
        <v>6125820000</v>
      </c>
      <c r="V41" s="247">
        <f>SUMPRODUCT($T$11:$W$11,$T$30:$W$30)</f>
        <v>6125820000</v>
      </c>
      <c r="W41" s="247">
        <f>SUMPRODUCT($T$11:$W$11,$T$30:$W$30)</f>
        <v>6125820000</v>
      </c>
      <c r="X41" s="15"/>
      <c r="Y41" s="3"/>
      <c r="Z41" s="3"/>
      <c r="AB41" s="246" t="s">
        <v>142</v>
      </c>
      <c r="AC41" s="247">
        <f>SUMPRODUCT($AC$11:$AF$11,$AC$30:$AF$30)</f>
        <v>7044692999.999999</v>
      </c>
      <c r="AD41" s="247">
        <f t="shared" ref="AD41:AF41" si="80">SUMPRODUCT($AC$11:$AF$11,$AC$30:$AF$30)</f>
        <v>7044692999.999999</v>
      </c>
      <c r="AE41" s="247">
        <f t="shared" si="80"/>
        <v>7044692999.999999</v>
      </c>
      <c r="AF41" s="247">
        <f t="shared" si="80"/>
        <v>7044692999.999999</v>
      </c>
      <c r="AG41" s="15"/>
      <c r="AH41" s="3"/>
      <c r="AI41" s="3"/>
      <c r="AK41" s="246" t="s">
        <v>142</v>
      </c>
      <c r="AL41" s="247">
        <f>SUMPRODUCT($AL$11:$AO$11,$AL$30:$AO$30)</f>
        <v>8101396949.9999981</v>
      </c>
      <c r="AM41" s="247">
        <f>SUMPRODUCT($AL$11:$AO$11,$AL$30:$AO$30)</f>
        <v>8101396949.9999981</v>
      </c>
      <c r="AN41" s="247">
        <f>SUMPRODUCT($AL$11:$AO$11,$AL$30:$AO$30)</f>
        <v>8101396949.9999981</v>
      </c>
      <c r="AO41" s="247">
        <f>SUMPRODUCT($AL$11:$AO$11,$AL$30:$AO$30)</f>
        <v>8101396949.9999981</v>
      </c>
      <c r="AP41" s="15"/>
      <c r="AQ41" s="3"/>
      <c r="AR41" s="3"/>
    </row>
    <row r="42" spans="1:44" ht="16.5" customHeight="1">
      <c r="A42" s="194" t="s">
        <v>145</v>
      </c>
      <c r="B42" s="15">
        <f>IF(B28="1세대1주택",12*10^8,9*10^8)</f>
        <v>1200000000</v>
      </c>
      <c r="C42" s="3"/>
      <c r="D42" s="3"/>
      <c r="E42" s="3"/>
      <c r="F42" s="3"/>
      <c r="G42" s="3"/>
      <c r="H42" s="3"/>
      <c r="I42" s="3"/>
      <c r="J42" s="246" t="s">
        <v>145</v>
      </c>
      <c r="K42" s="247">
        <v>1400000000</v>
      </c>
      <c r="L42" s="247">
        <v>900000000</v>
      </c>
      <c r="M42" s="247">
        <f ca="1">4*10^8+500000000*IFERROR(OFFSET($J$11,0,MATCH("거주",$K29:$N29,0))/$O$11,0)</f>
        <v>400000000</v>
      </c>
      <c r="N42" s="247">
        <f ca="1">4*10^8+500000000*IFERROR(OFFSET($J$11,0,MATCH("거주",$K29:$N29,0))/$O$11,0)</f>
        <v>400000000</v>
      </c>
      <c r="O42" s="15"/>
      <c r="P42" s="3"/>
      <c r="Q42" s="3"/>
      <c r="S42" s="246" t="s">
        <v>145</v>
      </c>
      <c r="T42" s="247">
        <v>1400000000</v>
      </c>
      <c r="U42" s="247">
        <v>900000000</v>
      </c>
      <c r="V42" s="247">
        <f ca="1">4*10^8+500000000*IFERROR(OFFSET($S$11,0,MATCH("거주",$T29:$W29,0))/$X$11,0)</f>
        <v>400000000</v>
      </c>
      <c r="W42" s="247">
        <f ca="1">4*10^8+500000000*IFERROR(OFFSET($S$11,0,MATCH("거주",$T29:$W29,0))/$X$11,0)</f>
        <v>400000000</v>
      </c>
      <c r="X42" s="137"/>
      <c r="Y42" s="356"/>
      <c r="Z42" s="3"/>
      <c r="AB42" s="246" t="s">
        <v>145</v>
      </c>
      <c r="AC42" s="247">
        <v>1400000000</v>
      </c>
      <c r="AD42" s="247">
        <v>900000000</v>
      </c>
      <c r="AE42" s="247">
        <f ca="1">4*10^8+500000000*IFERROR(OFFSET($AB$11,0,MATCH("거주",$AC29:$AF29,0))/$AG$11,0)</f>
        <v>400000000</v>
      </c>
      <c r="AF42" s="247">
        <f ca="1">4*10^8+500000000*IFERROR(OFFSET($AB$11,0,MATCH("거주",$AC29:$AF29,0))/$AG$11,0)</f>
        <v>400000000</v>
      </c>
      <c r="AG42" s="15"/>
      <c r="AH42" s="3"/>
      <c r="AI42" s="3"/>
      <c r="AK42" s="246" t="s">
        <v>145</v>
      </c>
      <c r="AL42" s="247">
        <v>1400000000</v>
      </c>
      <c r="AM42" s="247">
        <v>900000000</v>
      </c>
      <c r="AN42" s="247">
        <f ca="1">4*10^8+500000000*IFERROR(OFFSET($AK$11,0,MATCH("거주",$AL29:$AO29,0))/$AP$11,0)</f>
        <v>400000000</v>
      </c>
      <c r="AO42" s="247">
        <f ca="1">4*10^8+500000000*IFERROR(OFFSET($AK$11,0,MATCH("거주",$AL29:$AO29,0))/$AP$11,0)</f>
        <v>400000000</v>
      </c>
      <c r="AP42" s="15"/>
      <c r="AQ42" s="3"/>
      <c r="AR42" s="3"/>
    </row>
    <row r="43" spans="1:44" ht="16.5" customHeight="1">
      <c r="A43" s="194" t="s">
        <v>153</v>
      </c>
      <c r="B43" s="15">
        <f>IF(B41&gt;B42,B41-B42,0)</f>
        <v>3432000000</v>
      </c>
      <c r="C43" s="3"/>
      <c r="D43" s="3"/>
      <c r="E43" s="3"/>
      <c r="F43" s="3"/>
      <c r="G43" s="3"/>
      <c r="H43" s="3"/>
      <c r="I43" s="3"/>
      <c r="J43" s="246" t="s">
        <v>153</v>
      </c>
      <c r="K43" s="133">
        <f t="shared" ref="K43:M43" si="81">IF(K41&gt;K42,K41-K42,0)</f>
        <v>3926800000</v>
      </c>
      <c r="L43" s="248">
        <f t="shared" si="81"/>
        <v>4426800000</v>
      </c>
      <c r="M43" s="248">
        <f t="shared" ca="1" si="81"/>
        <v>4926800000</v>
      </c>
      <c r="N43" s="248">
        <f t="shared" ref="N43" ca="1" si="82">IF(N41&gt;N42,N41-N42,0)</f>
        <v>4926800000</v>
      </c>
      <c r="O43" s="15"/>
      <c r="P43" s="3"/>
      <c r="Q43" s="3"/>
      <c r="S43" s="246" t="s">
        <v>153</v>
      </c>
      <c r="T43" s="133">
        <f t="shared" ref="T43:W43" si="83">IF(T41&gt;T42,T41-T42,0)</f>
        <v>4725820000</v>
      </c>
      <c r="U43" s="248">
        <f t="shared" si="83"/>
        <v>5225820000</v>
      </c>
      <c r="V43" s="248">
        <f t="shared" ca="1" si="83"/>
        <v>5725820000</v>
      </c>
      <c r="W43" s="248">
        <f t="shared" ca="1" si="83"/>
        <v>5725820000</v>
      </c>
      <c r="X43" s="137"/>
      <c r="Y43" s="3"/>
      <c r="Z43" s="3"/>
      <c r="AB43" s="246" t="s">
        <v>153</v>
      </c>
      <c r="AC43" s="133">
        <f t="shared" ref="AC43" si="84">IF(AC41&gt;AC42,AC41-AC42,0)</f>
        <v>5644692999.999999</v>
      </c>
      <c r="AD43" s="133">
        <f t="shared" ref="AD43:AF43" si="85">IF(AD41&gt;AD42,AD41-AD42,0)</f>
        <v>6144692999.999999</v>
      </c>
      <c r="AE43" s="133">
        <f t="shared" ca="1" si="85"/>
        <v>6644692999.999999</v>
      </c>
      <c r="AF43" s="133">
        <f t="shared" ca="1" si="85"/>
        <v>6644692999.999999</v>
      </c>
      <c r="AG43" s="15"/>
      <c r="AH43" s="3"/>
      <c r="AI43" s="3"/>
      <c r="AK43" s="246" t="s">
        <v>153</v>
      </c>
      <c r="AL43" s="133">
        <f t="shared" ref="AL43:AO43" si="86">IF(AL41&gt;AL42,AL41-AL42,0)</f>
        <v>6701396949.9999981</v>
      </c>
      <c r="AM43" s="248">
        <f t="shared" si="86"/>
        <v>7201396949.9999981</v>
      </c>
      <c r="AN43" s="248">
        <f t="shared" ca="1" si="86"/>
        <v>7701396949.9999981</v>
      </c>
      <c r="AO43" s="248">
        <f t="shared" ca="1" si="86"/>
        <v>7701396949.9999981</v>
      </c>
      <c r="AP43" s="15"/>
      <c r="AQ43" s="3"/>
      <c r="AR43" s="3"/>
    </row>
    <row r="44" spans="1:44" ht="16.5" customHeight="1">
      <c r="A44" s="194" t="s">
        <v>78</v>
      </c>
      <c r="B44" s="17">
        <v>0.6</v>
      </c>
      <c r="C44" s="3"/>
      <c r="D44" s="3"/>
      <c r="E44" s="3"/>
      <c r="F44" s="3"/>
      <c r="G44" s="3"/>
      <c r="H44" s="3"/>
      <c r="I44" s="3"/>
      <c r="J44" s="260" t="s">
        <v>279</v>
      </c>
      <c r="K44" s="261">
        <v>0.7</v>
      </c>
      <c r="L44" s="261">
        <v>0.7</v>
      </c>
      <c r="M44" s="261">
        <v>0.7</v>
      </c>
      <c r="N44" s="261">
        <v>0.7</v>
      </c>
      <c r="O44" s="17"/>
      <c r="P44" s="3"/>
      <c r="Q44" s="3"/>
      <c r="R44" s="25"/>
      <c r="S44" s="262" t="s">
        <v>78</v>
      </c>
      <c r="T44" s="263">
        <v>0.7</v>
      </c>
      <c r="U44" s="263">
        <v>0.7</v>
      </c>
      <c r="V44" s="261">
        <v>0.8</v>
      </c>
      <c r="W44" s="261">
        <v>0.8</v>
      </c>
      <c r="X44" s="17"/>
      <c r="Y44" s="3"/>
      <c r="Z44" s="3"/>
      <c r="AA44" s="25"/>
      <c r="AB44" s="262" t="s">
        <v>78</v>
      </c>
      <c r="AC44" s="263">
        <v>0.7</v>
      </c>
      <c r="AD44" s="263">
        <v>0.7</v>
      </c>
      <c r="AE44" s="263">
        <v>0.8</v>
      </c>
      <c r="AF44" s="263">
        <v>0.8</v>
      </c>
      <c r="AG44" s="17"/>
      <c r="AH44" s="3"/>
      <c r="AI44" s="3"/>
      <c r="AJ44" s="25"/>
      <c r="AK44" s="262" t="s">
        <v>78</v>
      </c>
      <c r="AL44" s="263">
        <v>0.7</v>
      </c>
      <c r="AM44" s="263">
        <v>0.7</v>
      </c>
      <c r="AN44" s="261">
        <v>0.8</v>
      </c>
      <c r="AO44" s="261">
        <v>0.8</v>
      </c>
      <c r="AP44" s="17"/>
      <c r="AQ44" s="3"/>
      <c r="AR44" s="3"/>
    </row>
    <row r="45" spans="1:44" ht="16.5" customHeight="1">
      <c r="A45" s="194" t="s">
        <v>62</v>
      </c>
      <c r="B45" s="15">
        <f>B43*B44</f>
        <v>2059200000</v>
      </c>
      <c r="C45" s="3"/>
      <c r="D45" s="15"/>
      <c r="E45" s="3"/>
      <c r="F45" s="3"/>
      <c r="G45" s="3"/>
      <c r="H45" s="3"/>
      <c r="I45" s="3"/>
      <c r="J45" s="246" t="s">
        <v>62</v>
      </c>
      <c r="K45" s="133">
        <f t="shared" ref="K45:M45" si="87">IF(K43&gt;0,K43*K44,0)</f>
        <v>2748760000</v>
      </c>
      <c r="L45" s="133">
        <f t="shared" si="87"/>
        <v>3098760000</v>
      </c>
      <c r="M45" s="133">
        <f t="shared" ca="1" si="87"/>
        <v>3448760000</v>
      </c>
      <c r="N45" s="133">
        <f t="shared" ref="N45" ca="1" si="88">IF(N43&gt;0,N43*N44,0)</f>
        <v>3448760000</v>
      </c>
      <c r="O45" s="15"/>
      <c r="P45" s="3"/>
      <c r="Q45" s="3"/>
      <c r="R45" s="25"/>
      <c r="S45" s="246" t="s">
        <v>62</v>
      </c>
      <c r="T45" s="133">
        <f t="shared" ref="T45:V45" si="89">IF(T43&gt;0,T43*T44,0)</f>
        <v>3308074000</v>
      </c>
      <c r="U45" s="133">
        <f t="shared" si="89"/>
        <v>3658074000</v>
      </c>
      <c r="V45" s="133">
        <f t="shared" ca="1" si="89"/>
        <v>4580656000</v>
      </c>
      <c r="W45" s="133">
        <f t="shared" ref="W45" ca="1" si="90">IF(W43&gt;0,W43*W44,0)</f>
        <v>4580656000</v>
      </c>
      <c r="X45" s="15"/>
      <c r="Y45" s="3"/>
      <c r="Z45" s="3"/>
      <c r="AA45" s="25"/>
      <c r="AB45" s="246" t="s">
        <v>62</v>
      </c>
      <c r="AC45" s="133">
        <f t="shared" ref="AC45" si="91">IF(AC43&gt;0,AC43*AC44,0)</f>
        <v>3951285099.999999</v>
      </c>
      <c r="AD45" s="133">
        <f t="shared" ref="AD45:AF45" si="92">IF(AD43&gt;0,AD43*AD44,0)</f>
        <v>4301285099.999999</v>
      </c>
      <c r="AE45" s="133">
        <f t="shared" ca="1" si="92"/>
        <v>5315754400</v>
      </c>
      <c r="AF45" s="133">
        <f t="shared" ca="1" si="92"/>
        <v>5315754400</v>
      </c>
      <c r="AG45" s="15"/>
      <c r="AH45" s="3"/>
      <c r="AI45" s="3"/>
      <c r="AJ45" s="25"/>
      <c r="AK45" s="246" t="s">
        <v>62</v>
      </c>
      <c r="AL45" s="133">
        <f t="shared" ref="AL45" si="93">IF(AL43&gt;0,AL43*AL44,0)</f>
        <v>4690977864.9999981</v>
      </c>
      <c r="AM45" s="133">
        <f t="shared" ref="AM45:AO45" si="94">IF(AM43&gt;0,AM43*AM44,0)</f>
        <v>5040977864.9999981</v>
      </c>
      <c r="AN45" s="133">
        <f t="shared" ca="1" si="94"/>
        <v>6161117559.999999</v>
      </c>
      <c r="AO45" s="133">
        <f t="shared" ca="1" si="94"/>
        <v>6161117559.999999</v>
      </c>
      <c r="AP45" s="15"/>
      <c r="AQ45" s="3"/>
      <c r="AR45" s="3"/>
    </row>
    <row r="46" spans="1:44" ht="16.5" customHeight="1">
      <c r="A46" s="194" t="s">
        <v>63</v>
      </c>
      <c r="B46" s="20">
        <f t="array" ref="B46">IF(B34="기본세율",
INDEX(t!$M$3:$M$9,MATCH(TRUE,$B$45&lt;=t!$L$3:$L$9,0)),
INDEX(t!$O$3:$O$9,MATCH(TRUE,$B$45&lt;=t!$L$3:$L$9,0)))</f>
        <v>1.2999999999999999E-2</v>
      </c>
      <c r="C46" s="3"/>
      <c r="D46" s="3"/>
      <c r="E46" s="3"/>
      <c r="F46" s="3"/>
      <c r="G46" s="3"/>
      <c r="H46" s="3"/>
      <c r="I46" s="3"/>
      <c r="J46" s="246" t="s">
        <v>63</v>
      </c>
      <c r="K46" s="249">
        <f t="array" ref="K46">INDEX(t!$M$13:$M$19,MATCH(TRUE,K45&lt;=t!$L$13:$L$19,0))</f>
        <v>0.02</v>
      </c>
      <c r="L46" s="249">
        <f t="array" ref="L46">INDEX(t!$M$13:$M$19,MATCH(TRUE,L45&lt;=t!$L$13:$L$19,0))</f>
        <v>0.02</v>
      </c>
      <c r="M46" s="249">
        <f t="array" aca="1" ref="M46" ca="1">INDEX(t!$O$13:$O$19,MATCH(TRUE,M45&lt;=t!$L$13:$L$19,0))</f>
        <v>0.03</v>
      </c>
      <c r="N46" s="249">
        <f t="array" aca="1" ref="N46" ca="1">INDEX(t!$O$13:$O$19,MATCH(TRUE,N45&lt;=t!$L$13:$L$19,0))</f>
        <v>0.03</v>
      </c>
      <c r="O46" s="15"/>
      <c r="P46" s="3"/>
      <c r="Q46" s="3"/>
      <c r="R46" s="7"/>
      <c r="S46" s="246" t="s">
        <v>63</v>
      </c>
      <c r="T46" s="249">
        <f t="array" ref="T46">INDEX(t!$M$23:$M$29,MATCH(TRUE,T45&lt;=t!$L$23:$L$29,0))</f>
        <v>0.03</v>
      </c>
      <c r="U46" s="249">
        <f t="array" ref="U46">INDEX(t!$M$23:$M$29,MATCH(TRUE,U45&lt;=t!$L$23:$L$29,0))</f>
        <v>0.03</v>
      </c>
      <c r="V46" s="249">
        <f t="array" aca="1" ref="V46" ca="1">INDEX(t!$M$23:$M$29,MATCH(TRUE,V45&lt;=t!$L$23:$L$29,0))</f>
        <v>0.03</v>
      </c>
      <c r="W46" s="249">
        <f t="array" aca="1" ref="W46" ca="1">INDEX(t!$M$23:$M$29,MATCH(TRUE,W45&lt;=t!$L$23:$L$29,0))</f>
        <v>0.03</v>
      </c>
      <c r="X46" s="15"/>
      <c r="Y46" s="3"/>
      <c r="Z46" s="3"/>
      <c r="AA46" s="7"/>
      <c r="AB46" s="246" t="s">
        <v>63</v>
      </c>
      <c r="AC46" s="249">
        <f t="array" ref="AC46">INDEX(t!$M$23:$M$29,MATCH(TRUE,AC45&lt;=t!$L$23:$L$29,0))</f>
        <v>0.03</v>
      </c>
      <c r="AD46" s="249">
        <f t="array" ref="AD46">INDEX(t!$M$23:$M$29,MATCH(TRUE,AD45&lt;=t!$L$23:$L$29,0))</f>
        <v>0.03</v>
      </c>
      <c r="AE46" s="249">
        <f t="array" aca="1" ref="AE46" ca="1">INDEX(t!$M$23:$M$29,MATCH(TRUE,AE45&lt;=t!$L$23:$L$29,0))</f>
        <v>0.04</v>
      </c>
      <c r="AF46" s="249">
        <f t="array" aca="1" ref="AF46" ca="1">INDEX(t!$M$23:$M$29,MATCH(TRUE,AF45&lt;=t!$L$23:$L$29,0))</f>
        <v>0.04</v>
      </c>
      <c r="AG46" s="15"/>
      <c r="AH46" s="3"/>
      <c r="AI46" s="3"/>
      <c r="AJ46" s="7"/>
      <c r="AK46" s="246" t="s">
        <v>63</v>
      </c>
      <c r="AL46" s="249">
        <f t="array" ref="AL46">INDEX(t!$M$23:$M$29,MATCH(TRUE,AL45&lt;=t!$L$23:$L$29,0))</f>
        <v>0.03</v>
      </c>
      <c r="AM46" s="249">
        <f t="array" ref="AM46">INDEX(t!$M$23:$M$29,MATCH(TRUE,AM45&lt;=t!$L$23:$L$29,0))</f>
        <v>0.04</v>
      </c>
      <c r="AN46" s="249">
        <f t="array" aca="1" ref="AN46" ca="1">INDEX(t!$M$23:$M$29,MATCH(TRUE,AN45&lt;=t!$L$23:$L$29,0))</f>
        <v>0.04</v>
      </c>
      <c r="AO46" s="249">
        <f t="array" aca="1" ref="AO46" ca="1">INDEX(t!$M$23:$M$29,MATCH(TRUE,AO45&lt;=t!$L$23:$L$29,0))</f>
        <v>0.04</v>
      </c>
      <c r="AP46" s="15"/>
      <c r="AQ46" s="3"/>
      <c r="AR46" s="3"/>
    </row>
    <row r="47" spans="1:44" ht="16.5" customHeight="1">
      <c r="A47" s="194" t="s">
        <v>167</v>
      </c>
      <c r="B47" s="15">
        <f>B45*B46-VLOOKUP(B46,IF(B34="기본세율",t!$M$2:$N$9,t!$O$2:$P$9),2,0)</f>
        <v>20769600</v>
      </c>
      <c r="C47" s="3"/>
      <c r="D47" s="3"/>
      <c r="E47" s="3"/>
      <c r="F47" s="3"/>
      <c r="G47" s="3"/>
      <c r="H47" s="3"/>
      <c r="I47" s="3"/>
      <c r="J47" s="246" t="s">
        <v>167</v>
      </c>
      <c r="K47" s="133">
        <f>K45*K46-VLOOKUP(K46,t!$M$13:$N$19,2,0)</f>
        <v>35875200</v>
      </c>
      <c r="L47" s="133">
        <f>L45*L46-VLOOKUP(L46,t!$M$13:$N$19,2,0)</f>
        <v>42875200</v>
      </c>
      <c r="M47" s="133">
        <f ca="1">M45*M46-VLOOKUP(M46,t!$O$13:$P$19,2,0)</f>
        <v>65862800</v>
      </c>
      <c r="N47" s="133">
        <f ca="1">N45*N46-VLOOKUP(N46,t!$O$13:$P$19,2,0)</f>
        <v>65862800</v>
      </c>
      <c r="O47" s="15"/>
      <c r="P47" s="3"/>
      <c r="Q47" s="3"/>
      <c r="R47" s="25"/>
      <c r="S47" s="246" t="s">
        <v>167</v>
      </c>
      <c r="T47" s="133">
        <f>T45*T46-VLOOKUP(T46,t!$M$22:$N$29,2,0)</f>
        <v>61642220</v>
      </c>
      <c r="U47" s="133">
        <f>U45*U46-VLOOKUP(U46,t!$M$22:$N$29,2,0)</f>
        <v>72142220</v>
      </c>
      <c r="V47" s="133">
        <f ca="1">V45*V46-VLOOKUP(V46,t!$M$22:$N$29,2,0)</f>
        <v>99819680</v>
      </c>
      <c r="W47" s="133">
        <f ca="1">W45*W46-VLOOKUP(W46,t!$M$22:$N$29,2,0)</f>
        <v>99819680</v>
      </c>
      <c r="X47" s="15"/>
      <c r="Y47" s="3"/>
      <c r="Z47" s="3"/>
      <c r="AA47" s="25"/>
      <c r="AB47" s="246" t="s">
        <v>167</v>
      </c>
      <c r="AC47" s="133">
        <f>AC45*AC46-VLOOKUP(AC46,t!$M$22:$N$29,2,0)</f>
        <v>80938552.99999997</v>
      </c>
      <c r="AD47" s="133">
        <f>AD45*AD46-VLOOKUP(AD46,t!$M$22:$N$29,2,0)</f>
        <v>91438552.99999997</v>
      </c>
      <c r="AE47" s="133">
        <f ca="1">AE45*AE46-VLOOKUP(AE46,t!$M$22:$N$29,2,0)</f>
        <v>125030176</v>
      </c>
      <c r="AF47" s="133">
        <f ca="1">AF45*AF46-VLOOKUP(AF46,t!$M$22:$N$29,2,0)</f>
        <v>125030176</v>
      </c>
      <c r="AG47" s="15"/>
      <c r="AH47" s="3"/>
      <c r="AI47" s="3"/>
      <c r="AJ47" s="25"/>
      <c r="AK47" s="246" t="s">
        <v>167</v>
      </c>
      <c r="AL47" s="133">
        <f>AL45*AL46-VLOOKUP(AL46,t!$M$22:$N$29,2,0)</f>
        <v>103129335.94999993</v>
      </c>
      <c r="AM47" s="133">
        <f>AM45*AM46-VLOOKUP(AM46,t!$M$22:$N$29,2,0)</f>
        <v>114039114.59999993</v>
      </c>
      <c r="AN47" s="133">
        <f ca="1">AN45*AN46-VLOOKUP(AN46,t!$M$22:$N$29,2,0)</f>
        <v>158844702.39999998</v>
      </c>
      <c r="AO47" s="133">
        <f ca="1">AO45*AO46-VLOOKUP(AO46,t!$M$22:$N$29,2,0)</f>
        <v>158844702.39999998</v>
      </c>
      <c r="AP47" s="15"/>
      <c r="AQ47" s="3"/>
      <c r="AR47" s="3"/>
    </row>
    <row r="48" spans="1:44" ht="16.5" customHeight="1">
      <c r="A48" s="194" t="s">
        <v>168</v>
      </c>
      <c r="B48" s="103">
        <f>F16*(B45*60%*$F$14)/$F$15</f>
        <v>3457702.8877445934</v>
      </c>
      <c r="C48" s="93"/>
      <c r="D48" s="94"/>
      <c r="E48" s="94"/>
      <c r="F48" s="42"/>
      <c r="G48" s="42"/>
      <c r="H48" s="42"/>
      <c r="I48" s="42"/>
      <c r="J48" s="246" t="s">
        <v>168</v>
      </c>
      <c r="K48" s="103">
        <f>$O$16*(K45*60%*$O$14)/$O$15</f>
        <v>6038889.4299626797</v>
      </c>
      <c r="L48" s="103">
        <f>$O$16*(L45*60%*$O$14)/$O$15</f>
        <v>6807822.0761329308</v>
      </c>
      <c r="M48" s="103">
        <f ca="1">$O$16*(M45*60%*$O$14)/$O$15</f>
        <v>7576754.722303181</v>
      </c>
      <c r="N48" s="103">
        <f ca="1">$O$16*(N45*60%*$O$14)/$O$15</f>
        <v>7576754.722303181</v>
      </c>
      <c r="O48" s="61"/>
      <c r="P48" s="42"/>
      <c r="Q48" s="42"/>
      <c r="R48" s="29"/>
      <c r="S48" s="246" t="s">
        <v>168</v>
      </c>
      <c r="T48" s="103">
        <f>$X$16*(T45*60%*$X$14)/$X$15</f>
        <v>7272185.3632688653</v>
      </c>
      <c r="U48" s="103">
        <f t="shared" ref="U48:W48" si="95">$X$16*(U45*60%*$X$14)/$X$15</f>
        <v>8041595.2607331006</v>
      </c>
      <c r="V48" s="103">
        <f t="shared" ca="1" si="95"/>
        <v>10069720.180796955</v>
      </c>
      <c r="W48" s="103">
        <f t="shared" ca="1" si="95"/>
        <v>10069720.180796955</v>
      </c>
      <c r="X48" s="61"/>
      <c r="Y48" s="42"/>
      <c r="Z48" s="42"/>
      <c r="AA48" s="29"/>
      <c r="AB48" s="246" t="s">
        <v>168</v>
      </c>
      <c r="AC48" s="103">
        <f>$AG$16*(AC45*60%*$AG$14)/$AG$15</f>
        <v>8690791.9524368774</v>
      </c>
      <c r="AD48" s="103">
        <f t="shared" ref="AD48:AF48" si="96">$AG$16*(AD45*60%*$AG$14)/$AG$15</f>
        <v>9460611.670926163</v>
      </c>
      <c r="AE48" s="103">
        <f t="shared" ca="1" si="96"/>
        <v>11691921.587903371</v>
      </c>
      <c r="AF48" s="103">
        <f t="shared" ca="1" si="96"/>
        <v>11691921.587903371</v>
      </c>
      <c r="AG48" s="61"/>
      <c r="AH48" s="42"/>
      <c r="AI48" s="42"/>
      <c r="AJ48" s="29"/>
      <c r="AK48" s="246" t="s">
        <v>168</v>
      </c>
      <c r="AL48" s="103">
        <f>$AP$16*(AL45*60%*$AP$14)/$AP$15</f>
        <v>10322459.746857936</v>
      </c>
      <c r="AM48" s="103">
        <f>$AP$16*(AM45*60%*$AP$14)/$AP$15</f>
        <v>11092631.982876422</v>
      </c>
      <c r="AN48" s="103">
        <f ca="1">$AP$16*(AN45*60%*$AP$14)/$AP$15</f>
        <v>13557490.535879901</v>
      </c>
      <c r="AO48" s="103">
        <f ca="1">$AP$16*(AO45*60%*$AP$14)/$AP$15</f>
        <v>13557490.535879901</v>
      </c>
      <c r="AP48" s="61"/>
      <c r="AQ48" s="42"/>
      <c r="AR48" s="42"/>
    </row>
    <row r="49" spans="1:44" ht="16.5" customHeight="1">
      <c r="A49" s="194" t="s">
        <v>64</v>
      </c>
      <c r="B49" s="15">
        <f>B47-B48</f>
        <v>17311897.112255406</v>
      </c>
      <c r="C49" s="15"/>
      <c r="D49" s="3"/>
      <c r="E49" s="3"/>
      <c r="F49" s="3"/>
      <c r="G49" s="3"/>
      <c r="H49" s="3"/>
      <c r="I49" s="3"/>
      <c r="J49" s="246" t="s">
        <v>64</v>
      </c>
      <c r="K49" s="133">
        <f t="shared" ref="K49:M49" si="97">IF(K47-K48&lt;0,0,K47-K48)</f>
        <v>29836310.57003732</v>
      </c>
      <c r="L49" s="133">
        <f t="shared" si="97"/>
        <v>36067377.923867069</v>
      </c>
      <c r="M49" s="133">
        <f t="shared" ca="1" si="97"/>
        <v>58286045.277696818</v>
      </c>
      <c r="N49" s="133">
        <f t="shared" ref="N49" ca="1" si="98">IF(N47-N48&lt;0,0,N47-N48)</f>
        <v>58286045.277696818</v>
      </c>
      <c r="O49" s="15"/>
      <c r="P49" s="3"/>
      <c r="Q49" s="3"/>
      <c r="R49" s="7"/>
      <c r="S49" s="246" t="s">
        <v>64</v>
      </c>
      <c r="T49" s="133">
        <f t="shared" ref="T49:V49" si="99">IF(T47-T48&lt;0,0,T47-T48)</f>
        <v>54370034.636731133</v>
      </c>
      <c r="U49" s="133">
        <f t="shared" si="99"/>
        <v>64100624.739266902</v>
      </c>
      <c r="V49" s="133">
        <f t="shared" ca="1" si="99"/>
        <v>89749959.819203049</v>
      </c>
      <c r="W49" s="133">
        <f t="shared" ref="W49" ca="1" si="100">IF(W47-W48&lt;0,0,W47-W48)</f>
        <v>89749959.819203049</v>
      </c>
      <c r="X49" s="15"/>
      <c r="Y49" s="3"/>
      <c r="Z49" s="3"/>
      <c r="AA49" s="7"/>
      <c r="AB49" s="246" t="s">
        <v>64</v>
      </c>
      <c r="AC49" s="133">
        <f t="shared" ref="AC49" si="101">IF(AC47-AC48&lt;0,0,AC47-AC48)</f>
        <v>72247761.047563091</v>
      </c>
      <c r="AD49" s="133">
        <f t="shared" ref="AD49:AF49" si="102">IF(AD47-AD48&lt;0,0,AD47-AD48)</f>
        <v>81977941.329073802</v>
      </c>
      <c r="AE49" s="133">
        <f t="shared" ca="1" si="102"/>
        <v>113338254.41209663</v>
      </c>
      <c r="AF49" s="133">
        <f t="shared" ca="1" si="102"/>
        <v>113338254.41209663</v>
      </c>
      <c r="AG49" s="15"/>
      <c r="AH49" s="3"/>
      <c r="AI49" s="3"/>
      <c r="AJ49" s="7"/>
      <c r="AK49" s="246" t="s">
        <v>64</v>
      </c>
      <c r="AL49" s="133">
        <f t="shared" ref="AL49" si="103">IF(AL47-AL48&lt;0,0,AL47-AL48)</f>
        <v>92806876.203141987</v>
      </c>
      <c r="AM49" s="133">
        <f t="shared" ref="AM49:AO49" si="104">IF(AM47-AM48&lt;0,0,AM47-AM48)</f>
        <v>102946482.61712351</v>
      </c>
      <c r="AN49" s="133">
        <f t="shared" ca="1" si="104"/>
        <v>145287211.86412007</v>
      </c>
      <c r="AO49" s="133">
        <f t="shared" ca="1" si="104"/>
        <v>145287211.86412007</v>
      </c>
      <c r="AP49" s="15"/>
      <c r="AQ49" s="3"/>
      <c r="AR49" s="3"/>
    </row>
    <row r="50" spans="1:44" ht="16.5" customHeight="1">
      <c r="A50" s="194" t="s">
        <v>268</v>
      </c>
      <c r="B50" s="17">
        <f>IF(B10="1세대1주택",MIN(80%,SUM(B38,B32)),0)</f>
        <v>0</v>
      </c>
      <c r="C50" s="15"/>
      <c r="D50" s="3"/>
      <c r="E50" s="3"/>
      <c r="F50" s="3"/>
      <c r="G50" s="3"/>
      <c r="H50" s="3"/>
      <c r="I50" s="3"/>
      <c r="J50" s="246" t="s">
        <v>268</v>
      </c>
      <c r="K50" s="121">
        <f>IF(K28="1세대1주택",MIN(80%,K32+MAX(K36,K38)),0)</f>
        <v>0</v>
      </c>
      <c r="L50" s="121">
        <f t="shared" ref="L50:N50" si="105">IF(L28="1세대1주택",MIN(80%,L32+MAX(L36,L38)),0)</f>
        <v>0</v>
      </c>
      <c r="M50" s="121">
        <f t="shared" si="105"/>
        <v>0</v>
      </c>
      <c r="N50" s="121">
        <f t="shared" si="105"/>
        <v>0</v>
      </c>
      <c r="O50" s="15"/>
      <c r="P50" s="3"/>
      <c r="Q50" s="3"/>
      <c r="R50" s="7"/>
      <c r="S50" s="246" t="s">
        <v>268</v>
      </c>
      <c r="T50" s="121">
        <f>IF(T28="1세대1주택",MIN(80%,SUM(T36,T38)),0)</f>
        <v>0</v>
      </c>
      <c r="U50" s="121">
        <f t="shared" ref="U50:W50" si="106">IF(U28="1세대1주택",MIN(80%,SUM(U36,U38)),0)</f>
        <v>0</v>
      </c>
      <c r="V50" s="121">
        <f t="shared" si="106"/>
        <v>0</v>
      </c>
      <c r="W50" s="121">
        <f t="shared" si="106"/>
        <v>0</v>
      </c>
      <c r="X50" s="15"/>
      <c r="Y50" s="3"/>
      <c r="Z50" s="3"/>
      <c r="AA50" s="7"/>
      <c r="AB50" s="246" t="s">
        <v>268</v>
      </c>
      <c r="AC50" s="121">
        <f>IF(AC28="1세대1주택",MIN(80%,SUM(AC36,AC38)),0)</f>
        <v>0</v>
      </c>
      <c r="AD50" s="121">
        <f t="shared" ref="AD50:AF50" si="107">IF(AD28="1세대1주택",MIN(80%,SUM(AD36,AD38)),0)</f>
        <v>0</v>
      </c>
      <c r="AE50" s="121">
        <f t="shared" si="107"/>
        <v>0</v>
      </c>
      <c r="AF50" s="121">
        <f t="shared" si="107"/>
        <v>0</v>
      </c>
      <c r="AG50" s="15"/>
      <c r="AH50" s="3"/>
      <c r="AI50" s="3"/>
      <c r="AJ50" s="7"/>
      <c r="AK50" s="246" t="s">
        <v>268</v>
      </c>
      <c r="AL50" s="121">
        <f>IF(AL28="1세대1주택",MIN(80%,SUM(AL36,AL38)),0)</f>
        <v>0</v>
      </c>
      <c r="AM50" s="121">
        <f t="shared" ref="AM50:AO50" si="108">IF(AM28="1세대1주택",MIN(80%,SUM(AM36,AM38)),0)</f>
        <v>0</v>
      </c>
      <c r="AN50" s="121">
        <f t="shared" si="108"/>
        <v>0</v>
      </c>
      <c r="AO50" s="121">
        <f t="shared" si="108"/>
        <v>0</v>
      </c>
      <c r="AP50" s="15"/>
      <c r="AQ50" s="3"/>
      <c r="AR50" s="3"/>
    </row>
    <row r="51" spans="1:44" ht="16.5" customHeight="1">
      <c r="A51" s="194" t="s">
        <v>271</v>
      </c>
      <c r="B51" s="398">
        <f>B49*(1-B50)</f>
        <v>17311897.112255406</v>
      </c>
      <c r="D51" s="3"/>
      <c r="E51" s="3"/>
      <c r="F51" s="3"/>
      <c r="G51" s="3"/>
      <c r="H51" s="3"/>
      <c r="I51" s="3"/>
      <c r="J51" s="246" t="s">
        <v>271</v>
      </c>
      <c r="K51" s="133">
        <f>K49*(1-K50)</f>
        <v>29836310.57003732</v>
      </c>
      <c r="L51" s="133">
        <f t="shared" ref="L51:M51" si="109">L49*(1-L50)</f>
        <v>36067377.923867069</v>
      </c>
      <c r="M51" s="133">
        <f t="shared" ca="1" si="109"/>
        <v>58286045.277696818</v>
      </c>
      <c r="N51" s="133">
        <f t="shared" ref="N51" ca="1" si="110">N49*(1-N50)</f>
        <v>58286045.277696818</v>
      </c>
      <c r="O51" s="15"/>
      <c r="P51" s="3"/>
      <c r="Q51" s="3"/>
      <c r="R51" s="25"/>
      <c r="S51" s="246" t="s">
        <v>271</v>
      </c>
      <c r="T51" s="133">
        <f>T49*(1-T50)</f>
        <v>54370034.636731133</v>
      </c>
      <c r="U51" s="133"/>
      <c r="V51" s="133"/>
      <c r="W51" s="133"/>
      <c r="X51" s="15"/>
      <c r="Y51" s="3"/>
      <c r="Z51" s="3"/>
      <c r="AA51" s="25"/>
      <c r="AB51" s="246" t="s">
        <v>271</v>
      </c>
      <c r="AC51" s="133">
        <f>AC49*(1-AC50)</f>
        <v>72247761.047563091</v>
      </c>
      <c r="AD51" s="133">
        <f t="shared" ref="AD51:AF51" si="111">AD49*(1-AD50)</f>
        <v>81977941.329073802</v>
      </c>
      <c r="AE51" s="133">
        <f t="shared" ca="1" si="111"/>
        <v>113338254.41209663</v>
      </c>
      <c r="AF51" s="133">
        <f t="shared" ca="1" si="111"/>
        <v>113338254.41209663</v>
      </c>
      <c r="AG51" s="15"/>
      <c r="AH51" s="3"/>
      <c r="AI51" s="3"/>
      <c r="AJ51" s="25"/>
      <c r="AK51" s="246" t="s">
        <v>271</v>
      </c>
      <c r="AL51" s="133">
        <f>AL49*(1-AL50)</f>
        <v>92806876.203141987</v>
      </c>
      <c r="AM51" s="133">
        <f t="shared" ref="AM51:AO51" si="112">AM49*(1-AM50)</f>
        <v>102946482.61712351</v>
      </c>
      <c r="AN51" s="133">
        <f t="shared" ca="1" si="112"/>
        <v>145287211.86412007</v>
      </c>
      <c r="AO51" s="133">
        <f t="shared" ca="1" si="112"/>
        <v>145287211.86412007</v>
      </c>
      <c r="AP51" s="15"/>
      <c r="AQ51" s="3"/>
      <c r="AR51" s="3"/>
    </row>
    <row r="52" spans="1:44" ht="16.5" customHeight="1" thickBot="1">
      <c r="A52" s="194" t="s">
        <v>169</v>
      </c>
      <c r="B52" s="107">
        <f>MAX(B16+B51-F26,0)</f>
        <v>3873937.1122554056</v>
      </c>
      <c r="C52" s="15"/>
      <c r="D52" s="15"/>
      <c r="E52" s="3"/>
      <c r="F52" s="3"/>
      <c r="G52" s="3"/>
      <c r="H52" s="3"/>
      <c r="I52" s="3"/>
      <c r="J52" s="254" t="s">
        <v>169</v>
      </c>
      <c r="K52" s="15">
        <f>IF(K51&gt;$O$26,K51-$O$26,0)</f>
        <v>0</v>
      </c>
      <c r="L52" s="15">
        <f t="shared" ref="L52:N52" si="113">IF(L51&gt;$O$26,L51-$O$26,0)</f>
        <v>0</v>
      </c>
      <c r="M52" s="15">
        <f t="shared" ca="1" si="113"/>
        <v>16736045.277696818</v>
      </c>
      <c r="N52" s="15">
        <f t="shared" ca="1" si="113"/>
        <v>16736045.277696818</v>
      </c>
      <c r="O52" s="15"/>
      <c r="P52" s="3"/>
      <c r="Q52" s="3"/>
      <c r="S52" s="254" t="s">
        <v>169</v>
      </c>
      <c r="T52" s="107">
        <f ca="1">IF(T51&gt;$X$26,$X$26-T51,0)</f>
        <v>0</v>
      </c>
      <c r="U52" s="107">
        <f ca="1">IF(U51&gt;$X$26,$X$26-U51,0)</f>
        <v>0</v>
      </c>
      <c r="V52" s="107">
        <f ca="1">IF(V51&gt;$X$26,$X$26-V51,0)</f>
        <v>0</v>
      </c>
      <c r="W52" s="107">
        <f ca="1">IF(W51&gt;$X$26,$X$26-W51,0)</f>
        <v>0</v>
      </c>
      <c r="X52" s="15"/>
      <c r="Y52" s="3"/>
      <c r="Z52" s="3"/>
      <c r="AB52" s="254" t="s">
        <v>169</v>
      </c>
      <c r="AC52" s="107">
        <f ca="1">IF(AC51&gt;$AG$26,$AG$26-AC51,0)</f>
        <v>0</v>
      </c>
      <c r="AD52" s="107">
        <f t="shared" ref="AD52:AF52" ca="1" si="114">IF(AD51&gt;$AG$26,$AG$26-AD51,0)</f>
        <v>0</v>
      </c>
      <c r="AE52" s="107">
        <f t="shared" ca="1" si="114"/>
        <v>0</v>
      </c>
      <c r="AF52" s="107">
        <f t="shared" ca="1" si="114"/>
        <v>0</v>
      </c>
      <c r="AG52" s="15"/>
      <c r="AH52" s="3"/>
      <c r="AI52" s="3"/>
      <c r="AK52" s="254" t="s">
        <v>169</v>
      </c>
      <c r="AL52" s="107">
        <f ca="1">IF(AL51&gt;$AP$26,$AP$26-AL51,0)</f>
        <v>0</v>
      </c>
      <c r="AM52" s="107">
        <f t="shared" ref="AM52:AO52" ca="1" si="115">IF(AM51&gt;$AP$26,$AP$26-AM51,0)</f>
        <v>0</v>
      </c>
      <c r="AN52" s="107">
        <f t="shared" ca="1" si="115"/>
        <v>0</v>
      </c>
      <c r="AO52" s="107">
        <f t="shared" ca="1" si="115"/>
        <v>0</v>
      </c>
      <c r="AP52" s="15"/>
      <c r="AQ52" s="3"/>
      <c r="AR52" s="3"/>
    </row>
    <row r="53" spans="1:44" ht="16.5" customHeight="1" thickBot="1">
      <c r="A53" s="206" t="s">
        <v>171</v>
      </c>
      <c r="B53" s="396">
        <f>B51-B52</f>
        <v>13437960</v>
      </c>
      <c r="C53" s="15"/>
      <c r="D53" s="15"/>
      <c r="E53" s="3"/>
      <c r="F53" s="15"/>
      <c r="G53" s="15"/>
      <c r="H53" s="3"/>
      <c r="I53" s="3"/>
      <c r="J53" s="251" t="s">
        <v>171</v>
      </c>
      <c r="K53" s="95">
        <f>MIN(K51,$O$26)</f>
        <v>29836310.57003732</v>
      </c>
      <c r="L53" s="95">
        <f>MIN(L51,$O$26)</f>
        <v>36067377.923867069</v>
      </c>
      <c r="M53" s="95">
        <f ca="1">MIN(M51,$O$26)</f>
        <v>41550000</v>
      </c>
      <c r="N53" s="95">
        <f ca="1">MIN(N51,$O$26)</f>
        <v>41550000</v>
      </c>
      <c r="O53" s="15"/>
      <c r="P53" s="3"/>
      <c r="Q53" s="3"/>
      <c r="S53" s="251" t="s">
        <v>171</v>
      </c>
      <c r="T53" s="252">
        <f ca="1">T49-T52</f>
        <v>54370034.636731133</v>
      </c>
      <c r="U53" s="252">
        <f t="shared" ref="U53:W53" ca="1" si="116">U49-U52</f>
        <v>64100624.739266902</v>
      </c>
      <c r="V53" s="252">
        <f t="shared" ca="1" si="116"/>
        <v>89749959.819203049</v>
      </c>
      <c r="W53" s="252">
        <f t="shared" ca="1" si="116"/>
        <v>89749959.819203049</v>
      </c>
      <c r="X53" s="15"/>
      <c r="Y53" s="3"/>
      <c r="Z53" s="3"/>
      <c r="AB53" s="251" t="s">
        <v>171</v>
      </c>
      <c r="AC53" s="252">
        <f ca="1">AC49-AC52</f>
        <v>72247761.047563091</v>
      </c>
      <c r="AD53" s="252">
        <f t="shared" ref="AD53:AF53" ca="1" si="117">AD49-AD52</f>
        <v>81977941.329073802</v>
      </c>
      <c r="AE53" s="252">
        <f t="shared" ca="1" si="117"/>
        <v>113338254.41209663</v>
      </c>
      <c r="AF53" s="252">
        <f t="shared" ca="1" si="117"/>
        <v>113338254.41209663</v>
      </c>
      <c r="AG53" s="15"/>
      <c r="AH53" s="3"/>
      <c r="AI53" s="3"/>
      <c r="AK53" s="251" t="s">
        <v>171</v>
      </c>
      <c r="AL53" s="252">
        <f ca="1">AL49-AL52</f>
        <v>92806876.203141987</v>
      </c>
      <c r="AM53" s="252">
        <f t="shared" ref="AM53:AO53" ca="1" si="118">AM49-AM52</f>
        <v>102946482.61712351</v>
      </c>
      <c r="AN53" s="252">
        <f t="shared" ca="1" si="118"/>
        <v>145287211.86412007</v>
      </c>
      <c r="AO53" s="252">
        <f t="shared" ca="1" si="118"/>
        <v>145287211.86412007</v>
      </c>
      <c r="AP53" s="15"/>
      <c r="AQ53" s="3"/>
      <c r="AR53" s="3"/>
    </row>
    <row r="54" spans="1:44" ht="16.5" customHeight="1" thickBot="1">
      <c r="A54" s="194" t="s">
        <v>54</v>
      </c>
      <c r="B54" s="15">
        <f>B53*0.2</f>
        <v>2687592</v>
      </c>
      <c r="C54" s="3"/>
      <c r="D54" s="3"/>
      <c r="E54" s="3"/>
      <c r="F54" s="3"/>
      <c r="G54" s="3"/>
      <c r="H54" s="3"/>
      <c r="I54" s="3"/>
      <c r="J54" s="254" t="s">
        <v>54</v>
      </c>
      <c r="K54" s="255">
        <f t="shared" ref="K54:M54" si="119">K53*0.2</f>
        <v>5967262.1140074646</v>
      </c>
      <c r="L54" s="255">
        <f t="shared" si="119"/>
        <v>7213475.5847734138</v>
      </c>
      <c r="M54" s="255">
        <f t="shared" ca="1" si="119"/>
        <v>8310000</v>
      </c>
      <c r="N54" s="255">
        <f t="shared" ref="N54" ca="1" si="120">N53*0.2</f>
        <v>8310000</v>
      </c>
      <c r="O54" s="3"/>
      <c r="P54" s="3"/>
      <c r="Q54" s="3"/>
      <c r="S54" s="254" t="s">
        <v>54</v>
      </c>
      <c r="T54" s="255">
        <f t="shared" ref="T54" ca="1" si="121">T53*0.2</f>
        <v>10874006.927346228</v>
      </c>
      <c r="U54" s="255">
        <f t="shared" ref="U54:W54" ca="1" si="122">U53*0.2</f>
        <v>12820124.947853381</v>
      </c>
      <c r="V54" s="255">
        <f t="shared" ca="1" si="122"/>
        <v>17949991.963840611</v>
      </c>
      <c r="W54" s="255">
        <f t="shared" ca="1" si="122"/>
        <v>17949991.963840611</v>
      </c>
      <c r="X54" s="3"/>
      <c r="Y54" s="3"/>
      <c r="Z54" s="3"/>
      <c r="AB54" s="254" t="s">
        <v>54</v>
      </c>
      <c r="AC54" s="255">
        <f t="shared" ref="AC54" ca="1" si="123">AC53*0.2</f>
        <v>14449552.209512619</v>
      </c>
      <c r="AD54" s="255">
        <f t="shared" ref="AD54:AF54" ca="1" si="124">AD53*0.2</f>
        <v>16395588.265814761</v>
      </c>
      <c r="AE54" s="255">
        <f t="shared" ca="1" si="124"/>
        <v>22667650.882419329</v>
      </c>
      <c r="AF54" s="255">
        <f t="shared" ca="1" si="124"/>
        <v>22667650.882419329</v>
      </c>
      <c r="AG54" s="3"/>
      <c r="AH54" s="3"/>
      <c r="AI54" s="3"/>
      <c r="AK54" s="254" t="s">
        <v>54</v>
      </c>
      <c r="AL54" s="255">
        <f t="shared" ref="AL54" ca="1" si="125">AL53*0.2</f>
        <v>18561375.240628399</v>
      </c>
      <c r="AM54" s="255">
        <f t="shared" ref="AM54:AO54" ca="1" si="126">AM53*0.2</f>
        <v>20589296.523424704</v>
      </c>
      <c r="AN54" s="255">
        <f t="shared" ca="1" si="126"/>
        <v>29057442.372824013</v>
      </c>
      <c r="AO54" s="255">
        <f t="shared" ca="1" si="126"/>
        <v>29057442.372824013</v>
      </c>
      <c r="AP54" s="3"/>
      <c r="AQ54" s="3"/>
      <c r="AR54" s="3"/>
    </row>
    <row r="55" spans="1:44" ht="16.5" customHeight="1" thickBot="1">
      <c r="A55" s="206" t="s">
        <v>172</v>
      </c>
      <c r="B55" s="143">
        <f>SUM(B53:B54)</f>
        <v>16125552</v>
      </c>
      <c r="C55" s="3"/>
      <c r="D55" s="3"/>
      <c r="E55" s="3"/>
      <c r="F55" s="3"/>
      <c r="G55" s="3"/>
      <c r="H55" s="3"/>
      <c r="I55" s="3"/>
      <c r="J55" s="251" t="s">
        <v>172</v>
      </c>
      <c r="K55" s="252">
        <f t="shared" ref="K55:M55" si="127">SUM(K53:K54)</f>
        <v>35803572.684044786</v>
      </c>
      <c r="L55" s="252">
        <f t="shared" si="127"/>
        <v>43280853.508640483</v>
      </c>
      <c r="M55" s="253">
        <f t="shared" ca="1" si="127"/>
        <v>49860000</v>
      </c>
      <c r="N55" s="253">
        <f t="shared" ref="N55" ca="1" si="128">SUM(N53:N54)</f>
        <v>49860000</v>
      </c>
      <c r="O55" s="3"/>
      <c r="P55" s="3"/>
      <c r="Q55" s="3"/>
      <c r="S55" s="251" t="s">
        <v>172</v>
      </c>
      <c r="T55" s="252">
        <f t="shared" ref="T55" ca="1" si="129">SUM(T53:T54)</f>
        <v>65244041.564077362</v>
      </c>
      <c r="U55" s="252">
        <f t="shared" ref="U55:W55" ca="1" si="130">SUM(U53:U54)</f>
        <v>76920749.687120289</v>
      </c>
      <c r="V55" s="252">
        <f t="shared" ca="1" si="130"/>
        <v>107699951.78304365</v>
      </c>
      <c r="W55" s="252">
        <f t="shared" ca="1" si="130"/>
        <v>107699951.78304365</v>
      </c>
      <c r="X55" s="3"/>
      <c r="Y55" s="3"/>
      <c r="Z55" s="3"/>
      <c r="AB55" s="251" t="s">
        <v>172</v>
      </c>
      <c r="AC55" s="252">
        <f t="shared" ref="AC55" ca="1" si="131">SUM(AC53:AC54)</f>
        <v>86697313.257075712</v>
      </c>
      <c r="AD55" s="252">
        <f t="shared" ref="AD55:AF55" ca="1" si="132">SUM(AD53:AD54)</f>
        <v>98373529.594888568</v>
      </c>
      <c r="AE55" s="252">
        <f t="shared" ca="1" si="132"/>
        <v>136005905.29451597</v>
      </c>
      <c r="AF55" s="252">
        <f t="shared" ca="1" si="132"/>
        <v>136005905.29451597</v>
      </c>
      <c r="AG55" s="3"/>
      <c r="AH55" s="3"/>
      <c r="AI55" s="3"/>
      <c r="AK55" s="251" t="s">
        <v>172</v>
      </c>
      <c r="AL55" s="252">
        <f t="shared" ref="AL55" ca="1" si="133">SUM(AL53:AL54)</f>
        <v>111368251.44377038</v>
      </c>
      <c r="AM55" s="252">
        <f t="shared" ref="AM55:AO55" ca="1" si="134">SUM(AM53:AM54)</f>
        <v>123535779.14054821</v>
      </c>
      <c r="AN55" s="252">
        <f t="shared" ca="1" si="134"/>
        <v>174344654.23694408</v>
      </c>
      <c r="AO55" s="252">
        <f t="shared" ca="1" si="134"/>
        <v>174344654.23694408</v>
      </c>
      <c r="AP55" s="3"/>
      <c r="AQ55" s="3"/>
      <c r="AR55" s="3"/>
    </row>
    <row r="56" spans="1:44" ht="16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15"/>
      <c r="L56" s="3"/>
      <c r="M56" s="3"/>
      <c r="N56" s="3"/>
      <c r="O56" s="3"/>
      <c r="P56" s="3"/>
      <c r="Q56" s="3"/>
      <c r="S56" s="3"/>
      <c r="T56" s="15"/>
      <c r="U56" s="3"/>
      <c r="V56" s="3"/>
      <c r="W56" s="3"/>
      <c r="X56" s="3"/>
      <c r="Y56" s="3"/>
      <c r="Z56" s="3"/>
      <c r="AB56" s="3"/>
      <c r="AC56" s="15"/>
      <c r="AD56" s="3"/>
      <c r="AE56" s="3"/>
      <c r="AF56" s="3"/>
      <c r="AG56" s="3"/>
      <c r="AH56" s="3"/>
      <c r="AI56" s="3"/>
      <c r="AK56" s="3"/>
      <c r="AL56" s="15"/>
      <c r="AM56" s="3"/>
      <c r="AN56" s="3"/>
      <c r="AO56" s="3"/>
      <c r="AP56" s="3"/>
      <c r="AQ56" s="3"/>
      <c r="AR56" s="3"/>
    </row>
    <row r="57" spans="1:44" ht="16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S57" s="3"/>
      <c r="T57" s="3"/>
      <c r="U57" s="3"/>
      <c r="V57" s="3"/>
      <c r="W57" s="3"/>
      <c r="X57" s="3"/>
      <c r="Y57" s="3"/>
      <c r="Z57" s="3"/>
      <c r="AB57" s="3"/>
      <c r="AC57" s="3"/>
      <c r="AD57" s="3"/>
      <c r="AE57" s="3"/>
      <c r="AF57" s="3"/>
      <c r="AG57" s="3"/>
      <c r="AH57" s="3"/>
      <c r="AI57" s="3"/>
      <c r="AK57" s="3"/>
      <c r="AL57" s="3"/>
      <c r="AM57" s="3"/>
      <c r="AN57" s="3"/>
      <c r="AO57" s="3"/>
      <c r="AP57" s="3"/>
      <c r="AQ57" s="3"/>
      <c r="AR57" s="3"/>
    </row>
    <row r="58" spans="1:44" ht="16.5" customHeight="1">
      <c r="A58" s="192">
        <f>A28</f>
        <v>2026</v>
      </c>
      <c r="B58" s="186" t="s">
        <v>14</v>
      </c>
      <c r="C58" s="244" t="s">
        <v>314</v>
      </c>
      <c r="D58" s="3"/>
      <c r="E58" s="3"/>
      <c r="F58" s="3"/>
      <c r="G58" s="3"/>
      <c r="H58" s="3"/>
      <c r="I58" s="3"/>
      <c r="J58" s="193">
        <f>A58+1</f>
        <v>2027</v>
      </c>
      <c r="K58" s="186" t="s">
        <v>14</v>
      </c>
      <c r="L58" s="186" t="s">
        <v>14</v>
      </c>
      <c r="M58" s="186" t="s">
        <v>14</v>
      </c>
      <c r="N58" s="186" t="s">
        <v>14</v>
      </c>
      <c r="O58" s="3"/>
      <c r="P58" s="3"/>
      <c r="Q58" s="3"/>
      <c r="S58" s="193">
        <f>J58+1</f>
        <v>2028</v>
      </c>
      <c r="T58" s="186" t="s">
        <v>14</v>
      </c>
      <c r="U58" s="186" t="s">
        <v>14</v>
      </c>
      <c r="V58" s="186" t="s">
        <v>14</v>
      </c>
      <c r="W58" s="186" t="s">
        <v>14</v>
      </c>
      <c r="X58" s="3"/>
      <c r="Y58" s="3"/>
      <c r="Z58" s="3"/>
      <c r="AB58" s="193">
        <f>S58+1</f>
        <v>2029</v>
      </c>
      <c r="AC58" s="186" t="s">
        <v>14</v>
      </c>
      <c r="AD58" s="186" t="s">
        <v>14</v>
      </c>
      <c r="AE58" s="186" t="s">
        <v>14</v>
      </c>
      <c r="AF58" s="186" t="s">
        <v>14</v>
      </c>
      <c r="AG58" s="3"/>
      <c r="AH58" s="3"/>
      <c r="AI58" s="3"/>
      <c r="AK58" s="193">
        <f>AB58+1</f>
        <v>2030</v>
      </c>
      <c r="AL58" s="186" t="s">
        <v>14</v>
      </c>
      <c r="AM58" s="186" t="s">
        <v>14</v>
      </c>
      <c r="AN58" s="186" t="s">
        <v>14</v>
      </c>
      <c r="AO58" s="186" t="s">
        <v>14</v>
      </c>
      <c r="AP58" s="3"/>
      <c r="AQ58" s="3"/>
      <c r="AR58" s="3"/>
    </row>
    <row r="59" spans="1:44" ht="16.5" customHeight="1">
      <c r="A59" s="366" t="s">
        <v>309</v>
      </c>
      <c r="B59" s="3"/>
      <c r="C59" s="3"/>
      <c r="D59" s="3"/>
      <c r="E59" s="3"/>
      <c r="F59" s="3"/>
      <c r="G59" s="3"/>
      <c r="H59" s="3"/>
      <c r="I59" s="3"/>
      <c r="J59" s="366" t="s">
        <v>316</v>
      </c>
      <c r="K59" s="186"/>
      <c r="L59" s="186" t="s">
        <v>274</v>
      </c>
      <c r="M59" s="186"/>
      <c r="N59" s="186"/>
      <c r="O59" s="3"/>
      <c r="P59" s="3"/>
      <c r="Q59" s="3"/>
      <c r="S59" s="366" t="s">
        <v>316</v>
      </c>
      <c r="T59" s="186"/>
      <c r="U59" s="186" t="s">
        <v>274</v>
      </c>
      <c r="V59" s="186"/>
      <c r="W59" s="186"/>
      <c r="X59" s="3"/>
      <c r="Y59" s="3"/>
      <c r="Z59" s="3"/>
      <c r="AB59" s="366" t="s">
        <v>316</v>
      </c>
      <c r="AC59" s="186"/>
      <c r="AD59" s="186" t="s">
        <v>274</v>
      </c>
      <c r="AE59" s="186"/>
      <c r="AF59" s="186"/>
      <c r="AG59" s="3"/>
      <c r="AH59" s="3"/>
      <c r="AI59" s="3"/>
      <c r="AK59" s="366" t="s">
        <v>316</v>
      </c>
      <c r="AL59" s="186"/>
      <c r="AM59" s="186" t="s">
        <v>274</v>
      </c>
      <c r="AN59" s="186"/>
      <c r="AO59" s="186"/>
      <c r="AP59" s="3"/>
      <c r="AQ59" s="3"/>
      <c r="AR59" s="3"/>
    </row>
    <row r="60" spans="1:44" ht="16.5" customHeight="1">
      <c r="A60" s="366" t="s">
        <v>228</v>
      </c>
      <c r="B60" s="374">
        <f ca="1">INDIRECT("기초!c"&amp;(MATCH($C$2,기초!$B:$B,0)+9))</f>
        <v>0</v>
      </c>
      <c r="C60" s="374">
        <f ca="1">INDIRECT("기초!d"&amp;(MATCH($C$2,기초!$B:$B,0)+9))</f>
        <v>0.5</v>
      </c>
      <c r="D60" s="374">
        <f ca="1">INDIRECT("기초!e"&amp;(MATCH($C$2,기초!$B:$B,0)+9))</f>
        <v>0</v>
      </c>
      <c r="E60" s="374">
        <f ca="1">INDIRECT("기초!f"&amp;(MATCH($C$2,기초!$B:$B,0)+9))</f>
        <v>0</v>
      </c>
      <c r="F60" s="3"/>
      <c r="G60" s="3"/>
      <c r="H60" s="3"/>
      <c r="I60" s="3"/>
      <c r="J60" s="366" t="s">
        <v>102</v>
      </c>
      <c r="K60" s="121">
        <f ca="1">B60</f>
        <v>0</v>
      </c>
      <c r="L60" s="121">
        <f ca="1">C60</f>
        <v>0.5</v>
      </c>
      <c r="M60" s="121">
        <f ca="1">D60</f>
        <v>0</v>
      </c>
      <c r="N60" s="121">
        <f ca="1">E60</f>
        <v>0</v>
      </c>
      <c r="O60" s="3"/>
      <c r="P60" s="3"/>
      <c r="Q60" s="3"/>
      <c r="S60" s="366" t="s">
        <v>102</v>
      </c>
      <c r="T60" s="121">
        <f ca="1">K60</f>
        <v>0</v>
      </c>
      <c r="U60" s="121">
        <f t="shared" ref="U60:W60" ca="1" si="135">L60</f>
        <v>0.5</v>
      </c>
      <c r="V60" s="121">
        <f t="shared" ca="1" si="135"/>
        <v>0</v>
      </c>
      <c r="W60" s="121">
        <f t="shared" ca="1" si="135"/>
        <v>0</v>
      </c>
      <c r="X60" s="3"/>
      <c r="Y60" s="3"/>
      <c r="Z60" s="3"/>
      <c r="AB60" s="366" t="s">
        <v>102</v>
      </c>
      <c r="AC60" s="121">
        <f ca="1">T60</f>
        <v>0</v>
      </c>
      <c r="AD60" s="121">
        <f t="shared" ref="AD60" ca="1" si="136">U60</f>
        <v>0.5</v>
      </c>
      <c r="AE60" s="121">
        <f t="shared" ref="AE60" ca="1" si="137">V60</f>
        <v>0</v>
      </c>
      <c r="AF60" s="121">
        <f t="shared" ref="AF60" ca="1" si="138">W60</f>
        <v>0</v>
      </c>
      <c r="AG60" s="3"/>
      <c r="AH60" s="3"/>
      <c r="AI60" s="3"/>
      <c r="AK60" s="366" t="s">
        <v>102</v>
      </c>
      <c r="AL60" s="121">
        <f ca="1">AC60</f>
        <v>0</v>
      </c>
      <c r="AM60" s="121">
        <f t="shared" ref="AM60" ca="1" si="139">AD60</f>
        <v>0.5</v>
      </c>
      <c r="AN60" s="121">
        <f t="shared" ref="AN60" ca="1" si="140">AE60</f>
        <v>0</v>
      </c>
      <c r="AO60" s="121">
        <f t="shared" ref="AO60" ca="1" si="141">AF60</f>
        <v>0</v>
      </c>
      <c r="AP60" s="3"/>
      <c r="AQ60" s="3"/>
      <c r="AR60" s="3"/>
    </row>
    <row r="61" spans="1:44" ht="16.5" customHeight="1">
      <c r="A61" s="376" t="s">
        <v>42</v>
      </c>
      <c r="B61" s="375">
        <f ca="1">INDIRECT("기초!c"&amp;(MATCH($C$2,기초!$B:$B,0)+7))</f>
        <v>0</v>
      </c>
      <c r="C61" s="375">
        <f ca="1">INDIRECT("기초!d"&amp;(MATCH($C$2,기초!$B:$B,0)+7))</f>
        <v>3</v>
      </c>
      <c r="D61" s="375">
        <f ca="1">INDIRECT("기초!e"&amp;(MATCH($C$2,기초!$B:$B,0)+7))</f>
        <v>0</v>
      </c>
      <c r="E61" s="375">
        <f ca="1">INDIRECT("기초!e"&amp;(MATCH($C$2,기초!$B:$B,0)+7))</f>
        <v>0</v>
      </c>
      <c r="F61" s="3"/>
      <c r="G61" s="3"/>
      <c r="H61" s="3"/>
      <c r="I61" s="3"/>
      <c r="J61" s="373" t="s">
        <v>103</v>
      </c>
      <c r="K61" s="219">
        <f ca="1">B61+1</f>
        <v>1</v>
      </c>
      <c r="L61" s="219">
        <f ca="1">C61+1</f>
        <v>4</v>
      </c>
      <c r="M61" s="219">
        <f ca="1">D61+1</f>
        <v>1</v>
      </c>
      <c r="N61" s="219">
        <f ca="1">E61+1</f>
        <v>1</v>
      </c>
      <c r="O61" s="3"/>
      <c r="P61" s="3"/>
      <c r="Q61" s="3"/>
      <c r="S61" s="373"/>
      <c r="T61" s="219"/>
      <c r="U61" s="219"/>
      <c r="V61" s="219"/>
      <c r="W61" s="219"/>
      <c r="X61" s="3"/>
      <c r="Y61" s="3"/>
      <c r="Z61" s="3"/>
      <c r="AB61" s="373"/>
      <c r="AC61" s="219"/>
      <c r="AD61" s="219"/>
      <c r="AE61" s="219"/>
      <c r="AF61" s="219"/>
      <c r="AG61" s="3"/>
      <c r="AH61" s="3"/>
      <c r="AI61" s="3"/>
      <c r="AK61" s="373"/>
      <c r="AL61" s="219"/>
      <c r="AM61" s="219"/>
      <c r="AN61" s="219"/>
      <c r="AO61" s="219"/>
      <c r="AP61" s="3"/>
      <c r="AQ61" s="3"/>
      <c r="AR61" s="3"/>
    </row>
    <row r="62" spans="1:44" ht="16.5" customHeight="1">
      <c r="A62" s="366" t="s">
        <v>104</v>
      </c>
      <c r="B62" s="10" t="b">
        <f>IF(B$10="1세대1주택",IF(B61&gt;=15,50%,IF(B61&gt;=10,40%,IF(B61&gt;=5,20%,0))))</f>
        <v>0</v>
      </c>
      <c r="C62" s="17"/>
      <c r="D62" s="17"/>
      <c r="E62" s="17"/>
      <c r="F62" s="3"/>
      <c r="G62" s="3"/>
      <c r="H62" s="3"/>
      <c r="I62" s="3"/>
      <c r="J62" s="366" t="s">
        <v>105</v>
      </c>
      <c r="K62" s="121" t="b">
        <f>IF(K$10="1세대1주택",IF(K61&gt;=15,25%,IF(K61&gt;=10,20%,IF(K61&gt;=5,10%,0))))</f>
        <v>0</v>
      </c>
      <c r="L62" s="121" t="b">
        <f t="shared" ref="L62" si="142">IF(L$10="1세대1주택",IF(L61&gt;=15,25%,IF(L61&gt;=10,20%,IF(L61&gt;=5,10%,0))))</f>
        <v>0</v>
      </c>
      <c r="M62" s="121" t="b">
        <f t="shared" ref="M62" si="143">IF(M$10="1세대1주택",IF(M61&gt;=15,25%,IF(M61&gt;=10,20%,IF(M61&gt;=5,10%,0))))</f>
        <v>0</v>
      </c>
      <c r="N62" s="121" t="b">
        <f t="shared" ref="N62" si="144">IF(N$10="1세대1주택",IF(N61&gt;=15,25%,IF(N61&gt;=10,20%,IF(N61&gt;=5,10%,0))))</f>
        <v>0</v>
      </c>
      <c r="O62" s="3"/>
      <c r="P62" s="3"/>
      <c r="Q62" s="3"/>
      <c r="S62" s="366"/>
      <c r="T62" s="121"/>
      <c r="U62" s="121"/>
      <c r="V62" s="121"/>
      <c r="W62" s="121"/>
      <c r="X62" s="3"/>
      <c r="Y62" s="3"/>
      <c r="Z62" s="3"/>
      <c r="AB62" s="366"/>
      <c r="AC62" s="121"/>
      <c r="AD62" s="121"/>
      <c r="AE62" s="121"/>
      <c r="AF62" s="121"/>
      <c r="AG62" s="3"/>
      <c r="AH62" s="3"/>
      <c r="AI62" s="3"/>
      <c r="AK62" s="366"/>
      <c r="AL62" s="121"/>
      <c r="AM62" s="121"/>
      <c r="AN62" s="121"/>
      <c r="AO62" s="121"/>
      <c r="AP62" s="3"/>
      <c r="AQ62" s="3"/>
      <c r="AR62" s="3"/>
    </row>
    <row r="63" spans="1:44" ht="16.5" customHeight="1">
      <c r="A63" s="366" t="s">
        <v>106</v>
      </c>
      <c r="B63" s="2">
        <f>$B$3</f>
        <v>4</v>
      </c>
      <c r="C63" s="2">
        <f t="shared" ref="C63:E63" si="145">$B$3</f>
        <v>4</v>
      </c>
      <c r="D63" s="2">
        <f t="shared" si="145"/>
        <v>4</v>
      </c>
      <c r="E63" s="2">
        <f t="shared" si="145"/>
        <v>4</v>
      </c>
      <c r="F63" s="3"/>
      <c r="G63" s="3"/>
      <c r="H63" s="3"/>
      <c r="I63" s="3"/>
      <c r="J63" s="366" t="s">
        <v>106</v>
      </c>
      <c r="K63" s="119">
        <f>$B$3</f>
        <v>4</v>
      </c>
      <c r="L63" s="119">
        <f t="shared" ref="L63:N63" si="146">$B$3</f>
        <v>4</v>
      </c>
      <c r="M63" s="119">
        <f t="shared" si="146"/>
        <v>4</v>
      </c>
      <c r="N63" s="119">
        <f t="shared" si="146"/>
        <v>4</v>
      </c>
      <c r="O63" s="3"/>
      <c r="P63" s="3"/>
      <c r="Q63" s="3"/>
      <c r="S63" s="366" t="s">
        <v>106</v>
      </c>
      <c r="T63" s="119">
        <f>$B$3</f>
        <v>4</v>
      </c>
      <c r="U63" s="119">
        <f t="shared" ref="U63:W63" si="147">$B$3</f>
        <v>4</v>
      </c>
      <c r="V63" s="119">
        <f t="shared" si="147"/>
        <v>4</v>
      </c>
      <c r="W63" s="119">
        <f t="shared" si="147"/>
        <v>4</v>
      </c>
      <c r="X63" s="3"/>
      <c r="Y63" s="3"/>
      <c r="Z63" s="3"/>
      <c r="AB63" s="366" t="s">
        <v>106</v>
      </c>
      <c r="AC63" s="119">
        <f>$B$3</f>
        <v>4</v>
      </c>
      <c r="AD63" s="119">
        <f t="shared" ref="AD63:AF63" si="148">$B$3</f>
        <v>4</v>
      </c>
      <c r="AE63" s="119">
        <f t="shared" si="148"/>
        <v>4</v>
      </c>
      <c r="AF63" s="119">
        <f t="shared" si="148"/>
        <v>4</v>
      </c>
      <c r="AG63" s="3"/>
      <c r="AH63" s="3"/>
      <c r="AI63" s="3"/>
      <c r="AK63" s="366" t="s">
        <v>106</v>
      </c>
      <c r="AL63" s="119">
        <f>$B$3</f>
        <v>4</v>
      </c>
      <c r="AM63" s="119">
        <f t="shared" ref="AM63:AO63" si="149">$B$3</f>
        <v>4</v>
      </c>
      <c r="AN63" s="119">
        <f t="shared" si="149"/>
        <v>4</v>
      </c>
      <c r="AO63" s="119">
        <f t="shared" si="149"/>
        <v>4</v>
      </c>
      <c r="AP63" s="3"/>
      <c r="AQ63" s="3"/>
      <c r="AR63" s="3"/>
    </row>
    <row r="64" spans="1:44" ht="16.5" customHeight="1">
      <c r="A64" s="366" t="s">
        <v>77</v>
      </c>
      <c r="B64" s="2" t="str">
        <f>IF(B63&lt;=2,"기본세율","중과세율")</f>
        <v>중과세율</v>
      </c>
      <c r="C64" s="17"/>
      <c r="D64" s="17"/>
      <c r="E64" s="17"/>
      <c r="F64" s="3"/>
      <c r="G64" s="3"/>
      <c r="H64" s="3"/>
      <c r="I64" s="3"/>
      <c r="J64" s="366" t="s">
        <v>77</v>
      </c>
      <c r="K64" s="119" t="str">
        <f>IF(K63&lt;=2,"기본세율","중과세율")</f>
        <v>중과세율</v>
      </c>
      <c r="L64" s="119" t="str">
        <f t="shared" ref="L64" si="150">IF(L63&lt;=2,"기본세율","중과세율")</f>
        <v>중과세율</v>
      </c>
      <c r="M64" s="119" t="str">
        <f t="shared" ref="M64" si="151">IF(M63&lt;=2,"기본세율","중과세율")</f>
        <v>중과세율</v>
      </c>
      <c r="N64" s="119" t="str">
        <f t="shared" ref="N64" si="152">IF(N63&lt;=2,"기본세율","중과세율")</f>
        <v>중과세율</v>
      </c>
      <c r="O64" s="3"/>
      <c r="P64" s="3"/>
      <c r="Q64" s="3"/>
      <c r="S64" s="366" t="s">
        <v>77</v>
      </c>
      <c r="T64" s="119" t="str">
        <f>IF(T63&lt;=2,"기본세율","중과세율")</f>
        <v>중과세율</v>
      </c>
      <c r="U64" s="119" t="str">
        <f t="shared" ref="U64" si="153">IF(U63&lt;=2,"기본세율","중과세율")</f>
        <v>중과세율</v>
      </c>
      <c r="V64" s="119" t="str">
        <f t="shared" ref="V64" si="154">IF(V63&lt;=2,"기본세율","중과세율")</f>
        <v>중과세율</v>
      </c>
      <c r="W64" s="119" t="str">
        <f t="shared" ref="W64" si="155">IF(W63&lt;=2,"기본세율","중과세율")</f>
        <v>중과세율</v>
      </c>
      <c r="X64" s="3"/>
      <c r="Y64" s="3"/>
      <c r="Z64" s="3"/>
      <c r="AB64" s="366" t="s">
        <v>77</v>
      </c>
      <c r="AC64" s="119" t="str">
        <f>IF(AC63&lt;=2,"기본세율","중과세율")</f>
        <v>중과세율</v>
      </c>
      <c r="AD64" s="119" t="str">
        <f t="shared" ref="AD64" si="156">IF(AD63&lt;=2,"기본세율","중과세율")</f>
        <v>중과세율</v>
      </c>
      <c r="AE64" s="119" t="str">
        <f t="shared" ref="AE64" si="157">IF(AE63&lt;=2,"기본세율","중과세율")</f>
        <v>중과세율</v>
      </c>
      <c r="AF64" s="119" t="str">
        <f t="shared" ref="AF64" si="158">IF(AF63&lt;=2,"기본세율","중과세율")</f>
        <v>중과세율</v>
      </c>
      <c r="AG64" s="3"/>
      <c r="AH64" s="3"/>
      <c r="AI64" s="3"/>
      <c r="AK64" s="366" t="s">
        <v>77</v>
      </c>
      <c r="AL64" s="119" t="str">
        <f>IF(AL63&lt;=2,"기본세율","중과세율")</f>
        <v>중과세율</v>
      </c>
      <c r="AM64" s="119" t="str">
        <f t="shared" ref="AM64" si="159">IF(AM63&lt;=2,"기본세율","중과세율")</f>
        <v>중과세율</v>
      </c>
      <c r="AN64" s="119" t="str">
        <f t="shared" ref="AN64" si="160">IF(AN63&lt;=2,"기본세율","중과세율")</f>
        <v>중과세율</v>
      </c>
      <c r="AO64" s="119" t="str">
        <f t="shared" ref="AO64" si="161">IF(AO63&lt;=2,"기본세율","중과세율")</f>
        <v>중과세율</v>
      </c>
      <c r="AP64" s="3"/>
      <c r="AQ64" s="3"/>
      <c r="AR64" s="3"/>
    </row>
    <row r="65" spans="1:44" ht="16.5" customHeight="1">
      <c r="A65" s="366" t="s">
        <v>234</v>
      </c>
      <c r="B65" s="375">
        <f ca="1">INDIRECT("기초!c"&amp;(MATCH($C$2,기초!$B:$B,0)+8))</f>
        <v>0</v>
      </c>
      <c r="C65" s="375">
        <f ca="1">INDIRECT("기초!d"&amp;(MATCH($C$2,기초!$B:$B,0)+8))</f>
        <v>3</v>
      </c>
      <c r="D65" s="375">
        <f ca="1">INDIRECT("기초!e"&amp;(MATCH($C$2,기초!$B:$B,0)+8))</f>
        <v>0</v>
      </c>
      <c r="E65" s="375">
        <f ca="1">INDIRECT("기초!e"&amp;(MATCH($C$2,기초!$B:$B,0)+8))</f>
        <v>0</v>
      </c>
      <c r="F65" s="3"/>
      <c r="G65" s="3"/>
      <c r="H65" s="3"/>
      <c r="I65" s="3"/>
      <c r="J65" s="259" t="s">
        <v>277</v>
      </c>
      <c r="K65" s="219">
        <f ca="1">B65+1</f>
        <v>1</v>
      </c>
      <c r="L65" s="219">
        <f ca="1">C65+1</f>
        <v>4</v>
      </c>
      <c r="M65" s="219">
        <f ca="1">D65+1</f>
        <v>1</v>
      </c>
      <c r="N65" s="219">
        <f ca="1">E65+1</f>
        <v>1</v>
      </c>
      <c r="O65" s="3"/>
      <c r="P65" s="3"/>
      <c r="Q65" s="3"/>
      <c r="S65" s="259" t="s">
        <v>277</v>
      </c>
      <c r="T65" s="219">
        <f ca="1">K65+1</f>
        <v>2</v>
      </c>
      <c r="U65" s="219">
        <f t="shared" ref="U65:W65" ca="1" si="162">L65+1</f>
        <v>5</v>
      </c>
      <c r="V65" s="219">
        <f t="shared" ca="1" si="162"/>
        <v>2</v>
      </c>
      <c r="W65" s="219">
        <f t="shared" ca="1" si="162"/>
        <v>2</v>
      </c>
      <c r="X65" s="3"/>
      <c r="Y65" s="3"/>
      <c r="Z65" s="3"/>
      <c r="AB65" s="259" t="s">
        <v>277</v>
      </c>
      <c r="AC65" s="219">
        <f ca="1">T65+1</f>
        <v>3</v>
      </c>
      <c r="AD65" s="219">
        <f t="shared" ref="AD65" ca="1" si="163">U65+1</f>
        <v>6</v>
      </c>
      <c r="AE65" s="219">
        <f t="shared" ref="AE65" ca="1" si="164">V65+1</f>
        <v>3</v>
      </c>
      <c r="AF65" s="219">
        <f t="shared" ref="AF65" ca="1" si="165">W65+1</f>
        <v>3</v>
      </c>
      <c r="AG65" s="3"/>
      <c r="AH65" s="3"/>
      <c r="AI65" s="3"/>
      <c r="AK65" s="259" t="s">
        <v>277</v>
      </c>
      <c r="AL65" s="219">
        <f ca="1">AC65+1</f>
        <v>4</v>
      </c>
      <c r="AM65" s="219">
        <f t="shared" ref="AM65" ca="1" si="166">AD65+1</f>
        <v>7</v>
      </c>
      <c r="AN65" s="219">
        <f t="shared" ref="AN65" ca="1" si="167">AE65+1</f>
        <v>4</v>
      </c>
      <c r="AO65" s="219">
        <f t="shared" ref="AO65" ca="1" si="168">AF65+1</f>
        <v>4</v>
      </c>
      <c r="AP65" s="3"/>
      <c r="AQ65" s="3"/>
      <c r="AR65" s="3"/>
    </row>
    <row r="66" spans="1:44" ht="16.5" customHeight="1">
      <c r="A66" s="367"/>
      <c r="B66" s="3"/>
      <c r="C66" s="17"/>
      <c r="D66" s="17"/>
      <c r="E66" s="17"/>
      <c r="F66" s="3"/>
      <c r="G66" s="3"/>
      <c r="H66" s="3"/>
      <c r="I66" s="3"/>
      <c r="J66" s="259" t="s">
        <v>278</v>
      </c>
      <c r="K66" s="121" t="b">
        <f>IF(AND(K$58="1세대1주택",K59="거주"),IF(K65&gt;=15,50%,IF(K65&gt;=10,40%,IF(K65&gt;=5,20%,0))))</f>
        <v>0</v>
      </c>
      <c r="L66" s="121" t="b">
        <f>IF(AND(L$58="1세대1주택",L59="거주"),IF(L65&gt;=15,50%,IF(L65&gt;=10,40%,IF(L65&gt;=5,20%,0))))</f>
        <v>0</v>
      </c>
      <c r="M66" s="121" t="b">
        <f>IF(AND(M$58="1세대1주택",M59="거주"),IF(M65&gt;=15,50%,IF(M65&gt;=10,40%,IF(M65&gt;=5,20%,0))))</f>
        <v>0</v>
      </c>
      <c r="N66" s="121" t="b">
        <f>IF(AND(N$58="1세대1주택",N59="거주"),IF(N65&gt;=15,50%,IF(N65&gt;=10,40%,IF(N65&gt;=5,20%,0))))</f>
        <v>0</v>
      </c>
      <c r="O66" s="3"/>
      <c r="P66" s="3"/>
      <c r="Q66" s="3"/>
      <c r="S66" s="259" t="s">
        <v>278</v>
      </c>
      <c r="T66" s="10" t="b">
        <f>IF(AND(T$58="1세대1주택",T59="거주"),IF(T65&gt;=15,50%,IF(T65&gt;=10,40%,IF(T65&gt;=5,20%,0))))</f>
        <v>0</v>
      </c>
      <c r="U66" s="10" t="b">
        <f t="shared" ref="U66:W66" si="169">IF(AND(U$58="1세대1주택",U59="거주"),IF(U65&gt;=15,50%,IF(U65&gt;=10,40%,IF(U65&gt;=5,20%,0))))</f>
        <v>0</v>
      </c>
      <c r="V66" s="10" t="b">
        <f t="shared" si="169"/>
        <v>0</v>
      </c>
      <c r="W66" s="10" t="b">
        <f t="shared" si="169"/>
        <v>0</v>
      </c>
      <c r="X66" s="3"/>
      <c r="Y66" s="3"/>
      <c r="Z66" s="3"/>
      <c r="AB66" s="259" t="s">
        <v>278</v>
      </c>
      <c r="AC66" s="10" t="b">
        <f>IF(AND(AC$58="1세대1주택",AC59="거주"),IF(AC65&gt;=15,50%,IF(AC65&gt;=10,40%,IF(AC65&gt;=5,20%,0))))</f>
        <v>0</v>
      </c>
      <c r="AD66" s="10" t="b">
        <f t="shared" ref="AD66:AF66" si="170">IF(AND(AD$58="1세대1주택",AD59="거주"),IF(AD65&gt;=15,50%,IF(AD65&gt;=10,40%,IF(AD65&gt;=5,20%,0))))</f>
        <v>0</v>
      </c>
      <c r="AE66" s="10" t="b">
        <f t="shared" si="170"/>
        <v>0</v>
      </c>
      <c r="AF66" s="10" t="b">
        <f t="shared" si="170"/>
        <v>0</v>
      </c>
      <c r="AG66" s="3"/>
      <c r="AH66" s="3"/>
      <c r="AI66" s="3"/>
      <c r="AK66" s="259" t="s">
        <v>278</v>
      </c>
      <c r="AL66" s="10" t="b">
        <f>IF(AND(AL58="1세대1주택",AL59="거주"),IF(AL65&gt;=15,50%,IF(AL65&gt;=10,40%,IF(AL65&gt;=5,20%,0))))</f>
        <v>0</v>
      </c>
      <c r="AM66" s="10" t="b">
        <f t="shared" ref="AM66" si="171">IF(AND(AM58="1세대1주택",AM59="거주"),IF(AM65&gt;=15,50%,IF(AM65&gt;=10,40%,IF(AM65&gt;=5,20%,0))))</f>
        <v>0</v>
      </c>
      <c r="AN66" s="10" t="b">
        <f t="shared" ref="AN66" si="172">IF(AND(AN58="1세대1주택",AN59="거주"),IF(AN65&gt;=15,50%,IF(AN65&gt;=10,40%,IF(AN65&gt;=5,20%,0))))</f>
        <v>0</v>
      </c>
      <c r="AO66" s="10" t="b">
        <f t="shared" ref="AO66" si="173">IF(AND(AO58="1세대1주택",AO59="거주"),IF(AO65&gt;=15,50%,IF(AO65&gt;=10,40%,IF(AO65&gt;=5,20%,0))))</f>
        <v>0</v>
      </c>
      <c r="AP66" s="3"/>
      <c r="AQ66" s="3"/>
      <c r="AR66" s="3"/>
    </row>
    <row r="67" spans="1:44" ht="16.5" customHeight="1">
      <c r="A67" s="366" t="s">
        <v>3</v>
      </c>
      <c r="B67" s="219">
        <f>기초!B32</f>
        <v>0</v>
      </c>
      <c r="C67" s="17"/>
      <c r="D67" s="17"/>
      <c r="E67" s="17"/>
      <c r="F67" s="3"/>
      <c r="G67" s="3"/>
      <c r="H67" s="3"/>
      <c r="I67" s="3"/>
      <c r="J67" s="366" t="s">
        <v>108</v>
      </c>
      <c r="K67" s="354">
        <f>B67+1</f>
        <v>1</v>
      </c>
      <c r="L67" s="219">
        <f>K67</f>
        <v>1</v>
      </c>
      <c r="M67" s="219">
        <f>L67</f>
        <v>1</v>
      </c>
      <c r="N67" s="219">
        <f>M67</f>
        <v>1</v>
      </c>
      <c r="O67" s="3"/>
      <c r="P67" s="3"/>
      <c r="Q67" s="3"/>
      <c r="S67" s="366" t="s">
        <v>108</v>
      </c>
      <c r="T67" s="49">
        <f>K67+1</f>
        <v>2</v>
      </c>
      <c r="U67" s="49">
        <f t="shared" ref="U67:W67" si="174">L67+1</f>
        <v>2</v>
      </c>
      <c r="V67" s="49">
        <f t="shared" si="174"/>
        <v>2</v>
      </c>
      <c r="W67" s="49">
        <f t="shared" si="174"/>
        <v>2</v>
      </c>
      <c r="X67" s="3"/>
      <c r="Y67" s="3"/>
      <c r="Z67" s="3"/>
      <c r="AB67" s="366" t="s">
        <v>108</v>
      </c>
      <c r="AC67" s="49">
        <f>T67+1</f>
        <v>3</v>
      </c>
      <c r="AD67" s="49">
        <f t="shared" ref="AD67" si="175">U67+1</f>
        <v>3</v>
      </c>
      <c r="AE67" s="49">
        <f t="shared" ref="AE67" si="176">V67+1</f>
        <v>3</v>
      </c>
      <c r="AF67" s="49">
        <f t="shared" ref="AF67" si="177">W67+1</f>
        <v>3</v>
      </c>
      <c r="AG67" s="3"/>
      <c r="AH67" s="3"/>
      <c r="AI67" s="3"/>
      <c r="AK67" s="366" t="s">
        <v>108</v>
      </c>
      <c r="AL67" s="49">
        <f>AC67+1</f>
        <v>4</v>
      </c>
      <c r="AM67" s="49">
        <f t="shared" ref="AM67" si="178">AD67+1</f>
        <v>4</v>
      </c>
      <c r="AN67" s="49">
        <f t="shared" ref="AN67" si="179">AE67+1</f>
        <v>4</v>
      </c>
      <c r="AO67" s="49">
        <f t="shared" ref="AO67" si="180">AF67+1</f>
        <v>4</v>
      </c>
      <c r="AP67" s="3"/>
      <c r="AQ67" s="3"/>
      <c r="AR67" s="3"/>
    </row>
    <row r="68" spans="1:44" ht="16.5" customHeight="1">
      <c r="A68" s="366" t="s">
        <v>110</v>
      </c>
      <c r="B68" s="10" t="b">
        <f>IF(B$10="1세대1주택",IF(B67&gt;=70,40%,IF(B67&gt;=65,30%,IF(B67&gt;=60,20%,0))))</f>
        <v>0</v>
      </c>
      <c r="C68" s="17"/>
      <c r="D68" s="17"/>
      <c r="E68" s="17"/>
      <c r="F68" s="3"/>
      <c r="G68" s="3"/>
      <c r="H68" s="3"/>
      <c r="I68" s="3"/>
      <c r="J68" s="366" t="s">
        <v>115</v>
      </c>
      <c r="K68" s="121" t="b">
        <f>IF(K$58="1세대1주택",IF(K67&gt;=70,40%,IF(K67&gt;=65,30%,IF(K67&gt;=60,20%,0))))</f>
        <v>0</v>
      </c>
      <c r="L68" s="121" t="b">
        <f>IF(L$58="1세대1주택",IF(L67&gt;=70,40%,IF(L67&gt;=65,30%,IF(L67&gt;=60,20%,0))))</f>
        <v>0</v>
      </c>
      <c r="M68" s="121" t="b">
        <f>IF(M$58="1세대1주택",IF(M67&gt;=70,40%,IF(M67&gt;=65,30%,IF(M67&gt;=60,20%,0))))</f>
        <v>0</v>
      </c>
      <c r="N68" s="121" t="b">
        <f>IF(N$58="1세대1주택",IF(N67&gt;=70,40%,IF(N67&gt;=65,30%,IF(N67&gt;=60,20%,0))))</f>
        <v>0</v>
      </c>
      <c r="O68" s="3"/>
      <c r="P68" s="3"/>
      <c r="Q68" s="3"/>
      <c r="S68" s="366" t="s">
        <v>115</v>
      </c>
      <c r="T68" s="10" t="b">
        <f>IF(T$58="1세대1주택",IF(T67&gt;=70,40%,IF(T67&gt;=65,30%,IF(T67&gt;=60,20%,0))))</f>
        <v>0</v>
      </c>
      <c r="U68" s="10" t="b">
        <f>IF(U$58="1세대1주택",IF(U67&gt;=70,40%,IF(U67&gt;=65,30%,IF(U67&gt;=60,20%,0))))</f>
        <v>0</v>
      </c>
      <c r="V68" s="10" t="b">
        <f>IF(V$58="1세대1주택",IF(V67&gt;=70,40%,IF(V67&gt;=65,30%,IF(V67&gt;=60,20%,0))))</f>
        <v>0</v>
      </c>
      <c r="W68" s="10" t="b">
        <f>IF(W$58="1세대1주택",IF(W67&gt;=70,40%,IF(W67&gt;=65,30%,IF(W67&gt;=60,20%,0))))</f>
        <v>0</v>
      </c>
      <c r="X68" s="3"/>
      <c r="Y68" s="3"/>
      <c r="Z68" s="3"/>
      <c r="AB68" s="366" t="s">
        <v>115</v>
      </c>
      <c r="AC68" s="10" t="b">
        <f>IF(AC$58="1세대1주택",IF(AC67&gt;=70,40%,IF(AC67&gt;=65,30%,IF(AC67&gt;=60,20%,0))))</f>
        <v>0</v>
      </c>
      <c r="AD68" s="10" t="b">
        <f>IF(AD$58="1세대1주택",IF(AD67&gt;=70,40%,IF(AD67&gt;=65,30%,IF(AD67&gt;=60,20%,0))))</f>
        <v>0</v>
      </c>
      <c r="AE68" s="10" t="b">
        <f>IF(AE$58="1세대1주택",IF(AE67&gt;=70,40%,IF(AE67&gt;=65,30%,IF(AE67&gt;=60,20%,0))))</f>
        <v>0</v>
      </c>
      <c r="AF68" s="10" t="b">
        <f>IF(AF$58="1세대1주택",IF(AF67&gt;=70,40%,IF(AF67&gt;=65,30%,IF(AF67&gt;=60,20%,0))))</f>
        <v>0</v>
      </c>
      <c r="AG68" s="3"/>
      <c r="AH68" s="3"/>
      <c r="AI68" s="3"/>
      <c r="AK68" s="366" t="s">
        <v>115</v>
      </c>
      <c r="AL68" s="10" t="b">
        <f>IF(AL58="1세대1주택",IF(AL67&gt;=70,40%,IF(AL67&gt;=65,30%,IF(AL67&gt;=60,20%,0))))</f>
        <v>0</v>
      </c>
      <c r="AM68" s="10" t="b">
        <f t="shared" ref="AM68" si="181">IF(AM58="1세대1주택",IF(AM67&gt;=70,40%,IF(AM67&gt;=65,30%,IF(AM67&gt;=60,20%,0))))</f>
        <v>0</v>
      </c>
      <c r="AN68" s="10" t="b">
        <f t="shared" ref="AN68" si="182">IF(AN58="1세대1주택",IF(AN67&gt;=70,40%,IF(AN67&gt;=65,30%,IF(AN67&gt;=60,20%,0))))</f>
        <v>0</v>
      </c>
      <c r="AO68" s="10" t="b">
        <f t="shared" ref="AO68" si="183">IF(AO58="1세대1주택",IF(AO67&gt;=70,40%,IF(AO67&gt;=65,30%,IF(AO67&gt;=60,20%,0))))</f>
        <v>0</v>
      </c>
      <c r="AP68" s="3"/>
      <c r="AQ68" s="3"/>
      <c r="AR68" s="3"/>
    </row>
    <row r="69" spans="1:44" ht="16.5" customHeight="1">
      <c r="A69" s="83"/>
      <c r="B69" s="17"/>
      <c r="C69" s="17"/>
      <c r="D69" s="17"/>
      <c r="E69" s="17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S69" s="3"/>
      <c r="T69" s="3"/>
      <c r="U69" s="3"/>
      <c r="V69" s="3"/>
      <c r="W69" s="3"/>
      <c r="X69" s="3"/>
      <c r="Y69" s="3"/>
      <c r="Z69" s="3"/>
      <c r="AB69" s="3"/>
      <c r="AC69" s="3"/>
      <c r="AD69" s="3"/>
      <c r="AE69" s="3"/>
      <c r="AF69" s="3"/>
      <c r="AG69" s="3"/>
      <c r="AH69" s="3"/>
      <c r="AI69" s="3"/>
      <c r="AK69" s="3"/>
      <c r="AL69" s="3"/>
      <c r="AM69" s="3"/>
      <c r="AN69" s="3"/>
      <c r="AO69" s="3"/>
      <c r="AP69" s="3"/>
      <c r="AQ69" s="3"/>
      <c r="AR69" s="3"/>
    </row>
    <row r="70" spans="1:44" ht="16.5" customHeight="1">
      <c r="A70" s="192">
        <f>A58</f>
        <v>2026</v>
      </c>
      <c r="B70" s="17"/>
      <c r="C70" s="17"/>
      <c r="D70" s="17"/>
      <c r="E70" s="17"/>
      <c r="F70" s="3"/>
      <c r="G70" s="3"/>
      <c r="H70" s="3"/>
      <c r="I70" s="3"/>
      <c r="J70" s="245">
        <f>A70+1</f>
        <v>2027</v>
      </c>
      <c r="K70" s="121" t="s">
        <v>319</v>
      </c>
      <c r="L70" s="121" t="s">
        <v>317</v>
      </c>
      <c r="M70" s="121" t="s">
        <v>211</v>
      </c>
      <c r="N70" s="121" t="s">
        <v>215</v>
      </c>
      <c r="O70" s="3"/>
      <c r="P70" s="3"/>
      <c r="Q70" s="3"/>
      <c r="S70" s="245">
        <f>J70+1</f>
        <v>2028</v>
      </c>
      <c r="T70" s="121" t="s">
        <v>319</v>
      </c>
      <c r="U70" s="121" t="s">
        <v>317</v>
      </c>
      <c r="V70" s="121" t="s">
        <v>211</v>
      </c>
      <c r="W70" s="121" t="s">
        <v>215</v>
      </c>
      <c r="X70" s="3"/>
      <c r="Y70" s="3"/>
      <c r="Z70" s="3"/>
      <c r="AB70" s="245">
        <f>S70+1</f>
        <v>2029</v>
      </c>
      <c r="AC70" s="121" t="s">
        <v>319</v>
      </c>
      <c r="AD70" s="121" t="s">
        <v>317</v>
      </c>
      <c r="AE70" s="121" t="s">
        <v>211</v>
      </c>
      <c r="AF70" s="121" t="s">
        <v>215</v>
      </c>
      <c r="AG70" s="3"/>
      <c r="AH70" s="3"/>
      <c r="AI70" s="3"/>
      <c r="AK70" s="245">
        <f>AB70+1</f>
        <v>2030</v>
      </c>
      <c r="AL70" s="121" t="s">
        <v>319</v>
      </c>
      <c r="AM70" s="121" t="s">
        <v>317</v>
      </c>
      <c r="AN70" s="121" t="s">
        <v>211</v>
      </c>
      <c r="AO70" s="121" t="s">
        <v>215</v>
      </c>
      <c r="AP70" s="3"/>
      <c r="AQ70" s="3"/>
      <c r="AR70" s="3"/>
    </row>
    <row r="71" spans="1:44" ht="16.5" customHeight="1">
      <c r="A71" s="194" t="s">
        <v>142</v>
      </c>
      <c r="B71" s="15">
        <f ca="1">SUMPRODUCT($B$11:$E$11,$B$60:$E$60)</f>
        <v>0</v>
      </c>
      <c r="C71" s="3"/>
      <c r="D71" s="3"/>
      <c r="E71" s="3"/>
      <c r="F71" s="3"/>
      <c r="G71" s="3"/>
      <c r="H71" s="3"/>
      <c r="I71" s="3"/>
      <c r="J71" s="246" t="s">
        <v>142</v>
      </c>
      <c r="K71" s="247">
        <f ca="1">SUMPRODUCT($K$11:$N$11,$K$60:$N$60)</f>
        <v>0</v>
      </c>
      <c r="L71" s="247">
        <f t="shared" ref="L71:N71" ca="1" si="184">SUMPRODUCT($K$11:$N$11,$K$60:$N$60)</f>
        <v>0</v>
      </c>
      <c r="M71" s="247">
        <f t="shared" ca="1" si="184"/>
        <v>0</v>
      </c>
      <c r="N71" s="247">
        <f t="shared" ca="1" si="184"/>
        <v>0</v>
      </c>
      <c r="O71" s="3"/>
      <c r="P71" s="3"/>
      <c r="Q71" s="3"/>
      <c r="S71" s="246" t="s">
        <v>142</v>
      </c>
      <c r="T71" s="247">
        <f ca="1">SUMPRODUCT($T$11:$W$11,$T$60:$W$60)</f>
        <v>0</v>
      </c>
      <c r="U71" s="247">
        <f t="shared" ref="U71:W71" ca="1" si="185">SUMPRODUCT($T$11:$W$11,$T$60:$W$60)</f>
        <v>0</v>
      </c>
      <c r="V71" s="247">
        <f t="shared" ca="1" si="185"/>
        <v>0</v>
      </c>
      <c r="W71" s="247">
        <f t="shared" ca="1" si="185"/>
        <v>0</v>
      </c>
      <c r="X71" s="3"/>
      <c r="Y71" s="3"/>
      <c r="Z71" s="3"/>
      <c r="AB71" s="246" t="s">
        <v>142</v>
      </c>
      <c r="AC71" s="247">
        <f ca="1">SUMPRODUCT($AC$11:$AF$11,$AC$60:$AF$60)</f>
        <v>0</v>
      </c>
      <c r="AD71" s="247">
        <f t="shared" ref="AD71:AF71" ca="1" si="186">SUMPRODUCT($AC$11:$AF$11,$AC$60:$AF$60)</f>
        <v>0</v>
      </c>
      <c r="AE71" s="247">
        <f t="shared" ca="1" si="186"/>
        <v>0</v>
      </c>
      <c r="AF71" s="247">
        <f t="shared" ca="1" si="186"/>
        <v>0</v>
      </c>
      <c r="AG71" s="3"/>
      <c r="AH71" s="3"/>
      <c r="AI71" s="3"/>
      <c r="AK71" s="246" t="s">
        <v>142</v>
      </c>
      <c r="AL71" s="247">
        <f ca="1">SUMPRODUCT($AL$11:$AO$11,$AL$60:$AO$60)</f>
        <v>0</v>
      </c>
      <c r="AM71" s="247">
        <f t="shared" ref="AM71:AO71" ca="1" si="187">SUMPRODUCT($AL$11:$AO$11,$AL$60:$AO$60)</f>
        <v>0</v>
      </c>
      <c r="AN71" s="247">
        <f t="shared" ca="1" si="187"/>
        <v>0</v>
      </c>
      <c r="AO71" s="247">
        <f t="shared" ca="1" si="187"/>
        <v>0</v>
      </c>
      <c r="AP71" s="3"/>
      <c r="AQ71" s="3"/>
      <c r="AR71" s="3"/>
    </row>
    <row r="72" spans="1:44" ht="16.5" customHeight="1">
      <c r="A72" s="194" t="s">
        <v>145</v>
      </c>
      <c r="B72" s="15">
        <f>IF(B58="1세대1주택",12*10^8,9*10^8)</f>
        <v>900000000</v>
      </c>
      <c r="C72" s="3"/>
      <c r="D72" s="3"/>
      <c r="E72" s="3"/>
      <c r="F72" s="3"/>
      <c r="G72" s="3"/>
      <c r="H72" s="3"/>
      <c r="I72" s="3"/>
      <c r="J72" s="246" t="s">
        <v>145</v>
      </c>
      <c r="K72" s="247">
        <v>1400000000</v>
      </c>
      <c r="L72" s="247">
        <v>900000000</v>
      </c>
      <c r="M72" s="247">
        <f ca="1">4*10^8+500000000*IFERROR(OFFSET($J$11,0,MATCH("거주",$K59:$N59,0))/$O$11,0)</f>
        <v>400000000</v>
      </c>
      <c r="N72" s="247">
        <f ca="1">4*10^8+500000000*IFERROR(OFFSET($J$11,0,MATCH("거주",$K59:$N59,0))/$O$11,0)</f>
        <v>400000000</v>
      </c>
      <c r="O72" s="3"/>
      <c r="P72" s="3"/>
      <c r="Q72" s="3"/>
      <c r="S72" s="246" t="s">
        <v>145</v>
      </c>
      <c r="T72" s="247">
        <v>1400000000</v>
      </c>
      <c r="U72" s="247">
        <v>900000000</v>
      </c>
      <c r="V72" s="247">
        <f ca="1">4*10^8+500000000*IFERROR(OFFSET($S$11,0,MATCH("거주",$T59:$W59,0))/$X$11,0)</f>
        <v>400000000</v>
      </c>
      <c r="W72" s="247">
        <f ca="1">4*10^8+500000000*IFERROR(OFFSET($S$11,0,MATCH("거주",$T59:$W59,0))/$X$11,0)</f>
        <v>400000000</v>
      </c>
      <c r="X72" s="3"/>
      <c r="Y72" s="3"/>
      <c r="Z72" s="3"/>
      <c r="AB72" s="246" t="s">
        <v>145</v>
      </c>
      <c r="AC72" s="247">
        <v>1400000000</v>
      </c>
      <c r="AD72" s="247">
        <v>900000000</v>
      </c>
      <c r="AE72" s="247">
        <f ca="1">4*10^8+500000000*IFERROR(OFFSET($AB$11,0,MATCH("거주",$AC59:$AF59,0))/$AG$11,0)</f>
        <v>400000000</v>
      </c>
      <c r="AF72" s="247">
        <f ca="1">4*10^8+500000000*IFERROR(OFFSET($AB$11,0,MATCH("거주",$AC59:$AF59,0))/$AG$11,0)</f>
        <v>400000000</v>
      </c>
      <c r="AG72" s="3"/>
      <c r="AH72" s="3"/>
      <c r="AI72" s="3"/>
      <c r="AK72" s="246" t="s">
        <v>145</v>
      </c>
      <c r="AL72" s="247">
        <f ca="1">IF(AL70="거주용1주택",14*10^8,IF(AL70="비거주1주택",9*10^8,400000000+500000000*IFERROR(OFFSET(AL$29,0,MATCH("거주",$K59:$N59,0))/$AQ$11,0)))</f>
        <v>1400000000</v>
      </c>
      <c r="AM72" s="247">
        <f ca="1">IF(AM70="거주용1주택",14*10^8,IF(AM70="비거주1주택",9*10^8,400000000+500000000*IFERROR(OFFSET(AM$29,0,MATCH("거주",$K59:$N59,0))/$AQ$11,0)))</f>
        <v>900000000</v>
      </c>
      <c r="AN72" s="247">
        <f ca="1">4*10^8+500000000*IFERROR(OFFSET($AK$11,0,MATCH("거주",$AL59:$AO59,0))/$AP$11,0)</f>
        <v>400000000</v>
      </c>
      <c r="AO72" s="247">
        <f ca="1">4*10^8+500000000*IFERROR(OFFSET($AK$11,0,MATCH("거주",$AL59:$AO59,0))/$AP$11,0)</f>
        <v>400000000</v>
      </c>
      <c r="AP72" s="3"/>
      <c r="AQ72" s="3"/>
      <c r="AR72" s="3"/>
    </row>
    <row r="73" spans="1:44" ht="16.5" customHeight="1">
      <c r="A73" s="194" t="s">
        <v>153</v>
      </c>
      <c r="B73" s="15">
        <f ca="1">IF(B71&gt;B72,B71-B72,0)</f>
        <v>0</v>
      </c>
      <c r="C73" s="3"/>
      <c r="D73" s="3"/>
      <c r="E73" s="3"/>
      <c r="F73" s="3"/>
      <c r="G73" s="3"/>
      <c r="H73" s="3"/>
      <c r="I73" s="3"/>
      <c r="J73" s="246" t="s">
        <v>153</v>
      </c>
      <c r="K73" s="133">
        <f t="shared" ref="K73" ca="1" si="188">IF(K71&gt;K72,K71-K72,0)</f>
        <v>0</v>
      </c>
      <c r="L73" s="133">
        <f t="shared" ref="L73:N73" ca="1" si="189">IF(L71&gt;L72,L71-L72,0)</f>
        <v>0</v>
      </c>
      <c r="M73" s="133">
        <f t="shared" ca="1" si="189"/>
        <v>0</v>
      </c>
      <c r="N73" s="133">
        <f t="shared" ca="1" si="189"/>
        <v>0</v>
      </c>
      <c r="O73" s="3"/>
      <c r="P73" s="3"/>
      <c r="Q73" s="3"/>
      <c r="S73" s="246" t="s">
        <v>153</v>
      </c>
      <c r="T73" s="133">
        <f t="shared" ref="T73:W73" ca="1" si="190">IF(T71&gt;T72,T71-T72,0)</f>
        <v>0</v>
      </c>
      <c r="U73" s="133">
        <f t="shared" ca="1" si="190"/>
        <v>0</v>
      </c>
      <c r="V73" s="133">
        <f t="shared" ca="1" si="190"/>
        <v>0</v>
      </c>
      <c r="W73" s="133">
        <f t="shared" ca="1" si="190"/>
        <v>0</v>
      </c>
      <c r="X73" s="3"/>
      <c r="Y73" s="3"/>
      <c r="Z73" s="3"/>
      <c r="AB73" s="246" t="s">
        <v>153</v>
      </c>
      <c r="AC73" s="133">
        <f t="shared" ref="AC73" ca="1" si="191">IF(AC71&gt;AC72,AC71-AC72,0)</f>
        <v>0</v>
      </c>
      <c r="AD73" s="133">
        <f t="shared" ref="AD73:AF73" ca="1" si="192">IF(AD71&gt;AD72,AD71-AD72,0)</f>
        <v>0</v>
      </c>
      <c r="AE73" s="133">
        <f t="shared" ca="1" si="192"/>
        <v>0</v>
      </c>
      <c r="AF73" s="133">
        <f t="shared" ca="1" si="192"/>
        <v>0</v>
      </c>
      <c r="AG73" s="3"/>
      <c r="AH73" s="3"/>
      <c r="AI73" s="3"/>
      <c r="AK73" s="246" t="s">
        <v>153</v>
      </c>
      <c r="AL73" s="133">
        <f t="shared" ref="AL73:AO73" ca="1" si="193">IF(AL71&gt;AL72,AL71-AL72,0)</f>
        <v>0</v>
      </c>
      <c r="AM73" s="248">
        <f t="shared" ca="1" si="193"/>
        <v>0</v>
      </c>
      <c r="AN73" s="248">
        <f t="shared" ca="1" si="193"/>
        <v>0</v>
      </c>
      <c r="AO73" s="248">
        <f t="shared" ca="1" si="193"/>
        <v>0</v>
      </c>
      <c r="AP73" s="3"/>
      <c r="AQ73" s="3"/>
      <c r="AR73" s="3"/>
    </row>
    <row r="74" spans="1:44" ht="16.5" customHeight="1">
      <c r="A74" s="194" t="s">
        <v>78</v>
      </c>
      <c r="B74" s="17">
        <v>0.6</v>
      </c>
      <c r="C74" s="3"/>
      <c r="D74" s="3"/>
      <c r="E74" s="3"/>
      <c r="F74" s="3"/>
      <c r="G74" s="3"/>
      <c r="H74" s="3"/>
      <c r="I74" s="3"/>
      <c r="J74" s="260" t="s">
        <v>279</v>
      </c>
      <c r="K74" s="261">
        <v>0.7</v>
      </c>
      <c r="L74" s="261">
        <v>0.7</v>
      </c>
      <c r="M74" s="261">
        <v>0.7</v>
      </c>
      <c r="N74" s="261">
        <v>0.7</v>
      </c>
      <c r="O74" s="3"/>
      <c r="P74" s="3"/>
      <c r="Q74" s="3"/>
      <c r="S74" s="260" t="s">
        <v>279</v>
      </c>
      <c r="T74" s="263">
        <v>0.7</v>
      </c>
      <c r="U74" s="263">
        <v>0.7</v>
      </c>
      <c r="V74" s="261">
        <v>0.8</v>
      </c>
      <c r="W74" s="261">
        <v>0.8</v>
      </c>
      <c r="X74" s="3"/>
      <c r="Y74" s="3"/>
      <c r="Z74" s="3"/>
      <c r="AB74" s="260" t="s">
        <v>279</v>
      </c>
      <c r="AC74" s="263">
        <v>0.7</v>
      </c>
      <c r="AD74" s="263">
        <v>0.7</v>
      </c>
      <c r="AE74" s="261">
        <v>0.8</v>
      </c>
      <c r="AF74" s="261">
        <v>0.8</v>
      </c>
      <c r="AG74" s="3"/>
      <c r="AH74" s="3"/>
      <c r="AI74" s="3"/>
      <c r="AK74" s="260" t="s">
        <v>279</v>
      </c>
      <c r="AL74" s="263">
        <v>0.7</v>
      </c>
      <c r="AM74" s="263">
        <v>0.7</v>
      </c>
      <c r="AN74" s="261">
        <v>0.8</v>
      </c>
      <c r="AO74" s="261">
        <v>0.8</v>
      </c>
      <c r="AP74" s="3"/>
      <c r="AQ74" s="3"/>
      <c r="AR74" s="3"/>
    </row>
    <row r="75" spans="1:44" ht="16.5" customHeight="1">
      <c r="A75" s="194" t="s">
        <v>62</v>
      </c>
      <c r="B75" s="15">
        <f ca="1">B73*B74</f>
        <v>0</v>
      </c>
      <c r="C75" s="3"/>
      <c r="D75" s="15"/>
      <c r="E75" s="3"/>
      <c r="F75" s="3"/>
      <c r="G75" s="3"/>
      <c r="H75" s="3"/>
      <c r="I75" s="3"/>
      <c r="J75" s="246" t="s">
        <v>62</v>
      </c>
      <c r="K75" s="133">
        <f t="shared" ref="K75" ca="1" si="194">IF(K73&gt;0,K73*K74,0)</f>
        <v>0</v>
      </c>
      <c r="L75" s="133">
        <f t="shared" ref="L75:N75" ca="1" si="195">IF(L73&gt;0,L73*L74,0)</f>
        <v>0</v>
      </c>
      <c r="M75" s="133">
        <f t="shared" ca="1" si="195"/>
        <v>0</v>
      </c>
      <c r="N75" s="133">
        <f t="shared" ca="1" si="195"/>
        <v>0</v>
      </c>
      <c r="O75" s="3"/>
      <c r="P75" s="3"/>
      <c r="Q75" s="3"/>
      <c r="S75" s="246" t="s">
        <v>62</v>
      </c>
      <c r="T75" s="133">
        <f t="shared" ref="T75:W75" ca="1" si="196">IF(T73&gt;0,T73*T74,0)</f>
        <v>0</v>
      </c>
      <c r="U75" s="133">
        <f t="shared" ca="1" si="196"/>
        <v>0</v>
      </c>
      <c r="V75" s="133">
        <f t="shared" ca="1" si="196"/>
        <v>0</v>
      </c>
      <c r="W75" s="133">
        <f t="shared" ca="1" si="196"/>
        <v>0</v>
      </c>
      <c r="X75" s="3"/>
      <c r="Y75" s="3"/>
      <c r="Z75" s="3"/>
      <c r="AB75" s="246" t="s">
        <v>62</v>
      </c>
      <c r="AC75" s="133">
        <f t="shared" ref="AC75" ca="1" si="197">IF(AC73&gt;0,AC73*AC74,0)</f>
        <v>0</v>
      </c>
      <c r="AD75" s="133">
        <f t="shared" ref="AD75:AF75" ca="1" si="198">IF(AD73&gt;0,AD73*AD74,0)</f>
        <v>0</v>
      </c>
      <c r="AE75" s="133">
        <f t="shared" ca="1" si="198"/>
        <v>0</v>
      </c>
      <c r="AF75" s="133">
        <f t="shared" ca="1" si="198"/>
        <v>0</v>
      </c>
      <c r="AG75" s="3"/>
      <c r="AH75" s="3"/>
      <c r="AI75" s="3"/>
      <c r="AK75" s="246" t="s">
        <v>62</v>
      </c>
      <c r="AL75" s="133">
        <f t="shared" ref="AL75:AO75" ca="1" si="199">IF(AL73&gt;0,AL73*AL74,0)</f>
        <v>0</v>
      </c>
      <c r="AM75" s="133">
        <f t="shared" ca="1" si="199"/>
        <v>0</v>
      </c>
      <c r="AN75" s="133">
        <f t="shared" ca="1" si="199"/>
        <v>0</v>
      </c>
      <c r="AO75" s="133">
        <f t="shared" ca="1" si="199"/>
        <v>0</v>
      </c>
      <c r="AP75" s="3"/>
      <c r="AQ75" s="3"/>
      <c r="AR75" s="3"/>
    </row>
    <row r="76" spans="1:44" ht="16.5" customHeight="1">
      <c r="A76" s="194" t="s">
        <v>63</v>
      </c>
      <c r="B76" s="20">
        <f t="array" ref="B76">IF(B64="기본세율",
INDEX(t!$M$3:$M$9,MATCH(TRUE,$B$45&lt;=t!$L$3:$L$9,0)),
INDEX(t!$O$3:$O$9,MATCH(TRUE,$B$45&lt;=t!$L$3:$L$9,0)))</f>
        <v>0.02</v>
      </c>
      <c r="C76" s="3"/>
      <c r="D76" s="3"/>
      <c r="E76" s="3"/>
      <c r="F76" s="3"/>
      <c r="G76" s="3"/>
      <c r="H76" s="3"/>
      <c r="I76" s="3"/>
      <c r="J76" s="246" t="s">
        <v>63</v>
      </c>
      <c r="K76" s="249">
        <f t="array" aca="1" ref="K76" ca="1">INDEX(t!$M$13:$M$19,MATCH(TRUE,K75&lt;=t!$L$13:$L$19,0))</f>
        <v>5.0000000000000001E-3</v>
      </c>
      <c r="L76" s="249">
        <f t="array" aca="1" ref="L76" ca="1">INDEX(t!$M$13:$M$19,MATCH(TRUE,L75&lt;=t!$L$13:$L$19,0))</f>
        <v>5.0000000000000001E-3</v>
      </c>
      <c r="M76" s="249">
        <f t="array" aca="1" ref="M76" ca="1">INDEX(t!$M$13:$M$19,MATCH(TRUE,M75&lt;=t!$L$13:$L$19,0))</f>
        <v>5.0000000000000001E-3</v>
      </c>
      <c r="N76" s="249">
        <f t="array" aca="1" ref="N76" ca="1">INDEX(t!$M$13:$M$19,MATCH(TRUE,N75&lt;=t!$L$13:$L$19,0))</f>
        <v>5.0000000000000001E-3</v>
      </c>
      <c r="O76" s="3"/>
      <c r="P76" s="3"/>
      <c r="Q76" s="3"/>
      <c r="S76" s="246" t="s">
        <v>63</v>
      </c>
      <c r="T76" s="249">
        <f t="array" aca="1" ref="T76" ca="1">INDEX(t!$M$23:$M$29,MATCH(TRUE,T75&lt;=t!$L$23:$L$29,0))</f>
        <v>5.0000000000000001E-3</v>
      </c>
      <c r="U76" s="249">
        <f t="array" aca="1" ref="U76" ca="1">INDEX(t!$M$23:$M$29,MATCH(TRUE,U75&lt;=t!$L$23:$L$29,0))</f>
        <v>5.0000000000000001E-3</v>
      </c>
      <c r="V76" s="249">
        <f t="array" aca="1" ref="V76" ca="1">INDEX(t!$M$23:$M$29,MATCH(TRUE,V75&lt;=t!$L$23:$L$29,0))</f>
        <v>5.0000000000000001E-3</v>
      </c>
      <c r="W76" s="249">
        <f t="array" aca="1" ref="W76" ca="1">INDEX(t!$M$23:$M$29,MATCH(TRUE,W75&lt;=t!$L$23:$L$29,0))</f>
        <v>5.0000000000000001E-3</v>
      </c>
      <c r="X76" s="3"/>
      <c r="Y76" s="3"/>
      <c r="Z76" s="3"/>
      <c r="AB76" s="246" t="s">
        <v>63</v>
      </c>
      <c r="AC76" s="249">
        <f t="array" aca="1" ref="AC76" ca="1">INDEX(t!$M$23:$M$29,MATCH(TRUE,AC75&lt;=t!$L$23:$L$29,0))</f>
        <v>5.0000000000000001E-3</v>
      </c>
      <c r="AD76" s="249">
        <f t="array" aca="1" ref="AD76" ca="1">INDEX(t!$M$23:$M$29,MATCH(TRUE,AD75&lt;=t!$L$23:$L$29,0))</f>
        <v>5.0000000000000001E-3</v>
      </c>
      <c r="AE76" s="249">
        <f t="array" aca="1" ref="AE76" ca="1">INDEX(t!$M$23:$M$29,MATCH(TRUE,AE75&lt;=t!$L$23:$L$29,0))</f>
        <v>5.0000000000000001E-3</v>
      </c>
      <c r="AF76" s="249">
        <f t="array" aca="1" ref="AF76" ca="1">INDEX(t!$M$23:$M$29,MATCH(TRUE,AF75&lt;=t!$L$23:$L$29,0))</f>
        <v>5.0000000000000001E-3</v>
      </c>
      <c r="AG76" s="3"/>
      <c r="AH76" s="3"/>
      <c r="AI76" s="3"/>
      <c r="AK76" s="246" t="s">
        <v>63</v>
      </c>
      <c r="AL76" s="249">
        <f t="array" aca="1" ref="AL76" ca="1">INDEX(t!$M$23:$M$29,MATCH(TRUE,AL75&lt;=t!$L$23:$L$29,0))</f>
        <v>5.0000000000000001E-3</v>
      </c>
      <c r="AM76" s="249">
        <f t="array" aca="1" ref="AM76" ca="1">INDEX(t!$M$23:$M$29,MATCH(TRUE,AM75&lt;=t!$L$23:$L$29,0))</f>
        <v>5.0000000000000001E-3</v>
      </c>
      <c r="AN76" s="249">
        <f t="array" aca="1" ref="AN76" ca="1">INDEX(t!$M$23:$M$29,MATCH(TRUE,AN75&lt;=t!$L$23:$L$29,0))</f>
        <v>5.0000000000000001E-3</v>
      </c>
      <c r="AO76" s="249">
        <f t="array" aca="1" ref="AO76" ca="1">INDEX(t!$M$23:$M$29,MATCH(TRUE,AO75&lt;=t!$L$23:$L$29,0))</f>
        <v>5.0000000000000001E-3</v>
      </c>
      <c r="AP76" s="3"/>
      <c r="AQ76" s="3"/>
      <c r="AR76" s="3"/>
    </row>
    <row r="77" spans="1:44" ht="16.5" customHeight="1">
      <c r="A77" s="194" t="s">
        <v>167</v>
      </c>
      <c r="B77" s="15">
        <f ca="1">B75*B76-VLOOKUP(B76,IF(B64="기본세율",t!$M$2:$N$9,t!$O$2:$P$9),2,0)</f>
        <v>-14400000</v>
      </c>
      <c r="C77" s="3"/>
      <c r="D77" s="3"/>
      <c r="E77" s="3"/>
      <c r="F77" s="3"/>
      <c r="G77" s="3"/>
      <c r="H77" s="3"/>
      <c r="I77" s="3"/>
      <c r="J77" s="246" t="s">
        <v>167</v>
      </c>
      <c r="K77" s="133">
        <f ca="1">K75*K76-VLOOKUP(K76,t!$M$13:$N$19,2,0)</f>
        <v>0</v>
      </c>
      <c r="L77" s="133">
        <f ca="1">L75*L76-VLOOKUP(L76,t!$M$13:$N$19,2,0)</f>
        <v>0</v>
      </c>
      <c r="M77" s="133">
        <f ca="1">M75*M76-VLOOKUP(M76,t!$M$13:$N$19,2,0)</f>
        <v>0</v>
      </c>
      <c r="N77" s="133">
        <f ca="1">N75*N76-VLOOKUP(N76,t!$M$13:$N$19,2,0)</f>
        <v>0</v>
      </c>
      <c r="O77" s="3"/>
      <c r="P77" s="3"/>
      <c r="Q77" s="3"/>
      <c r="S77" s="246" t="s">
        <v>167</v>
      </c>
      <c r="T77" s="133">
        <f ca="1">T75*T76-VLOOKUP(T76,t!$M$22:$N$29,2,0)</f>
        <v>0</v>
      </c>
      <c r="U77" s="133">
        <f ca="1">U75*U76-VLOOKUP(U76,t!$M$22:$N$29,2,0)</f>
        <v>0</v>
      </c>
      <c r="V77" s="133">
        <f ca="1">V75*V76-VLOOKUP(V76,t!$M$22:$N$29,2,0)</f>
        <v>0</v>
      </c>
      <c r="W77" s="133">
        <f ca="1">W75*W76-VLOOKUP(W76,t!$M$22:$N$29,2,0)</f>
        <v>0</v>
      </c>
      <c r="X77" s="3"/>
      <c r="Y77" s="3"/>
      <c r="Z77" s="3"/>
      <c r="AB77" s="246" t="s">
        <v>167</v>
      </c>
      <c r="AC77" s="133">
        <f ca="1">AC75*AC76-VLOOKUP(AC76,t!$M$22:$N$29,2,0)</f>
        <v>0</v>
      </c>
      <c r="AD77" s="133">
        <f ca="1">AD75*AD76-VLOOKUP(AD76,t!$M$22:$N$29,2,0)</f>
        <v>0</v>
      </c>
      <c r="AE77" s="133">
        <f ca="1">AE75*AE76-VLOOKUP(AE76,t!$M$22:$N$29,2,0)</f>
        <v>0</v>
      </c>
      <c r="AF77" s="133">
        <f ca="1">AF75*AF76-VLOOKUP(AF76,t!$M$22:$N$29,2,0)</f>
        <v>0</v>
      </c>
      <c r="AG77" s="3"/>
      <c r="AH77" s="3"/>
      <c r="AI77" s="3"/>
      <c r="AK77" s="246" t="s">
        <v>167</v>
      </c>
      <c r="AL77" s="133">
        <f ca="1">AL75*AL76-VLOOKUP(AL76,t!$M$22:$N$29,2,0)</f>
        <v>0</v>
      </c>
      <c r="AM77" s="133">
        <f ca="1">AM75*AM76-VLOOKUP(AM76,t!$M$22:$N$29,2,0)</f>
        <v>0</v>
      </c>
      <c r="AN77" s="133">
        <f ca="1">AN75*AN76-VLOOKUP(AN76,t!$M$22:$N$29,2,0)</f>
        <v>0</v>
      </c>
      <c r="AO77" s="133">
        <f ca="1">AO75*AO76-VLOOKUP(AO76,t!$M$22:$N$29,2,0)</f>
        <v>0</v>
      </c>
      <c r="AP77" s="3"/>
      <c r="AQ77" s="3"/>
      <c r="AR77" s="3"/>
    </row>
    <row r="78" spans="1:44" ht="16.5" customHeight="1">
      <c r="A78" s="194" t="s">
        <v>168</v>
      </c>
      <c r="B78" s="103">
        <f ca="1">F46*(B75*60%*$F$14)/$F$15</f>
        <v>0</v>
      </c>
      <c r="C78" s="93"/>
      <c r="D78" s="94"/>
      <c r="E78" s="94"/>
      <c r="F78" s="3"/>
      <c r="G78" s="3"/>
      <c r="H78" s="3"/>
      <c r="I78" s="3"/>
      <c r="J78" s="246" t="s">
        <v>168</v>
      </c>
      <c r="K78" s="103">
        <f ca="1">$O$16*(K75*60%*$O$14)/$O$15</f>
        <v>0</v>
      </c>
      <c r="L78" s="103">
        <f ca="1">$O$16*(L75*60%*$O$14)/$O$15</f>
        <v>0</v>
      </c>
      <c r="M78" s="103">
        <f ca="1">$O$16*(M75*60%*$O$14)/$O$15</f>
        <v>0</v>
      </c>
      <c r="N78" s="103">
        <f ca="1">$O$16*(N75*60%*$O$14)/$O$15</f>
        <v>0</v>
      </c>
      <c r="O78" s="3"/>
      <c r="P78" s="3"/>
      <c r="Q78" s="3"/>
      <c r="S78" s="246" t="s">
        <v>168</v>
      </c>
      <c r="T78" s="103">
        <f ca="1">$X$16*(T75*60%*$X$14)/$X$15</f>
        <v>0</v>
      </c>
      <c r="U78" s="103">
        <f t="shared" ref="U78:W78" ca="1" si="200">$X$16*(U75*60%*$X$14)/$X$15</f>
        <v>0</v>
      </c>
      <c r="V78" s="103">
        <f t="shared" ca="1" si="200"/>
        <v>0</v>
      </c>
      <c r="W78" s="103">
        <f t="shared" ca="1" si="200"/>
        <v>0</v>
      </c>
      <c r="X78" s="3"/>
      <c r="Y78" s="3"/>
      <c r="Z78" s="3"/>
      <c r="AB78" s="246" t="s">
        <v>168</v>
      </c>
      <c r="AC78" s="103">
        <f ca="1">$AG$16*(AC75*60%*$AG$14)/$AG$15</f>
        <v>0</v>
      </c>
      <c r="AD78" s="103">
        <f t="shared" ref="AD78:AF78" ca="1" si="201">$AG$16*(AD75*60%*$AG$14)/$AG$15</f>
        <v>0</v>
      </c>
      <c r="AE78" s="103">
        <f t="shared" ca="1" si="201"/>
        <v>0</v>
      </c>
      <c r="AF78" s="103">
        <f t="shared" ca="1" si="201"/>
        <v>0</v>
      </c>
      <c r="AG78" s="3"/>
      <c r="AH78" s="3"/>
      <c r="AI78" s="3"/>
      <c r="AK78" s="246" t="s">
        <v>168</v>
      </c>
      <c r="AL78" s="103">
        <f ca="1">$AP$16*(AL75*60%*$AP$14)/$AP$15</f>
        <v>0</v>
      </c>
      <c r="AM78" s="103">
        <f ca="1">$AP$16*(AM75*60%*$AP$14)/$AP$15</f>
        <v>0</v>
      </c>
      <c r="AN78" s="103">
        <f ca="1">$AP$16*(AN75*60%*$AP$14)/$AP$15</f>
        <v>0</v>
      </c>
      <c r="AO78" s="103">
        <f ca="1">$AP$16*(AO75*60%*$AP$14)/$AP$15</f>
        <v>0</v>
      </c>
      <c r="AP78" s="3"/>
      <c r="AQ78" s="3"/>
      <c r="AR78" s="3"/>
    </row>
    <row r="79" spans="1:44" ht="16.5" customHeight="1">
      <c r="A79" s="194" t="s">
        <v>64</v>
      </c>
      <c r="B79" s="15">
        <f ca="1">B77-B78</f>
        <v>-14400000</v>
      </c>
      <c r="C79" s="15"/>
      <c r="D79" s="3"/>
      <c r="E79" s="3"/>
      <c r="F79" s="3"/>
      <c r="G79" s="3"/>
      <c r="H79" s="3"/>
      <c r="I79" s="3"/>
      <c r="J79" s="246" t="s">
        <v>64</v>
      </c>
      <c r="K79" s="133">
        <f t="shared" ref="K79" ca="1" si="202">IF(K77-K78&lt;0,0,K77-K78)</f>
        <v>0</v>
      </c>
      <c r="L79" s="133">
        <f t="shared" ref="L79:N79" ca="1" si="203">IF(L77-L78&lt;0,0,L77-L78)</f>
        <v>0</v>
      </c>
      <c r="M79" s="133">
        <f t="shared" ca="1" si="203"/>
        <v>0</v>
      </c>
      <c r="N79" s="133">
        <f t="shared" ca="1" si="203"/>
        <v>0</v>
      </c>
      <c r="O79" s="3"/>
      <c r="P79" s="3"/>
      <c r="Q79" s="3"/>
      <c r="S79" s="246" t="s">
        <v>64</v>
      </c>
      <c r="T79" s="133">
        <f t="shared" ref="T79:W79" ca="1" si="204">IF(T77-T78&lt;0,0,T77-T78)</f>
        <v>0</v>
      </c>
      <c r="U79" s="133">
        <f t="shared" ca="1" si="204"/>
        <v>0</v>
      </c>
      <c r="V79" s="133">
        <f t="shared" ca="1" si="204"/>
        <v>0</v>
      </c>
      <c r="W79" s="133">
        <f t="shared" ca="1" si="204"/>
        <v>0</v>
      </c>
      <c r="X79" s="3"/>
      <c r="Y79" s="3"/>
      <c r="Z79" s="3"/>
      <c r="AB79" s="246" t="s">
        <v>64</v>
      </c>
      <c r="AC79" s="133">
        <f t="shared" ref="AC79" ca="1" si="205">IF(AC77-AC78&lt;0,0,AC77-AC78)</f>
        <v>0</v>
      </c>
      <c r="AD79" s="133">
        <f t="shared" ref="AD79:AF79" ca="1" si="206">IF(AD77-AD78&lt;0,0,AD77-AD78)</f>
        <v>0</v>
      </c>
      <c r="AE79" s="133">
        <f t="shared" ca="1" si="206"/>
        <v>0</v>
      </c>
      <c r="AF79" s="133">
        <f t="shared" ca="1" si="206"/>
        <v>0</v>
      </c>
      <c r="AG79" s="3"/>
      <c r="AH79" s="3"/>
      <c r="AI79" s="3"/>
      <c r="AK79" s="246" t="s">
        <v>64</v>
      </c>
      <c r="AL79" s="133">
        <f t="shared" ref="AL79:AO79" ca="1" si="207">IF(AL77-AL78&lt;0,0,AL77-AL78)</f>
        <v>0</v>
      </c>
      <c r="AM79" s="133">
        <f t="shared" ca="1" si="207"/>
        <v>0</v>
      </c>
      <c r="AN79" s="133">
        <f t="shared" ca="1" si="207"/>
        <v>0</v>
      </c>
      <c r="AO79" s="133">
        <f t="shared" ca="1" si="207"/>
        <v>0</v>
      </c>
      <c r="AP79" s="3"/>
      <c r="AQ79" s="3"/>
      <c r="AR79" s="3"/>
    </row>
    <row r="80" spans="1:44" ht="16.5" customHeight="1">
      <c r="A80" s="194" t="s">
        <v>268</v>
      </c>
      <c r="B80" s="17">
        <f>IF(B40="1세대1주택",MIN(80%,SUM(B68,B62)),0)</f>
        <v>0</v>
      </c>
      <c r="C80" s="15"/>
      <c r="D80" s="3"/>
      <c r="E80" s="3"/>
      <c r="F80" s="3"/>
      <c r="G80" s="3"/>
      <c r="H80" s="3"/>
      <c r="I80" s="3"/>
      <c r="J80" s="246" t="s">
        <v>268</v>
      </c>
      <c r="K80" s="121">
        <f>IF(K58="1세대1주택",MIN(80%,K62+MAX(K66,K68)),0)</f>
        <v>0</v>
      </c>
      <c r="L80" s="121">
        <f t="shared" ref="L80:N80" si="208">IF(L58="1세대1주택",MIN(80%,L62+MAX(L66,L68)),0)</f>
        <v>0</v>
      </c>
      <c r="M80" s="121">
        <f t="shared" si="208"/>
        <v>0</v>
      </c>
      <c r="N80" s="121">
        <f t="shared" si="208"/>
        <v>0</v>
      </c>
      <c r="O80" s="3"/>
      <c r="P80" s="3"/>
      <c r="Q80" s="3"/>
      <c r="S80" s="246" t="s">
        <v>268</v>
      </c>
      <c r="T80" s="121">
        <f>IF(T58="1세대1주택",MIN(80%,SUM(T66,T68)),0)</f>
        <v>0</v>
      </c>
      <c r="U80" s="121">
        <f t="shared" ref="U80:W80" si="209">IF(U58="1세대1주택",MIN(80%,SUM(U66,U68)),0)</f>
        <v>0</v>
      </c>
      <c r="V80" s="121">
        <f t="shared" si="209"/>
        <v>0</v>
      </c>
      <c r="W80" s="121">
        <f t="shared" si="209"/>
        <v>0</v>
      </c>
      <c r="X80" s="3"/>
      <c r="Y80" s="3"/>
      <c r="Z80" s="3"/>
      <c r="AB80" s="246" t="s">
        <v>268</v>
      </c>
      <c r="AC80" s="121">
        <f>IF(AC58="1세대1주택",MIN(80%,SUM(AC66,AC68)),0)</f>
        <v>0</v>
      </c>
      <c r="AD80" s="121">
        <f t="shared" ref="AD80:AF80" si="210">IF(AD58="1세대1주택",MIN(80%,SUM(AD66,AD68)),0)</f>
        <v>0</v>
      </c>
      <c r="AE80" s="121">
        <f t="shared" si="210"/>
        <v>0</v>
      </c>
      <c r="AF80" s="121">
        <f t="shared" si="210"/>
        <v>0</v>
      </c>
      <c r="AG80" s="3"/>
      <c r="AH80" s="3"/>
      <c r="AI80" s="3"/>
      <c r="AK80" s="246" t="s">
        <v>268</v>
      </c>
      <c r="AL80" s="121">
        <f>IF(AL58="1세대1주택",MIN(80%,SUM(AL66,AL68)),0)</f>
        <v>0</v>
      </c>
      <c r="AM80" s="121">
        <f t="shared" ref="AM80:AO80" si="211">IF(AM58="1세대1주택",MIN(80%,SUM(AM66,AM68)),0)</f>
        <v>0</v>
      </c>
      <c r="AN80" s="121">
        <f t="shared" si="211"/>
        <v>0</v>
      </c>
      <c r="AO80" s="121">
        <f t="shared" si="211"/>
        <v>0</v>
      </c>
      <c r="AP80" s="3"/>
      <c r="AQ80" s="3"/>
      <c r="AR80" s="3"/>
    </row>
    <row r="81" spans="1:44" ht="16.5" customHeight="1">
      <c r="A81" s="194" t="s">
        <v>271</v>
      </c>
      <c r="B81" s="15">
        <f ca="1">B79*(1-B80)</f>
        <v>-14400000</v>
      </c>
      <c r="D81" s="3"/>
      <c r="E81" s="3"/>
      <c r="F81" s="3"/>
      <c r="G81" s="3"/>
      <c r="H81" s="3"/>
      <c r="I81" s="3"/>
      <c r="J81" s="246" t="s">
        <v>271</v>
      </c>
      <c r="K81" s="133">
        <f ca="1">K79*(1-K80)</f>
        <v>0</v>
      </c>
      <c r="L81" s="133">
        <f t="shared" ref="L81:N81" ca="1" si="212">L79*(1-L80)</f>
        <v>0</v>
      </c>
      <c r="M81" s="133">
        <f t="shared" ca="1" si="212"/>
        <v>0</v>
      </c>
      <c r="N81" s="133">
        <f t="shared" ca="1" si="212"/>
        <v>0</v>
      </c>
      <c r="O81" s="3"/>
      <c r="P81" s="3"/>
      <c r="Q81" s="3"/>
      <c r="S81" s="246" t="s">
        <v>271</v>
      </c>
      <c r="T81" s="133">
        <f ca="1">T79*(1-T80)</f>
        <v>0</v>
      </c>
      <c r="U81" s="133">
        <f t="shared" ref="U81:W81" ca="1" si="213">U79*(1-U80)</f>
        <v>0</v>
      </c>
      <c r="V81" s="133">
        <f t="shared" ca="1" si="213"/>
        <v>0</v>
      </c>
      <c r="W81" s="133">
        <f t="shared" ca="1" si="213"/>
        <v>0</v>
      </c>
      <c r="X81" s="3"/>
      <c r="Y81" s="3"/>
      <c r="Z81" s="3"/>
      <c r="AB81" s="246" t="s">
        <v>271</v>
      </c>
      <c r="AC81" s="133">
        <f ca="1">AC79*(1-AC80)</f>
        <v>0</v>
      </c>
      <c r="AD81" s="133">
        <f t="shared" ref="AD81:AF81" ca="1" si="214">AD79*(1-AD80)</f>
        <v>0</v>
      </c>
      <c r="AE81" s="133">
        <f t="shared" ca="1" si="214"/>
        <v>0</v>
      </c>
      <c r="AF81" s="133">
        <f t="shared" ca="1" si="214"/>
        <v>0</v>
      </c>
      <c r="AG81" s="3"/>
      <c r="AH81" s="3"/>
      <c r="AI81" s="3"/>
      <c r="AK81" s="246" t="s">
        <v>271</v>
      </c>
      <c r="AL81" s="133">
        <f ca="1">AL79*(1-AL80)</f>
        <v>0</v>
      </c>
      <c r="AM81" s="133">
        <f t="shared" ref="AM81" ca="1" si="215">AM79*(1-AM80)</f>
        <v>0</v>
      </c>
      <c r="AN81" s="133">
        <f t="shared" ref="AN81" ca="1" si="216">AN79*(1-AN80)</f>
        <v>0</v>
      </c>
      <c r="AO81" s="133">
        <f t="shared" ref="AO81" ca="1" si="217">AO79*(1-AO80)</f>
        <v>0</v>
      </c>
      <c r="AP81" s="3"/>
      <c r="AQ81" s="3"/>
      <c r="AR81" s="3"/>
    </row>
    <row r="82" spans="1:44" ht="16.5" customHeight="1" thickBot="1">
      <c r="A82" s="194" t="s">
        <v>169</v>
      </c>
      <c r="B82" s="15">
        <f ca="1">IF(B81&gt;$F$26,$F$26-B81,0)</f>
        <v>0</v>
      </c>
      <c r="C82" s="15"/>
      <c r="D82" s="15"/>
      <c r="E82" s="3"/>
      <c r="F82" s="3"/>
      <c r="G82" s="3"/>
      <c r="H82" s="3"/>
      <c r="I82" s="3"/>
      <c r="J82" s="254" t="s">
        <v>169</v>
      </c>
      <c r="K82" s="107">
        <f ca="1">IF(K81&gt;$O$26,$O$26-K81,0)</f>
        <v>0</v>
      </c>
      <c r="L82" s="107">
        <f t="shared" ref="L82:N82" ca="1" si="218">IF(L81&gt;$O$26,$O$26-L81,0)</f>
        <v>0</v>
      </c>
      <c r="M82" s="107">
        <f t="shared" ca="1" si="218"/>
        <v>0</v>
      </c>
      <c r="N82" s="107">
        <f t="shared" ca="1" si="218"/>
        <v>0</v>
      </c>
      <c r="O82" s="3"/>
      <c r="P82" s="3"/>
      <c r="Q82" s="3"/>
      <c r="S82" s="254" t="s">
        <v>169</v>
      </c>
      <c r="T82" s="107">
        <f ca="1">IF(T81&gt;$X$26,$X$26-T81,0)</f>
        <v>0</v>
      </c>
      <c r="U82" s="107">
        <f t="shared" ref="U82:W82" ca="1" si="219">IF(U81&gt;$X$26,$X$26-U81,0)</f>
        <v>0</v>
      </c>
      <c r="V82" s="107">
        <f t="shared" ca="1" si="219"/>
        <v>0</v>
      </c>
      <c r="W82" s="107">
        <f t="shared" ca="1" si="219"/>
        <v>0</v>
      </c>
      <c r="X82" s="3"/>
      <c r="Y82" s="3"/>
      <c r="Z82" s="3"/>
      <c r="AB82" s="254" t="s">
        <v>169</v>
      </c>
      <c r="AC82" s="107">
        <f ca="1">IF(AC81&gt;$AG$26,$AG$26-AC81,0)</f>
        <v>0</v>
      </c>
      <c r="AD82" s="107">
        <f t="shared" ref="AD82:AF82" ca="1" si="220">IF(AD81&gt;$AG$26,$AG$26-AD81,0)</f>
        <v>0</v>
      </c>
      <c r="AE82" s="107">
        <f t="shared" ca="1" si="220"/>
        <v>0</v>
      </c>
      <c r="AF82" s="107">
        <f t="shared" ca="1" si="220"/>
        <v>0</v>
      </c>
      <c r="AG82" s="3"/>
      <c r="AH82" s="3"/>
      <c r="AI82" s="3"/>
      <c r="AK82" s="254" t="s">
        <v>169</v>
      </c>
      <c r="AL82" s="107">
        <f ca="1">IF(AL81&gt;$AP$26,$AP$26-AL81,0)</f>
        <v>0</v>
      </c>
      <c r="AM82" s="107">
        <f t="shared" ref="AM82" ca="1" si="221">IF(AM81&gt;$AP$26,$AP$26-AM81,0)</f>
        <v>0</v>
      </c>
      <c r="AN82" s="107">
        <f t="shared" ref="AN82" ca="1" si="222">IF(AN81&gt;$AP$26,$AP$26-AN81,0)</f>
        <v>0</v>
      </c>
      <c r="AO82" s="107">
        <f t="shared" ref="AO82" ca="1" si="223">IF(AO81&gt;$AP$26,$AP$26-AO81,0)</f>
        <v>0</v>
      </c>
      <c r="AP82" s="3"/>
      <c r="AQ82" s="3"/>
      <c r="AR82" s="3"/>
    </row>
    <row r="83" spans="1:44" ht="16.5" customHeight="1" thickBot="1">
      <c r="A83" s="206" t="s">
        <v>171</v>
      </c>
      <c r="B83" s="95">
        <f ca="1">IF(B79-B82&lt;0,0,B79-B8)</f>
        <v>0</v>
      </c>
      <c r="C83" s="15"/>
      <c r="D83" s="3"/>
      <c r="E83" s="3"/>
      <c r="F83" s="3"/>
      <c r="G83" s="3"/>
      <c r="H83" s="3"/>
      <c r="I83" s="3"/>
      <c r="J83" s="251" t="s">
        <v>171</v>
      </c>
      <c r="K83" s="252">
        <f ca="1">K79-K82</f>
        <v>0</v>
      </c>
      <c r="L83" s="252">
        <f t="shared" ref="L83:N83" ca="1" si="224">L79-L82</f>
        <v>0</v>
      </c>
      <c r="M83" s="252">
        <f t="shared" ca="1" si="224"/>
        <v>0</v>
      </c>
      <c r="N83" s="252">
        <f t="shared" ca="1" si="224"/>
        <v>0</v>
      </c>
      <c r="O83" s="3"/>
      <c r="P83" s="3"/>
      <c r="Q83" s="3"/>
      <c r="S83" s="251" t="s">
        <v>171</v>
      </c>
      <c r="T83" s="252">
        <f ca="1">T79-T82</f>
        <v>0</v>
      </c>
      <c r="U83" s="252">
        <f t="shared" ref="U83:W83" ca="1" si="225">U79-U82</f>
        <v>0</v>
      </c>
      <c r="V83" s="252">
        <f t="shared" ca="1" si="225"/>
        <v>0</v>
      </c>
      <c r="W83" s="252">
        <f t="shared" ca="1" si="225"/>
        <v>0</v>
      </c>
      <c r="X83" s="3"/>
      <c r="Y83" s="3"/>
      <c r="Z83" s="3"/>
      <c r="AB83" s="251" t="s">
        <v>171</v>
      </c>
      <c r="AC83" s="252">
        <f ca="1">AC79-AC82</f>
        <v>0</v>
      </c>
      <c r="AD83" s="252">
        <f t="shared" ref="AD83:AF83" ca="1" si="226">AD79-AD82</f>
        <v>0</v>
      </c>
      <c r="AE83" s="252">
        <f t="shared" ca="1" si="226"/>
        <v>0</v>
      </c>
      <c r="AF83" s="252">
        <f t="shared" ca="1" si="226"/>
        <v>0</v>
      </c>
      <c r="AG83" s="3"/>
      <c r="AH83" s="3"/>
      <c r="AI83" s="3"/>
      <c r="AK83" s="251" t="s">
        <v>171</v>
      </c>
      <c r="AL83" s="252">
        <f ca="1">AL79-AL82</f>
        <v>0</v>
      </c>
      <c r="AM83" s="252">
        <f t="shared" ref="AM83" ca="1" si="227">AM79-AM82</f>
        <v>0</v>
      </c>
      <c r="AN83" s="252">
        <f t="shared" ref="AN83" ca="1" si="228">AN79-AN82</f>
        <v>0</v>
      </c>
      <c r="AO83" s="252">
        <f t="shared" ref="AO83" ca="1" si="229">AO79-AO82</f>
        <v>0</v>
      </c>
      <c r="AP83" s="3"/>
      <c r="AQ83" s="3"/>
      <c r="AR83" s="3"/>
    </row>
    <row r="84" spans="1:44" ht="16.5" customHeight="1" thickBot="1">
      <c r="A84" s="194" t="s">
        <v>54</v>
      </c>
      <c r="B84" s="15">
        <f ca="1">B83*0.2</f>
        <v>0</v>
      </c>
      <c r="C84" s="3"/>
      <c r="D84" s="3"/>
      <c r="E84" s="3"/>
      <c r="F84" s="3"/>
      <c r="G84" s="3"/>
      <c r="H84" s="3"/>
      <c r="I84" s="3"/>
      <c r="J84" s="254" t="s">
        <v>54</v>
      </c>
      <c r="K84" s="255">
        <f t="shared" ref="K84" ca="1" si="230">K83*0.2</f>
        <v>0</v>
      </c>
      <c r="L84" s="255">
        <f t="shared" ref="L84:N84" ca="1" si="231">L83*0.2</f>
        <v>0</v>
      </c>
      <c r="M84" s="255">
        <f t="shared" ca="1" si="231"/>
        <v>0</v>
      </c>
      <c r="N84" s="255">
        <f t="shared" ca="1" si="231"/>
        <v>0</v>
      </c>
      <c r="O84" s="3"/>
      <c r="P84" s="3"/>
      <c r="Q84" s="3"/>
      <c r="S84" s="254" t="s">
        <v>54</v>
      </c>
      <c r="T84" s="255">
        <f t="shared" ref="T84:W84" ca="1" si="232">T83*0.2</f>
        <v>0</v>
      </c>
      <c r="U84" s="255">
        <f t="shared" ca="1" si="232"/>
        <v>0</v>
      </c>
      <c r="V84" s="255">
        <f t="shared" ca="1" si="232"/>
        <v>0</v>
      </c>
      <c r="W84" s="255">
        <f t="shared" ca="1" si="232"/>
        <v>0</v>
      </c>
      <c r="X84" s="3"/>
      <c r="Y84" s="3"/>
      <c r="Z84" s="3"/>
      <c r="AB84" s="254" t="s">
        <v>54</v>
      </c>
      <c r="AC84" s="255">
        <f t="shared" ref="AC84" ca="1" si="233">AC83*0.2</f>
        <v>0</v>
      </c>
      <c r="AD84" s="255">
        <f t="shared" ref="AD84:AF84" ca="1" si="234">AD83*0.2</f>
        <v>0</v>
      </c>
      <c r="AE84" s="255">
        <f t="shared" ca="1" si="234"/>
        <v>0</v>
      </c>
      <c r="AF84" s="255">
        <f t="shared" ca="1" si="234"/>
        <v>0</v>
      </c>
      <c r="AG84" s="3"/>
      <c r="AH84" s="3"/>
      <c r="AI84" s="3"/>
      <c r="AK84" s="254" t="s">
        <v>54</v>
      </c>
      <c r="AL84" s="255">
        <f t="shared" ref="AL84:AO84" ca="1" si="235">AL83*0.2</f>
        <v>0</v>
      </c>
      <c r="AM84" s="255">
        <f t="shared" ca="1" si="235"/>
        <v>0</v>
      </c>
      <c r="AN84" s="255">
        <f t="shared" ca="1" si="235"/>
        <v>0</v>
      </c>
      <c r="AO84" s="255">
        <f t="shared" ca="1" si="235"/>
        <v>0</v>
      </c>
      <c r="AP84" s="3"/>
      <c r="AQ84" s="3"/>
      <c r="AR84" s="3"/>
    </row>
    <row r="85" spans="1:44" ht="16.5" customHeight="1" thickBot="1">
      <c r="A85" s="206" t="s">
        <v>172</v>
      </c>
      <c r="B85" s="143">
        <f ca="1">SUM(B83:B84)</f>
        <v>0</v>
      </c>
      <c r="C85" s="3"/>
      <c r="D85" s="3"/>
      <c r="E85" s="3"/>
      <c r="F85" s="3"/>
      <c r="G85" s="3"/>
      <c r="H85" s="3"/>
      <c r="I85" s="3"/>
      <c r="J85" s="251" t="s">
        <v>172</v>
      </c>
      <c r="K85" s="252">
        <f t="shared" ref="K85" ca="1" si="236">SUM(K83:K84)</f>
        <v>0</v>
      </c>
      <c r="L85" s="252">
        <f t="shared" ref="L85:N85" ca="1" si="237">SUM(L83:L84)</f>
        <v>0</v>
      </c>
      <c r="M85" s="252">
        <f t="shared" ca="1" si="237"/>
        <v>0</v>
      </c>
      <c r="N85" s="252">
        <f t="shared" ca="1" si="237"/>
        <v>0</v>
      </c>
      <c r="O85" s="3"/>
      <c r="P85" s="3"/>
      <c r="Q85" s="3"/>
      <c r="S85" s="251" t="s">
        <v>172</v>
      </c>
      <c r="T85" s="252">
        <f t="shared" ref="T85:W85" ca="1" si="238">SUM(T83:T84)</f>
        <v>0</v>
      </c>
      <c r="U85" s="252">
        <f t="shared" ca="1" si="238"/>
        <v>0</v>
      </c>
      <c r="V85" s="252">
        <f t="shared" ca="1" si="238"/>
        <v>0</v>
      </c>
      <c r="W85" s="252">
        <f t="shared" ca="1" si="238"/>
        <v>0</v>
      </c>
      <c r="X85" s="3"/>
      <c r="Y85" s="3"/>
      <c r="Z85" s="3"/>
      <c r="AB85" s="251" t="s">
        <v>172</v>
      </c>
      <c r="AC85" s="252">
        <f t="shared" ref="AC85" ca="1" si="239">SUM(AC83:AC84)</f>
        <v>0</v>
      </c>
      <c r="AD85" s="252">
        <f t="shared" ref="AD85:AF85" ca="1" si="240">SUM(AD83:AD84)</f>
        <v>0</v>
      </c>
      <c r="AE85" s="252">
        <f t="shared" ca="1" si="240"/>
        <v>0</v>
      </c>
      <c r="AF85" s="252">
        <f t="shared" ca="1" si="240"/>
        <v>0</v>
      </c>
      <c r="AG85" s="3"/>
      <c r="AH85" s="3"/>
      <c r="AI85" s="3"/>
      <c r="AK85" s="251" t="s">
        <v>172</v>
      </c>
      <c r="AL85" s="252">
        <f t="shared" ref="AL85:AO85" ca="1" si="241">SUM(AL83:AL84)</f>
        <v>0</v>
      </c>
      <c r="AM85" s="252">
        <f t="shared" ca="1" si="241"/>
        <v>0</v>
      </c>
      <c r="AN85" s="252">
        <f t="shared" ca="1" si="241"/>
        <v>0</v>
      </c>
      <c r="AO85" s="252">
        <f t="shared" ca="1" si="241"/>
        <v>0</v>
      </c>
      <c r="AP85" s="3"/>
      <c r="AQ85" s="3"/>
      <c r="AR85" s="3"/>
    </row>
    <row r="86" spans="1:44" ht="16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S86" s="3"/>
      <c r="T86" s="3"/>
      <c r="U86" s="3"/>
      <c r="V86" s="3"/>
      <c r="W86" s="3"/>
      <c r="X86" s="3"/>
      <c r="Y86" s="3"/>
      <c r="Z86" s="3"/>
      <c r="AB86" s="3"/>
      <c r="AC86" s="3"/>
      <c r="AD86" s="3"/>
      <c r="AE86" s="3"/>
      <c r="AF86" s="3"/>
      <c r="AG86" s="3"/>
      <c r="AH86" s="3"/>
      <c r="AI86" s="3"/>
      <c r="AK86" s="3"/>
      <c r="AL86" s="3"/>
      <c r="AM86" s="3"/>
      <c r="AN86" s="3"/>
      <c r="AO86" s="3"/>
      <c r="AP86" s="3"/>
      <c r="AQ86" s="3"/>
      <c r="AR86" s="3"/>
    </row>
    <row r="87" spans="1:44" ht="16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S87" s="3"/>
      <c r="T87" s="3"/>
      <c r="U87" s="3"/>
      <c r="V87" s="3"/>
      <c r="W87" s="3"/>
      <c r="X87" s="3"/>
      <c r="Y87" s="3"/>
      <c r="Z87" s="3"/>
      <c r="AB87" s="3"/>
      <c r="AC87" s="3"/>
      <c r="AD87" s="3"/>
      <c r="AE87" s="3"/>
      <c r="AF87" s="3"/>
      <c r="AG87" s="3"/>
      <c r="AH87" s="3"/>
      <c r="AI87" s="3"/>
      <c r="AK87" s="3"/>
      <c r="AL87" s="3"/>
      <c r="AM87" s="3"/>
      <c r="AN87" s="3"/>
      <c r="AO87" s="3"/>
      <c r="AP87" s="3"/>
      <c r="AQ87" s="3"/>
      <c r="AR87" s="3"/>
    </row>
    <row r="88" spans="1:44" ht="16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S88" s="3"/>
      <c r="T88" s="3"/>
      <c r="U88" s="3"/>
      <c r="V88" s="3"/>
      <c r="W88" s="3"/>
      <c r="X88" s="3"/>
      <c r="Y88" s="3"/>
      <c r="Z88" s="3"/>
      <c r="AB88" s="3"/>
      <c r="AC88" s="3"/>
      <c r="AD88" s="3"/>
      <c r="AE88" s="3"/>
      <c r="AF88" s="3"/>
      <c r="AG88" s="3"/>
      <c r="AH88" s="3"/>
      <c r="AI88" s="3"/>
      <c r="AK88" s="3"/>
      <c r="AL88" s="3"/>
      <c r="AM88" s="3"/>
      <c r="AN88" s="3"/>
      <c r="AO88" s="3"/>
      <c r="AP88" s="3"/>
      <c r="AQ88" s="3"/>
      <c r="AR88" s="3"/>
    </row>
    <row r="89" spans="1:44" ht="16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S89" s="3"/>
      <c r="T89" s="3"/>
      <c r="U89" s="3"/>
      <c r="V89" s="3"/>
      <c r="W89" s="3"/>
      <c r="X89" s="3"/>
      <c r="Y89" s="3"/>
      <c r="Z89" s="3"/>
      <c r="AB89" s="3"/>
      <c r="AC89" s="3"/>
      <c r="AD89" s="3"/>
      <c r="AE89" s="3"/>
      <c r="AF89" s="3"/>
      <c r="AG89" s="3"/>
      <c r="AH89" s="3"/>
      <c r="AI89" s="3"/>
      <c r="AK89" s="3"/>
      <c r="AL89" s="3"/>
      <c r="AM89" s="3"/>
      <c r="AN89" s="3"/>
      <c r="AO89" s="3"/>
      <c r="AP89" s="3"/>
      <c r="AQ89" s="3"/>
      <c r="AR89" s="3"/>
    </row>
    <row r="90" spans="1:44" ht="16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S90" s="3"/>
      <c r="T90" s="3"/>
      <c r="U90" s="3"/>
      <c r="V90" s="3"/>
      <c r="W90" s="3"/>
      <c r="X90" s="3"/>
      <c r="Y90" s="3"/>
      <c r="Z90" s="3"/>
      <c r="AB90" s="3"/>
      <c r="AC90" s="3"/>
      <c r="AD90" s="3"/>
      <c r="AE90" s="3"/>
      <c r="AF90" s="3"/>
      <c r="AG90" s="3"/>
      <c r="AH90" s="3"/>
      <c r="AI90" s="3"/>
      <c r="AK90" s="3"/>
      <c r="AL90" s="3"/>
      <c r="AM90" s="3"/>
      <c r="AN90" s="3"/>
      <c r="AO90" s="3"/>
      <c r="AP90" s="3"/>
      <c r="AQ90" s="3"/>
      <c r="AR90" s="3"/>
    </row>
    <row r="91" spans="1:44" ht="16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S91" s="3"/>
      <c r="T91" s="3"/>
      <c r="U91" s="3"/>
      <c r="V91" s="3"/>
      <c r="W91" s="3"/>
      <c r="X91" s="3"/>
      <c r="Y91" s="3"/>
      <c r="Z91" s="3"/>
      <c r="AB91" s="3"/>
      <c r="AC91" s="3"/>
      <c r="AD91" s="3"/>
      <c r="AE91" s="3"/>
      <c r="AF91" s="3"/>
      <c r="AG91" s="3"/>
      <c r="AH91" s="3"/>
      <c r="AI91" s="3"/>
      <c r="AK91" s="3"/>
      <c r="AL91" s="3"/>
      <c r="AM91" s="3"/>
      <c r="AN91" s="3"/>
      <c r="AO91" s="3"/>
      <c r="AP91" s="3"/>
      <c r="AQ91" s="3"/>
      <c r="AR91" s="3"/>
    </row>
    <row r="92" spans="1:44" ht="16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S92" s="3"/>
      <c r="T92" s="3"/>
      <c r="U92" s="3"/>
      <c r="V92" s="3"/>
      <c r="W92" s="3"/>
      <c r="X92" s="3"/>
      <c r="Y92" s="3"/>
      <c r="Z92" s="3"/>
      <c r="AB92" s="3"/>
      <c r="AC92" s="3"/>
      <c r="AD92" s="3"/>
      <c r="AE92" s="3"/>
      <c r="AF92" s="3"/>
      <c r="AG92" s="3"/>
      <c r="AH92" s="3"/>
      <c r="AI92" s="3"/>
      <c r="AK92" s="3"/>
      <c r="AL92" s="3"/>
      <c r="AM92" s="3"/>
      <c r="AN92" s="3"/>
      <c r="AO92" s="3"/>
      <c r="AP92" s="3"/>
      <c r="AQ92" s="3"/>
      <c r="AR92" s="3"/>
    </row>
    <row r="93" spans="1:44" ht="16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S93" s="3"/>
      <c r="T93" s="3"/>
      <c r="U93" s="3"/>
      <c r="V93" s="3"/>
      <c r="W93" s="3"/>
      <c r="X93" s="3"/>
      <c r="Y93" s="3"/>
      <c r="Z93" s="3"/>
      <c r="AB93" s="3"/>
      <c r="AC93" s="3"/>
      <c r="AD93" s="3"/>
      <c r="AE93" s="3"/>
      <c r="AF93" s="3"/>
      <c r="AG93" s="3"/>
      <c r="AH93" s="3"/>
      <c r="AI93" s="3"/>
      <c r="AK93" s="3"/>
      <c r="AL93" s="3"/>
      <c r="AM93" s="3"/>
      <c r="AN93" s="3"/>
      <c r="AO93" s="3"/>
      <c r="AP93" s="3"/>
      <c r="AQ93" s="3"/>
      <c r="AR93" s="3"/>
    </row>
    <row r="94" spans="1:44" ht="16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S94" s="3"/>
      <c r="T94" s="3"/>
      <c r="U94" s="3"/>
      <c r="V94" s="3"/>
      <c r="W94" s="3"/>
      <c r="X94" s="3"/>
      <c r="Y94" s="3"/>
      <c r="Z94" s="3"/>
      <c r="AB94" s="3"/>
      <c r="AC94" s="3"/>
      <c r="AD94" s="3"/>
      <c r="AE94" s="3"/>
      <c r="AF94" s="3"/>
      <c r="AG94" s="3"/>
      <c r="AH94" s="3"/>
      <c r="AI94" s="3"/>
      <c r="AK94" s="3"/>
      <c r="AL94" s="3"/>
      <c r="AM94" s="3"/>
      <c r="AN94" s="3"/>
      <c r="AO94" s="3"/>
      <c r="AP94" s="3"/>
      <c r="AQ94" s="3"/>
      <c r="AR94" s="3"/>
    </row>
    <row r="95" spans="1:44" ht="16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S95" s="3"/>
      <c r="T95" s="3"/>
      <c r="U95" s="3"/>
      <c r="V95" s="3"/>
      <c r="W95" s="3"/>
      <c r="X95" s="3"/>
      <c r="Y95" s="3"/>
      <c r="Z95" s="3"/>
      <c r="AB95" s="3"/>
      <c r="AC95" s="3"/>
      <c r="AD95" s="3"/>
      <c r="AE95" s="3"/>
      <c r="AF95" s="3"/>
      <c r="AG95" s="3"/>
      <c r="AH95" s="3"/>
      <c r="AI95" s="3"/>
      <c r="AK95" s="3"/>
      <c r="AL95" s="3"/>
      <c r="AM95" s="3"/>
      <c r="AN95" s="3"/>
      <c r="AO95" s="3"/>
      <c r="AP95" s="3"/>
      <c r="AQ95" s="3"/>
      <c r="AR95" s="3"/>
    </row>
    <row r="96" spans="1:44" ht="16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S96" s="3"/>
      <c r="T96" s="3"/>
      <c r="U96" s="3"/>
      <c r="V96" s="3"/>
      <c r="W96" s="3"/>
      <c r="X96" s="3"/>
      <c r="Y96" s="3"/>
      <c r="Z96" s="3"/>
      <c r="AB96" s="3"/>
      <c r="AC96" s="3"/>
      <c r="AD96" s="3"/>
      <c r="AE96" s="3"/>
      <c r="AF96" s="3"/>
      <c r="AG96" s="3"/>
      <c r="AH96" s="3"/>
      <c r="AI96" s="3"/>
      <c r="AK96" s="3"/>
      <c r="AL96" s="3"/>
      <c r="AM96" s="3"/>
      <c r="AN96" s="3"/>
      <c r="AO96" s="3"/>
      <c r="AP96" s="3"/>
      <c r="AQ96" s="3"/>
      <c r="AR96" s="3"/>
    </row>
    <row r="97" spans="1:44" ht="16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S97" s="3"/>
      <c r="T97" s="3"/>
      <c r="U97" s="3"/>
      <c r="V97" s="3"/>
      <c r="W97" s="3"/>
      <c r="X97" s="3"/>
      <c r="Y97" s="3"/>
      <c r="Z97" s="3"/>
      <c r="AB97" s="3"/>
      <c r="AC97" s="3"/>
      <c r="AD97" s="3"/>
      <c r="AE97" s="3"/>
      <c r="AF97" s="3"/>
      <c r="AG97" s="3"/>
      <c r="AH97" s="3"/>
      <c r="AI97" s="3"/>
      <c r="AK97" s="3"/>
      <c r="AL97" s="3"/>
      <c r="AM97" s="3"/>
      <c r="AN97" s="3"/>
      <c r="AO97" s="3"/>
      <c r="AP97" s="3"/>
      <c r="AQ97" s="3"/>
      <c r="AR97" s="3"/>
    </row>
    <row r="98" spans="1:44" ht="16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S98" s="3"/>
      <c r="T98" s="3"/>
      <c r="U98" s="3"/>
      <c r="V98" s="3"/>
      <c r="W98" s="3"/>
      <c r="X98" s="3"/>
      <c r="Y98" s="3"/>
      <c r="Z98" s="3"/>
      <c r="AB98" s="3"/>
      <c r="AC98" s="3"/>
      <c r="AD98" s="3"/>
      <c r="AE98" s="3"/>
      <c r="AF98" s="3"/>
      <c r="AG98" s="3"/>
      <c r="AH98" s="3"/>
      <c r="AI98" s="3"/>
      <c r="AK98" s="3"/>
      <c r="AL98" s="3"/>
      <c r="AM98" s="3"/>
      <c r="AN98" s="3"/>
      <c r="AO98" s="3"/>
      <c r="AP98" s="3"/>
      <c r="AQ98" s="3"/>
      <c r="AR98" s="3"/>
    </row>
    <row r="99" spans="1:44" ht="16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S99" s="3"/>
      <c r="T99" s="3"/>
      <c r="U99" s="3"/>
      <c r="V99" s="3"/>
      <c r="W99" s="3"/>
      <c r="X99" s="3"/>
      <c r="Y99" s="3"/>
      <c r="Z99" s="3"/>
      <c r="AB99" s="3"/>
      <c r="AC99" s="3"/>
      <c r="AD99" s="3"/>
      <c r="AE99" s="3"/>
      <c r="AF99" s="3"/>
      <c r="AG99" s="3"/>
      <c r="AH99" s="3"/>
      <c r="AI99" s="3"/>
      <c r="AK99" s="3"/>
      <c r="AL99" s="3"/>
      <c r="AM99" s="3"/>
      <c r="AN99" s="3"/>
      <c r="AO99" s="3"/>
      <c r="AP99" s="3"/>
      <c r="AQ99" s="3"/>
      <c r="AR99" s="3"/>
    </row>
    <row r="100" spans="1:44" ht="16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S100" s="3"/>
      <c r="T100" s="3"/>
      <c r="U100" s="3"/>
      <c r="V100" s="3"/>
      <c r="W100" s="3"/>
      <c r="X100" s="3"/>
      <c r="Y100" s="3"/>
      <c r="Z100" s="3"/>
      <c r="AB100" s="3"/>
      <c r="AC100" s="3"/>
      <c r="AD100" s="3"/>
      <c r="AE100" s="3"/>
      <c r="AF100" s="3"/>
      <c r="AG100" s="3"/>
      <c r="AH100" s="3"/>
      <c r="AI100" s="3"/>
      <c r="AK100" s="3"/>
      <c r="AL100" s="3"/>
      <c r="AM100" s="3"/>
      <c r="AN100" s="3"/>
      <c r="AO100" s="3"/>
      <c r="AP100" s="3"/>
      <c r="AQ100" s="3"/>
      <c r="AR100" s="3"/>
    </row>
    <row r="101" spans="1:44" ht="16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S101" s="3"/>
      <c r="T101" s="3"/>
      <c r="U101" s="3"/>
      <c r="V101" s="3"/>
      <c r="W101" s="3"/>
      <c r="X101" s="3"/>
      <c r="Y101" s="3"/>
      <c r="Z101" s="3"/>
      <c r="AB101" s="3"/>
      <c r="AC101" s="3"/>
      <c r="AD101" s="3"/>
      <c r="AE101" s="3"/>
      <c r="AF101" s="3"/>
      <c r="AG101" s="3"/>
      <c r="AH101" s="3"/>
      <c r="AI101" s="3"/>
      <c r="AK101" s="3"/>
      <c r="AL101" s="3"/>
      <c r="AM101" s="3"/>
      <c r="AN101" s="3"/>
      <c r="AO101" s="3"/>
      <c r="AP101" s="3"/>
      <c r="AQ101" s="3"/>
      <c r="AR101" s="3"/>
    </row>
    <row r="102" spans="1:44" ht="16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S102" s="3"/>
      <c r="T102" s="3"/>
      <c r="U102" s="3"/>
      <c r="V102" s="3"/>
      <c r="W102" s="3"/>
      <c r="X102" s="3"/>
      <c r="Y102" s="3"/>
      <c r="Z102" s="3"/>
      <c r="AB102" s="3"/>
      <c r="AC102" s="3"/>
      <c r="AD102" s="3"/>
      <c r="AE102" s="3"/>
      <c r="AF102" s="3"/>
      <c r="AG102" s="3"/>
      <c r="AH102" s="3"/>
      <c r="AI102" s="3"/>
      <c r="AK102" s="3"/>
      <c r="AL102" s="3"/>
      <c r="AM102" s="3"/>
      <c r="AN102" s="3"/>
      <c r="AO102" s="3"/>
      <c r="AP102" s="3"/>
      <c r="AQ102" s="3"/>
      <c r="AR102" s="3"/>
    </row>
    <row r="103" spans="1:44" ht="16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S103" s="3"/>
      <c r="T103" s="3"/>
      <c r="U103" s="3"/>
      <c r="V103" s="3"/>
      <c r="W103" s="3"/>
      <c r="X103" s="3"/>
      <c r="Y103" s="3"/>
      <c r="Z103" s="3"/>
      <c r="AB103" s="3"/>
      <c r="AC103" s="3"/>
      <c r="AD103" s="3"/>
      <c r="AE103" s="3"/>
      <c r="AF103" s="3"/>
      <c r="AG103" s="3"/>
      <c r="AH103" s="3"/>
      <c r="AI103" s="3"/>
      <c r="AK103" s="3"/>
      <c r="AL103" s="3"/>
      <c r="AM103" s="3"/>
      <c r="AN103" s="3"/>
      <c r="AO103" s="3"/>
      <c r="AP103" s="3"/>
      <c r="AQ103" s="3"/>
      <c r="AR103" s="3"/>
    </row>
    <row r="104" spans="1:44" ht="16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S104" s="3"/>
      <c r="T104" s="3"/>
      <c r="U104" s="3"/>
      <c r="V104" s="3"/>
      <c r="W104" s="3"/>
      <c r="X104" s="3"/>
      <c r="Y104" s="3"/>
      <c r="Z104" s="3"/>
      <c r="AB104" s="3"/>
      <c r="AC104" s="3"/>
      <c r="AD104" s="3"/>
      <c r="AE104" s="3"/>
      <c r="AF104" s="3"/>
      <c r="AG104" s="3"/>
      <c r="AH104" s="3"/>
      <c r="AI104" s="3"/>
      <c r="AK104" s="3"/>
      <c r="AL104" s="3"/>
      <c r="AM104" s="3"/>
      <c r="AN104" s="3"/>
      <c r="AO104" s="3"/>
      <c r="AP104" s="3"/>
      <c r="AQ104" s="3"/>
      <c r="AR104" s="3"/>
    </row>
    <row r="105" spans="1:44" ht="16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S105" s="3"/>
      <c r="T105" s="3"/>
      <c r="U105" s="3"/>
      <c r="V105" s="3"/>
      <c r="W105" s="3"/>
      <c r="X105" s="3"/>
      <c r="Y105" s="3"/>
      <c r="Z105" s="3"/>
      <c r="AB105" s="3"/>
      <c r="AC105" s="3"/>
      <c r="AD105" s="3"/>
      <c r="AE105" s="3"/>
      <c r="AF105" s="3"/>
      <c r="AG105" s="3"/>
      <c r="AH105" s="3"/>
      <c r="AI105" s="3"/>
      <c r="AK105" s="3"/>
      <c r="AL105" s="3"/>
      <c r="AM105" s="3"/>
      <c r="AN105" s="3"/>
      <c r="AO105" s="3"/>
      <c r="AP105" s="3"/>
      <c r="AQ105" s="3"/>
      <c r="AR105" s="3"/>
    </row>
    <row r="106" spans="1:44" ht="16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S106" s="3"/>
      <c r="T106" s="3"/>
      <c r="U106" s="3"/>
      <c r="V106" s="3"/>
      <c r="W106" s="3"/>
      <c r="X106" s="3"/>
      <c r="Y106" s="3"/>
      <c r="Z106" s="3"/>
      <c r="AB106" s="3"/>
      <c r="AC106" s="3"/>
      <c r="AD106" s="3"/>
      <c r="AE106" s="3"/>
      <c r="AF106" s="3"/>
      <c r="AG106" s="3"/>
      <c r="AH106" s="3"/>
      <c r="AI106" s="3"/>
      <c r="AK106" s="3"/>
      <c r="AL106" s="3"/>
      <c r="AM106" s="3"/>
      <c r="AN106" s="3"/>
      <c r="AO106" s="3"/>
      <c r="AP106" s="3"/>
      <c r="AQ106" s="3"/>
      <c r="AR106" s="3"/>
    </row>
    <row r="107" spans="1:44" ht="16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S107" s="3"/>
      <c r="T107" s="3"/>
      <c r="U107" s="3"/>
      <c r="V107" s="3"/>
      <c r="W107" s="3"/>
      <c r="X107" s="3"/>
      <c r="Y107" s="3"/>
      <c r="Z107" s="3"/>
      <c r="AB107" s="3"/>
      <c r="AC107" s="3"/>
      <c r="AD107" s="3"/>
      <c r="AE107" s="3"/>
      <c r="AF107" s="3"/>
      <c r="AG107" s="3"/>
      <c r="AH107" s="3"/>
      <c r="AI107" s="3"/>
      <c r="AK107" s="3"/>
      <c r="AL107" s="3"/>
      <c r="AM107" s="3"/>
      <c r="AN107" s="3"/>
      <c r="AO107" s="3"/>
      <c r="AP107" s="3"/>
      <c r="AQ107" s="3"/>
      <c r="AR107" s="3"/>
    </row>
    <row r="108" spans="1:44" ht="16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S108" s="3"/>
      <c r="T108" s="3"/>
      <c r="U108" s="3"/>
      <c r="V108" s="3"/>
      <c r="W108" s="3"/>
      <c r="X108" s="3"/>
      <c r="Y108" s="3"/>
      <c r="Z108" s="3"/>
      <c r="AB108" s="3"/>
      <c r="AC108" s="3"/>
      <c r="AD108" s="3"/>
      <c r="AE108" s="3"/>
      <c r="AF108" s="3"/>
      <c r="AG108" s="3"/>
      <c r="AH108" s="3"/>
      <c r="AI108" s="3"/>
      <c r="AK108" s="3"/>
      <c r="AL108" s="3"/>
      <c r="AM108" s="3"/>
      <c r="AN108" s="3"/>
      <c r="AO108" s="3"/>
      <c r="AP108" s="3"/>
      <c r="AQ108" s="3"/>
      <c r="AR108" s="3"/>
    </row>
    <row r="109" spans="1:44" ht="16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S109" s="3"/>
      <c r="T109" s="3"/>
      <c r="U109" s="3"/>
      <c r="V109" s="3"/>
      <c r="W109" s="3"/>
      <c r="X109" s="3"/>
      <c r="Y109" s="3"/>
      <c r="Z109" s="3"/>
      <c r="AB109" s="3"/>
      <c r="AC109" s="3"/>
      <c r="AD109" s="3"/>
      <c r="AE109" s="3"/>
      <c r="AF109" s="3"/>
      <c r="AG109" s="3"/>
      <c r="AH109" s="3"/>
      <c r="AI109" s="3"/>
      <c r="AK109" s="3"/>
      <c r="AL109" s="3"/>
      <c r="AM109" s="3"/>
      <c r="AN109" s="3"/>
      <c r="AO109" s="3"/>
      <c r="AP109" s="3"/>
      <c r="AQ109" s="3"/>
      <c r="AR109" s="3"/>
    </row>
    <row r="110" spans="1:44" ht="16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S110" s="3"/>
      <c r="T110" s="3"/>
      <c r="U110" s="3"/>
      <c r="V110" s="3"/>
      <c r="W110" s="3"/>
      <c r="X110" s="3"/>
      <c r="Y110" s="3"/>
      <c r="Z110" s="3"/>
      <c r="AB110" s="3"/>
      <c r="AC110" s="3"/>
      <c r="AD110" s="3"/>
      <c r="AE110" s="3"/>
      <c r="AF110" s="3"/>
      <c r="AG110" s="3"/>
      <c r="AH110" s="3"/>
      <c r="AI110" s="3"/>
      <c r="AK110" s="3"/>
      <c r="AL110" s="3"/>
      <c r="AM110" s="3"/>
      <c r="AN110" s="3"/>
      <c r="AO110" s="3"/>
      <c r="AP110" s="3"/>
      <c r="AQ110" s="3"/>
      <c r="AR110" s="3"/>
    </row>
    <row r="111" spans="1:44" ht="16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S111" s="3"/>
      <c r="T111" s="3"/>
      <c r="U111" s="3"/>
      <c r="V111" s="3"/>
      <c r="W111" s="3"/>
      <c r="X111" s="3"/>
      <c r="Y111" s="3"/>
      <c r="Z111" s="3"/>
      <c r="AB111" s="3"/>
      <c r="AC111" s="3"/>
      <c r="AD111" s="3"/>
      <c r="AE111" s="3"/>
      <c r="AF111" s="3"/>
      <c r="AG111" s="3"/>
      <c r="AH111" s="3"/>
      <c r="AI111" s="3"/>
      <c r="AK111" s="3"/>
      <c r="AL111" s="3"/>
      <c r="AM111" s="3"/>
      <c r="AN111" s="3"/>
      <c r="AO111" s="3"/>
      <c r="AP111" s="3"/>
      <c r="AQ111" s="3"/>
      <c r="AR111" s="3"/>
    </row>
    <row r="112" spans="1:44" ht="16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S112" s="3"/>
      <c r="T112" s="3"/>
      <c r="U112" s="3"/>
      <c r="V112" s="3"/>
      <c r="W112" s="3"/>
      <c r="X112" s="3"/>
      <c r="Y112" s="3"/>
      <c r="Z112" s="3"/>
      <c r="AB112" s="3"/>
      <c r="AC112" s="3"/>
      <c r="AD112" s="3"/>
      <c r="AE112" s="3"/>
      <c r="AF112" s="3"/>
      <c r="AG112" s="3"/>
      <c r="AH112" s="3"/>
      <c r="AI112" s="3"/>
      <c r="AK112" s="3"/>
      <c r="AL112" s="3"/>
      <c r="AM112" s="3"/>
      <c r="AN112" s="3"/>
      <c r="AO112" s="3"/>
      <c r="AP112" s="3"/>
      <c r="AQ112" s="3"/>
      <c r="AR112" s="3"/>
    </row>
    <row r="113" spans="1:44" ht="16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S113" s="3"/>
      <c r="T113" s="3"/>
      <c r="U113" s="3"/>
      <c r="V113" s="3"/>
      <c r="W113" s="3"/>
      <c r="X113" s="3"/>
      <c r="Y113" s="3"/>
      <c r="Z113" s="3"/>
      <c r="AB113" s="3"/>
      <c r="AC113" s="3"/>
      <c r="AD113" s="3"/>
      <c r="AE113" s="3"/>
      <c r="AF113" s="3"/>
      <c r="AG113" s="3"/>
      <c r="AH113" s="3"/>
      <c r="AI113" s="3"/>
      <c r="AK113" s="3"/>
      <c r="AL113" s="3"/>
      <c r="AM113" s="3"/>
      <c r="AN113" s="3"/>
      <c r="AO113" s="3"/>
      <c r="AP113" s="3"/>
      <c r="AQ113" s="3"/>
      <c r="AR113" s="3"/>
    </row>
    <row r="114" spans="1:44" ht="16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S114" s="3"/>
      <c r="T114" s="3"/>
      <c r="U114" s="3"/>
      <c r="V114" s="3"/>
      <c r="W114" s="3"/>
      <c r="X114" s="3"/>
      <c r="Y114" s="3"/>
      <c r="Z114" s="3"/>
      <c r="AB114" s="3"/>
      <c r="AC114" s="3"/>
      <c r="AD114" s="3"/>
      <c r="AE114" s="3"/>
      <c r="AF114" s="3"/>
      <c r="AG114" s="3"/>
      <c r="AH114" s="3"/>
      <c r="AI114" s="3"/>
      <c r="AK114" s="3"/>
      <c r="AL114" s="3"/>
      <c r="AM114" s="3"/>
      <c r="AN114" s="3"/>
      <c r="AO114" s="3"/>
      <c r="AP114" s="3"/>
      <c r="AQ114" s="3"/>
      <c r="AR114" s="3"/>
    </row>
    <row r="115" spans="1:44" ht="16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S115" s="3"/>
      <c r="T115" s="3"/>
      <c r="U115" s="3"/>
      <c r="V115" s="3"/>
      <c r="W115" s="3"/>
      <c r="X115" s="3"/>
      <c r="Y115" s="3"/>
      <c r="Z115" s="3"/>
      <c r="AB115" s="3"/>
      <c r="AC115" s="3"/>
      <c r="AD115" s="3"/>
      <c r="AE115" s="3"/>
      <c r="AF115" s="3"/>
      <c r="AG115" s="3"/>
      <c r="AH115" s="3"/>
      <c r="AI115" s="3"/>
      <c r="AK115" s="3"/>
      <c r="AL115" s="3"/>
      <c r="AM115" s="3"/>
      <c r="AN115" s="3"/>
      <c r="AO115" s="3"/>
      <c r="AP115" s="3"/>
      <c r="AQ115" s="3"/>
      <c r="AR115" s="3"/>
    </row>
    <row r="116" spans="1:44" ht="16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S116" s="3"/>
      <c r="T116" s="3"/>
      <c r="U116" s="3"/>
      <c r="V116" s="3"/>
      <c r="W116" s="3"/>
      <c r="X116" s="3"/>
      <c r="Y116" s="3"/>
      <c r="Z116" s="3"/>
      <c r="AB116" s="3"/>
      <c r="AC116" s="3"/>
      <c r="AD116" s="3"/>
      <c r="AE116" s="3"/>
      <c r="AF116" s="3"/>
      <c r="AG116" s="3"/>
      <c r="AH116" s="3"/>
      <c r="AI116" s="3"/>
      <c r="AK116" s="3"/>
      <c r="AL116" s="3"/>
      <c r="AM116" s="3"/>
      <c r="AN116" s="3"/>
      <c r="AO116" s="3"/>
      <c r="AP116" s="3"/>
      <c r="AQ116" s="3"/>
      <c r="AR116" s="3"/>
    </row>
    <row r="117" spans="1:44" ht="16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S117" s="3"/>
      <c r="T117" s="3"/>
      <c r="U117" s="3"/>
      <c r="V117" s="3"/>
      <c r="W117" s="3"/>
      <c r="X117" s="3"/>
      <c r="Y117" s="3"/>
      <c r="Z117" s="3"/>
      <c r="AB117" s="3"/>
      <c r="AC117" s="3"/>
      <c r="AD117" s="3"/>
      <c r="AE117" s="3"/>
      <c r="AF117" s="3"/>
      <c r="AG117" s="3"/>
      <c r="AH117" s="3"/>
      <c r="AI117" s="3"/>
      <c r="AK117" s="3"/>
      <c r="AL117" s="3"/>
      <c r="AM117" s="3"/>
      <c r="AN117" s="3"/>
      <c r="AO117" s="3"/>
      <c r="AP117" s="3"/>
      <c r="AQ117" s="3"/>
      <c r="AR117" s="3"/>
    </row>
    <row r="118" spans="1:44" ht="16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S118" s="3"/>
      <c r="T118" s="3"/>
      <c r="U118" s="3"/>
      <c r="V118" s="3"/>
      <c r="W118" s="3"/>
      <c r="X118" s="3"/>
      <c r="Y118" s="3"/>
      <c r="Z118" s="3"/>
      <c r="AB118" s="3"/>
      <c r="AC118" s="3"/>
      <c r="AD118" s="3"/>
      <c r="AE118" s="3"/>
      <c r="AF118" s="3"/>
      <c r="AG118" s="3"/>
      <c r="AH118" s="3"/>
      <c r="AI118" s="3"/>
      <c r="AK118" s="3"/>
      <c r="AL118" s="3"/>
      <c r="AM118" s="3"/>
      <c r="AN118" s="3"/>
      <c r="AO118" s="3"/>
      <c r="AP118" s="3"/>
      <c r="AQ118" s="3"/>
      <c r="AR118" s="3"/>
    </row>
    <row r="119" spans="1:44" ht="16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S119" s="3"/>
      <c r="T119" s="3"/>
      <c r="U119" s="3"/>
      <c r="V119" s="3"/>
      <c r="W119" s="3"/>
      <c r="X119" s="3"/>
      <c r="Y119" s="3"/>
      <c r="Z119" s="3"/>
      <c r="AB119" s="3"/>
      <c r="AC119" s="3"/>
      <c r="AD119" s="3"/>
      <c r="AE119" s="3"/>
      <c r="AF119" s="3"/>
      <c r="AG119" s="3"/>
      <c r="AH119" s="3"/>
      <c r="AI119" s="3"/>
      <c r="AK119" s="3"/>
      <c r="AL119" s="3"/>
      <c r="AM119" s="3"/>
      <c r="AN119" s="3"/>
      <c r="AO119" s="3"/>
      <c r="AP119" s="3"/>
      <c r="AQ119" s="3"/>
      <c r="AR119" s="3"/>
    </row>
    <row r="120" spans="1:44" ht="16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S120" s="3"/>
      <c r="T120" s="3"/>
      <c r="U120" s="3"/>
      <c r="V120" s="3"/>
      <c r="W120" s="3"/>
      <c r="X120" s="3"/>
      <c r="Y120" s="3"/>
      <c r="Z120" s="3"/>
      <c r="AB120" s="3"/>
      <c r="AC120" s="3"/>
      <c r="AD120" s="3"/>
      <c r="AE120" s="3"/>
      <c r="AF120" s="3"/>
      <c r="AG120" s="3"/>
      <c r="AH120" s="3"/>
      <c r="AI120" s="3"/>
      <c r="AK120" s="3"/>
      <c r="AL120" s="3"/>
      <c r="AM120" s="3"/>
      <c r="AN120" s="3"/>
      <c r="AO120" s="3"/>
      <c r="AP120" s="3"/>
      <c r="AQ120" s="3"/>
      <c r="AR120" s="3"/>
    </row>
    <row r="121" spans="1:44" ht="16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S121" s="3"/>
      <c r="T121" s="3"/>
      <c r="U121" s="3"/>
      <c r="V121" s="3"/>
      <c r="W121" s="3"/>
      <c r="X121" s="3"/>
      <c r="Y121" s="3"/>
      <c r="Z121" s="3"/>
      <c r="AB121" s="3"/>
      <c r="AC121" s="3"/>
      <c r="AD121" s="3"/>
      <c r="AE121" s="3"/>
      <c r="AF121" s="3"/>
      <c r="AG121" s="3"/>
      <c r="AH121" s="3"/>
      <c r="AI121" s="3"/>
      <c r="AK121" s="3"/>
      <c r="AL121" s="3"/>
      <c r="AM121" s="3"/>
      <c r="AN121" s="3"/>
      <c r="AO121" s="3"/>
      <c r="AP121" s="3"/>
      <c r="AQ121" s="3"/>
      <c r="AR121" s="3"/>
    </row>
    <row r="122" spans="1:44" ht="16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S122" s="3"/>
      <c r="T122" s="3"/>
      <c r="U122" s="3"/>
      <c r="V122" s="3"/>
      <c r="W122" s="3"/>
      <c r="X122" s="3"/>
      <c r="Y122" s="3"/>
      <c r="Z122" s="3"/>
      <c r="AB122" s="3"/>
      <c r="AC122" s="3"/>
      <c r="AD122" s="3"/>
      <c r="AE122" s="3"/>
      <c r="AF122" s="3"/>
      <c r="AG122" s="3"/>
      <c r="AH122" s="3"/>
      <c r="AI122" s="3"/>
      <c r="AK122" s="3"/>
      <c r="AL122" s="3"/>
      <c r="AM122" s="3"/>
      <c r="AN122" s="3"/>
      <c r="AO122" s="3"/>
      <c r="AP122" s="3"/>
      <c r="AQ122" s="3"/>
      <c r="AR122" s="3"/>
    </row>
    <row r="123" spans="1:44" ht="16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S123" s="3"/>
      <c r="T123" s="3"/>
      <c r="U123" s="3"/>
      <c r="V123" s="3"/>
      <c r="W123" s="3"/>
      <c r="X123" s="3"/>
      <c r="Y123" s="3"/>
      <c r="Z123" s="3"/>
      <c r="AB123" s="3"/>
      <c r="AC123" s="3"/>
      <c r="AD123" s="3"/>
      <c r="AE123" s="3"/>
      <c r="AF123" s="3"/>
      <c r="AG123" s="3"/>
      <c r="AH123" s="3"/>
      <c r="AI123" s="3"/>
      <c r="AK123" s="3"/>
      <c r="AL123" s="3"/>
      <c r="AM123" s="3"/>
      <c r="AN123" s="3"/>
      <c r="AO123" s="3"/>
      <c r="AP123" s="3"/>
      <c r="AQ123" s="3"/>
      <c r="AR123" s="3"/>
    </row>
    <row r="124" spans="1:44" ht="16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S124" s="3"/>
      <c r="T124" s="3"/>
      <c r="U124" s="3"/>
      <c r="V124" s="3"/>
      <c r="W124" s="3"/>
      <c r="X124" s="3"/>
      <c r="Y124" s="3"/>
      <c r="Z124" s="3"/>
      <c r="AB124" s="3"/>
      <c r="AC124" s="3"/>
      <c r="AD124" s="3"/>
      <c r="AE124" s="3"/>
      <c r="AF124" s="3"/>
      <c r="AG124" s="3"/>
      <c r="AH124" s="3"/>
      <c r="AI124" s="3"/>
      <c r="AK124" s="3"/>
      <c r="AL124" s="3"/>
      <c r="AM124" s="3"/>
      <c r="AN124" s="3"/>
      <c r="AO124" s="3"/>
      <c r="AP124" s="3"/>
      <c r="AQ124" s="3"/>
      <c r="AR124" s="3"/>
    </row>
    <row r="125" spans="1:44" ht="16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S125" s="3"/>
      <c r="T125" s="3"/>
      <c r="U125" s="3"/>
      <c r="V125" s="3"/>
      <c r="W125" s="3"/>
      <c r="X125" s="3"/>
      <c r="Y125" s="3"/>
      <c r="Z125" s="3"/>
      <c r="AB125" s="3"/>
      <c r="AC125" s="3"/>
      <c r="AD125" s="3"/>
      <c r="AE125" s="3"/>
      <c r="AF125" s="3"/>
      <c r="AG125" s="3"/>
      <c r="AH125" s="3"/>
      <c r="AI125" s="3"/>
      <c r="AK125" s="3"/>
      <c r="AL125" s="3"/>
      <c r="AM125" s="3"/>
      <c r="AN125" s="3"/>
      <c r="AO125" s="3"/>
      <c r="AP125" s="3"/>
      <c r="AQ125" s="3"/>
      <c r="AR125" s="3"/>
    </row>
    <row r="126" spans="1:44" ht="16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S126" s="3"/>
      <c r="T126" s="3"/>
      <c r="U126" s="3"/>
      <c r="V126" s="3"/>
      <c r="W126" s="3"/>
      <c r="X126" s="3"/>
      <c r="Y126" s="3"/>
      <c r="Z126" s="3"/>
      <c r="AB126" s="3"/>
      <c r="AC126" s="3"/>
      <c r="AD126" s="3"/>
      <c r="AE126" s="3"/>
      <c r="AF126" s="3"/>
      <c r="AG126" s="3"/>
      <c r="AH126" s="3"/>
      <c r="AI126" s="3"/>
      <c r="AK126" s="3"/>
      <c r="AL126" s="3"/>
      <c r="AM126" s="3"/>
      <c r="AN126" s="3"/>
      <c r="AO126" s="3"/>
      <c r="AP126" s="3"/>
      <c r="AQ126" s="3"/>
      <c r="AR126" s="3"/>
    </row>
    <row r="127" spans="1:44" ht="16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S127" s="3"/>
      <c r="T127" s="3"/>
      <c r="U127" s="3"/>
      <c r="V127" s="3"/>
      <c r="W127" s="3"/>
      <c r="X127" s="3"/>
      <c r="Y127" s="3"/>
      <c r="Z127" s="3"/>
      <c r="AB127" s="3"/>
      <c r="AC127" s="3"/>
      <c r="AD127" s="3"/>
      <c r="AE127" s="3"/>
      <c r="AF127" s="3"/>
      <c r="AG127" s="3"/>
      <c r="AH127" s="3"/>
      <c r="AI127" s="3"/>
      <c r="AK127" s="3"/>
      <c r="AL127" s="3"/>
      <c r="AM127" s="3"/>
      <c r="AN127" s="3"/>
      <c r="AO127" s="3"/>
      <c r="AP127" s="3"/>
      <c r="AQ127" s="3"/>
      <c r="AR127" s="3"/>
    </row>
    <row r="128" spans="1:44" ht="16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S128" s="3"/>
      <c r="T128" s="3"/>
      <c r="U128" s="3"/>
      <c r="V128" s="3"/>
      <c r="W128" s="3"/>
      <c r="X128" s="3"/>
      <c r="Y128" s="3"/>
      <c r="Z128" s="3"/>
      <c r="AB128" s="3"/>
      <c r="AC128" s="3"/>
      <c r="AD128" s="3"/>
      <c r="AE128" s="3"/>
      <c r="AF128" s="3"/>
      <c r="AG128" s="3"/>
      <c r="AH128" s="3"/>
      <c r="AI128" s="3"/>
      <c r="AK128" s="3"/>
      <c r="AL128" s="3"/>
      <c r="AM128" s="3"/>
      <c r="AN128" s="3"/>
      <c r="AO128" s="3"/>
      <c r="AP128" s="3"/>
      <c r="AQ128" s="3"/>
      <c r="AR128" s="3"/>
    </row>
    <row r="129" spans="1:44" ht="16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S129" s="3"/>
      <c r="T129" s="3"/>
      <c r="U129" s="3"/>
      <c r="V129" s="3"/>
      <c r="W129" s="3"/>
      <c r="X129" s="3"/>
      <c r="Y129" s="3"/>
      <c r="Z129" s="3"/>
      <c r="AB129" s="3"/>
      <c r="AC129" s="3"/>
      <c r="AD129" s="3"/>
      <c r="AE129" s="3"/>
      <c r="AF129" s="3"/>
      <c r="AG129" s="3"/>
      <c r="AH129" s="3"/>
      <c r="AI129" s="3"/>
      <c r="AK129" s="3"/>
      <c r="AL129" s="3"/>
      <c r="AM129" s="3"/>
      <c r="AN129" s="3"/>
      <c r="AO129" s="3"/>
      <c r="AP129" s="3"/>
      <c r="AQ129" s="3"/>
      <c r="AR129" s="3"/>
    </row>
    <row r="130" spans="1:44" ht="16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S130" s="3"/>
      <c r="T130" s="3"/>
      <c r="U130" s="3"/>
      <c r="V130" s="3"/>
      <c r="W130" s="3"/>
      <c r="X130" s="3"/>
      <c r="Y130" s="3"/>
      <c r="Z130" s="3"/>
      <c r="AB130" s="3"/>
      <c r="AC130" s="3"/>
      <c r="AD130" s="3"/>
      <c r="AE130" s="3"/>
      <c r="AF130" s="3"/>
      <c r="AG130" s="3"/>
      <c r="AH130" s="3"/>
      <c r="AI130" s="3"/>
      <c r="AK130" s="3"/>
      <c r="AL130" s="3"/>
      <c r="AM130" s="3"/>
      <c r="AN130" s="3"/>
      <c r="AO130" s="3"/>
      <c r="AP130" s="3"/>
      <c r="AQ130" s="3"/>
      <c r="AR130" s="3"/>
    </row>
    <row r="131" spans="1:44" ht="16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S131" s="3"/>
      <c r="T131" s="3"/>
      <c r="U131" s="3"/>
      <c r="V131" s="3"/>
      <c r="W131" s="3"/>
      <c r="X131" s="3"/>
      <c r="Y131" s="3"/>
      <c r="Z131" s="3"/>
      <c r="AB131" s="3"/>
      <c r="AC131" s="3"/>
      <c r="AD131" s="3"/>
      <c r="AE131" s="3"/>
      <c r="AF131" s="3"/>
      <c r="AG131" s="3"/>
      <c r="AH131" s="3"/>
      <c r="AI131" s="3"/>
      <c r="AK131" s="3"/>
      <c r="AL131" s="3"/>
      <c r="AM131" s="3"/>
      <c r="AN131" s="3"/>
      <c r="AO131" s="3"/>
      <c r="AP131" s="3"/>
      <c r="AQ131" s="3"/>
      <c r="AR131" s="3"/>
    </row>
    <row r="132" spans="1:44" ht="16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S132" s="3"/>
      <c r="T132" s="3"/>
      <c r="U132" s="3"/>
      <c r="V132" s="3"/>
      <c r="W132" s="3"/>
      <c r="X132" s="3"/>
      <c r="Y132" s="3"/>
      <c r="Z132" s="3"/>
      <c r="AB132" s="3"/>
      <c r="AC132" s="3"/>
      <c r="AD132" s="3"/>
      <c r="AE132" s="3"/>
      <c r="AF132" s="3"/>
      <c r="AG132" s="3"/>
      <c r="AH132" s="3"/>
      <c r="AI132" s="3"/>
      <c r="AK132" s="3"/>
      <c r="AL132" s="3"/>
      <c r="AM132" s="3"/>
      <c r="AN132" s="3"/>
      <c r="AO132" s="3"/>
      <c r="AP132" s="3"/>
      <c r="AQ132" s="3"/>
      <c r="AR132" s="3"/>
    </row>
    <row r="133" spans="1:44" ht="16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S133" s="3"/>
      <c r="T133" s="3"/>
      <c r="U133" s="3"/>
      <c r="V133" s="3"/>
      <c r="W133" s="3"/>
      <c r="X133" s="3"/>
      <c r="Y133" s="3"/>
      <c r="Z133" s="3"/>
      <c r="AB133" s="3"/>
      <c r="AC133" s="3"/>
      <c r="AD133" s="3"/>
      <c r="AE133" s="3"/>
      <c r="AF133" s="3"/>
      <c r="AG133" s="3"/>
      <c r="AH133" s="3"/>
      <c r="AI133" s="3"/>
      <c r="AK133" s="3"/>
      <c r="AL133" s="3"/>
      <c r="AM133" s="3"/>
      <c r="AN133" s="3"/>
      <c r="AO133" s="3"/>
      <c r="AP133" s="3"/>
      <c r="AQ133" s="3"/>
      <c r="AR133" s="3"/>
    </row>
    <row r="134" spans="1:44" ht="16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S134" s="3"/>
      <c r="T134" s="3"/>
      <c r="U134" s="3"/>
      <c r="V134" s="3"/>
      <c r="W134" s="3"/>
      <c r="X134" s="3"/>
      <c r="Y134" s="3"/>
      <c r="Z134" s="3"/>
      <c r="AB134" s="3"/>
      <c r="AC134" s="3"/>
      <c r="AD134" s="3"/>
      <c r="AE134" s="3"/>
      <c r="AF134" s="3"/>
      <c r="AG134" s="3"/>
      <c r="AH134" s="3"/>
      <c r="AI134" s="3"/>
      <c r="AK134" s="3"/>
      <c r="AL134" s="3"/>
      <c r="AM134" s="3"/>
      <c r="AN134" s="3"/>
      <c r="AO134" s="3"/>
      <c r="AP134" s="3"/>
      <c r="AQ134" s="3"/>
      <c r="AR134" s="3"/>
    </row>
    <row r="135" spans="1:44" ht="16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S135" s="3"/>
      <c r="T135" s="3"/>
      <c r="U135" s="3"/>
      <c r="V135" s="3"/>
      <c r="W135" s="3"/>
      <c r="X135" s="3"/>
      <c r="Y135" s="3"/>
      <c r="Z135" s="3"/>
      <c r="AB135" s="3"/>
      <c r="AC135" s="3"/>
      <c r="AD135" s="3"/>
      <c r="AE135" s="3"/>
      <c r="AF135" s="3"/>
      <c r="AG135" s="3"/>
      <c r="AH135" s="3"/>
      <c r="AI135" s="3"/>
      <c r="AK135" s="3"/>
      <c r="AL135" s="3"/>
      <c r="AM135" s="3"/>
      <c r="AN135" s="3"/>
      <c r="AO135" s="3"/>
      <c r="AP135" s="3"/>
      <c r="AQ135" s="3"/>
      <c r="AR135" s="3"/>
    </row>
    <row r="136" spans="1:44" ht="16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S136" s="3"/>
      <c r="T136" s="3"/>
      <c r="U136" s="3"/>
      <c r="V136" s="3"/>
      <c r="W136" s="3"/>
      <c r="X136" s="3"/>
      <c r="Y136" s="3"/>
      <c r="Z136" s="3"/>
      <c r="AB136" s="3"/>
      <c r="AC136" s="3"/>
      <c r="AD136" s="3"/>
      <c r="AE136" s="3"/>
      <c r="AF136" s="3"/>
      <c r="AG136" s="3"/>
      <c r="AH136" s="3"/>
      <c r="AI136" s="3"/>
      <c r="AK136" s="3"/>
      <c r="AL136" s="3"/>
      <c r="AM136" s="3"/>
      <c r="AN136" s="3"/>
      <c r="AO136" s="3"/>
      <c r="AP136" s="3"/>
      <c r="AQ136" s="3"/>
      <c r="AR136" s="3"/>
    </row>
    <row r="137" spans="1:44" ht="16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S137" s="3"/>
      <c r="T137" s="3"/>
      <c r="U137" s="3"/>
      <c r="V137" s="3"/>
      <c r="W137" s="3"/>
      <c r="X137" s="3"/>
      <c r="Y137" s="3"/>
      <c r="Z137" s="3"/>
      <c r="AB137" s="3"/>
      <c r="AC137" s="3"/>
      <c r="AD137" s="3"/>
      <c r="AE137" s="3"/>
      <c r="AF137" s="3"/>
      <c r="AG137" s="3"/>
      <c r="AH137" s="3"/>
      <c r="AI137" s="3"/>
      <c r="AK137" s="3"/>
      <c r="AL137" s="3"/>
      <c r="AM137" s="3"/>
      <c r="AN137" s="3"/>
      <c r="AO137" s="3"/>
      <c r="AP137" s="3"/>
      <c r="AQ137" s="3"/>
      <c r="AR137" s="3"/>
    </row>
    <row r="138" spans="1:44" ht="16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S138" s="3"/>
      <c r="T138" s="3"/>
      <c r="U138" s="3"/>
      <c r="V138" s="3"/>
      <c r="W138" s="3"/>
      <c r="X138" s="3"/>
      <c r="Y138" s="3"/>
      <c r="Z138" s="3"/>
      <c r="AB138" s="3"/>
      <c r="AC138" s="3"/>
      <c r="AD138" s="3"/>
      <c r="AE138" s="3"/>
      <c r="AF138" s="3"/>
      <c r="AG138" s="3"/>
      <c r="AH138" s="3"/>
      <c r="AI138" s="3"/>
      <c r="AK138" s="3"/>
      <c r="AL138" s="3"/>
      <c r="AM138" s="3"/>
      <c r="AN138" s="3"/>
      <c r="AO138" s="3"/>
      <c r="AP138" s="3"/>
      <c r="AQ138" s="3"/>
      <c r="AR138" s="3"/>
    </row>
    <row r="139" spans="1:44" ht="16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S139" s="3"/>
      <c r="T139" s="3"/>
      <c r="U139" s="3"/>
      <c r="V139" s="3"/>
      <c r="W139" s="3"/>
      <c r="X139" s="3"/>
      <c r="Y139" s="3"/>
      <c r="Z139" s="3"/>
      <c r="AB139" s="3"/>
      <c r="AC139" s="3"/>
      <c r="AD139" s="3"/>
      <c r="AE139" s="3"/>
      <c r="AF139" s="3"/>
      <c r="AG139" s="3"/>
      <c r="AH139" s="3"/>
      <c r="AI139" s="3"/>
      <c r="AK139" s="3"/>
      <c r="AL139" s="3"/>
      <c r="AM139" s="3"/>
      <c r="AN139" s="3"/>
      <c r="AO139" s="3"/>
      <c r="AP139" s="3"/>
      <c r="AQ139" s="3"/>
      <c r="AR139" s="3"/>
    </row>
    <row r="140" spans="1:44" ht="16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S140" s="3"/>
      <c r="T140" s="3"/>
      <c r="U140" s="3"/>
      <c r="V140" s="3"/>
      <c r="W140" s="3"/>
      <c r="X140" s="3"/>
      <c r="Y140" s="3"/>
      <c r="Z140" s="3"/>
      <c r="AB140" s="3"/>
      <c r="AC140" s="3"/>
      <c r="AD140" s="3"/>
      <c r="AE140" s="3"/>
      <c r="AF140" s="3"/>
      <c r="AG140" s="3"/>
      <c r="AH140" s="3"/>
      <c r="AI140" s="3"/>
      <c r="AK140" s="3"/>
      <c r="AL140" s="3"/>
      <c r="AM140" s="3"/>
      <c r="AN140" s="3"/>
      <c r="AO140" s="3"/>
      <c r="AP140" s="3"/>
      <c r="AQ140" s="3"/>
      <c r="AR140" s="3"/>
    </row>
    <row r="141" spans="1:44" ht="16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S141" s="3"/>
      <c r="T141" s="3"/>
      <c r="U141" s="3"/>
      <c r="V141" s="3"/>
      <c r="W141" s="3"/>
      <c r="X141" s="3"/>
      <c r="Y141" s="3"/>
      <c r="Z141" s="3"/>
      <c r="AB141" s="3"/>
      <c r="AC141" s="3"/>
      <c r="AD141" s="3"/>
      <c r="AE141" s="3"/>
      <c r="AF141" s="3"/>
      <c r="AG141" s="3"/>
      <c r="AH141" s="3"/>
      <c r="AI141" s="3"/>
      <c r="AK141" s="3"/>
      <c r="AL141" s="3"/>
      <c r="AM141" s="3"/>
      <c r="AN141" s="3"/>
      <c r="AO141" s="3"/>
      <c r="AP141" s="3"/>
      <c r="AQ141" s="3"/>
      <c r="AR141" s="3"/>
    </row>
    <row r="142" spans="1:44" ht="16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S142" s="3"/>
      <c r="T142" s="3"/>
      <c r="U142" s="3"/>
      <c r="V142" s="3"/>
      <c r="W142" s="3"/>
      <c r="X142" s="3"/>
      <c r="Y142" s="3"/>
      <c r="Z142" s="3"/>
      <c r="AB142" s="3"/>
      <c r="AC142" s="3"/>
      <c r="AD142" s="3"/>
      <c r="AE142" s="3"/>
      <c r="AF142" s="3"/>
      <c r="AG142" s="3"/>
      <c r="AH142" s="3"/>
      <c r="AI142" s="3"/>
      <c r="AK142" s="3"/>
      <c r="AL142" s="3"/>
      <c r="AM142" s="3"/>
      <c r="AN142" s="3"/>
      <c r="AO142" s="3"/>
      <c r="AP142" s="3"/>
      <c r="AQ142" s="3"/>
      <c r="AR142" s="3"/>
    </row>
    <row r="143" spans="1:44" ht="16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S143" s="3"/>
      <c r="T143" s="3"/>
      <c r="U143" s="3"/>
      <c r="V143" s="3"/>
      <c r="W143" s="3"/>
      <c r="X143" s="3"/>
      <c r="Y143" s="3"/>
      <c r="Z143" s="3"/>
      <c r="AB143" s="3"/>
      <c r="AC143" s="3"/>
      <c r="AD143" s="3"/>
      <c r="AE143" s="3"/>
      <c r="AF143" s="3"/>
      <c r="AG143" s="3"/>
      <c r="AH143" s="3"/>
      <c r="AI143" s="3"/>
      <c r="AK143" s="3"/>
      <c r="AL143" s="3"/>
      <c r="AM143" s="3"/>
      <c r="AN143" s="3"/>
      <c r="AO143" s="3"/>
      <c r="AP143" s="3"/>
      <c r="AQ143" s="3"/>
      <c r="AR143" s="3"/>
    </row>
    <row r="144" spans="1:44" ht="16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S144" s="3"/>
      <c r="T144" s="3"/>
      <c r="U144" s="3"/>
      <c r="V144" s="3"/>
      <c r="W144" s="3"/>
      <c r="X144" s="3"/>
      <c r="Y144" s="3"/>
      <c r="Z144" s="3"/>
      <c r="AB144" s="3"/>
      <c r="AC144" s="3"/>
      <c r="AD144" s="3"/>
      <c r="AE144" s="3"/>
      <c r="AF144" s="3"/>
      <c r="AG144" s="3"/>
      <c r="AH144" s="3"/>
      <c r="AI144" s="3"/>
      <c r="AK144" s="3"/>
      <c r="AL144" s="3"/>
      <c r="AM144" s="3"/>
      <c r="AN144" s="3"/>
      <c r="AO144" s="3"/>
      <c r="AP144" s="3"/>
      <c r="AQ144" s="3"/>
      <c r="AR144" s="3"/>
    </row>
    <row r="145" spans="1:44" ht="16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S145" s="3"/>
      <c r="T145" s="3"/>
      <c r="U145" s="3"/>
      <c r="V145" s="3"/>
      <c r="W145" s="3"/>
      <c r="X145" s="3"/>
      <c r="Y145" s="3"/>
      <c r="Z145" s="3"/>
      <c r="AB145" s="3"/>
      <c r="AC145" s="3"/>
      <c r="AD145" s="3"/>
      <c r="AE145" s="3"/>
      <c r="AF145" s="3"/>
      <c r="AG145" s="3"/>
      <c r="AH145" s="3"/>
      <c r="AI145" s="3"/>
      <c r="AK145" s="3"/>
      <c r="AL145" s="3"/>
      <c r="AM145" s="3"/>
      <c r="AN145" s="3"/>
      <c r="AO145" s="3"/>
      <c r="AP145" s="3"/>
      <c r="AQ145" s="3"/>
      <c r="AR145" s="3"/>
    </row>
    <row r="146" spans="1:44" ht="16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S146" s="3"/>
      <c r="T146" s="3"/>
      <c r="U146" s="3"/>
      <c r="V146" s="3"/>
      <c r="W146" s="3"/>
      <c r="X146" s="3"/>
      <c r="Y146" s="3"/>
      <c r="Z146" s="3"/>
      <c r="AB146" s="3"/>
      <c r="AC146" s="3"/>
      <c r="AD146" s="3"/>
      <c r="AE146" s="3"/>
      <c r="AF146" s="3"/>
      <c r="AG146" s="3"/>
      <c r="AH146" s="3"/>
      <c r="AI146" s="3"/>
      <c r="AK146" s="3"/>
      <c r="AL146" s="3"/>
      <c r="AM146" s="3"/>
      <c r="AN146" s="3"/>
      <c r="AO146" s="3"/>
      <c r="AP146" s="3"/>
      <c r="AQ146" s="3"/>
      <c r="AR146" s="3"/>
    </row>
    <row r="147" spans="1:44" ht="16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S147" s="3"/>
      <c r="T147" s="3"/>
      <c r="U147" s="3"/>
      <c r="V147" s="3"/>
      <c r="W147" s="3"/>
      <c r="X147" s="3"/>
      <c r="Y147" s="3"/>
      <c r="Z147" s="3"/>
      <c r="AB147" s="3"/>
      <c r="AC147" s="3"/>
      <c r="AD147" s="3"/>
      <c r="AE147" s="3"/>
      <c r="AF147" s="3"/>
      <c r="AG147" s="3"/>
      <c r="AH147" s="3"/>
      <c r="AI147" s="3"/>
      <c r="AK147" s="3"/>
      <c r="AL147" s="3"/>
      <c r="AM147" s="3"/>
      <c r="AN147" s="3"/>
      <c r="AO147" s="3"/>
      <c r="AP147" s="3"/>
      <c r="AQ147" s="3"/>
      <c r="AR147" s="3"/>
    </row>
    <row r="148" spans="1:44" ht="16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S148" s="3"/>
      <c r="T148" s="3"/>
      <c r="U148" s="3"/>
      <c r="V148" s="3"/>
      <c r="W148" s="3"/>
      <c r="X148" s="3"/>
      <c r="Y148" s="3"/>
      <c r="Z148" s="3"/>
      <c r="AB148" s="3"/>
      <c r="AC148" s="3"/>
      <c r="AD148" s="3"/>
      <c r="AE148" s="3"/>
      <c r="AF148" s="3"/>
      <c r="AG148" s="3"/>
      <c r="AH148" s="3"/>
      <c r="AI148" s="3"/>
      <c r="AK148" s="3"/>
      <c r="AL148" s="3"/>
      <c r="AM148" s="3"/>
      <c r="AN148" s="3"/>
      <c r="AO148" s="3"/>
      <c r="AP148" s="3"/>
      <c r="AQ148" s="3"/>
      <c r="AR148" s="3"/>
    </row>
    <row r="149" spans="1:44" ht="16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S149" s="3"/>
      <c r="T149" s="3"/>
      <c r="U149" s="3"/>
      <c r="V149" s="3"/>
      <c r="W149" s="3"/>
      <c r="X149" s="3"/>
      <c r="Y149" s="3"/>
      <c r="Z149" s="3"/>
      <c r="AB149" s="3"/>
      <c r="AC149" s="3"/>
      <c r="AD149" s="3"/>
      <c r="AE149" s="3"/>
      <c r="AF149" s="3"/>
      <c r="AG149" s="3"/>
      <c r="AH149" s="3"/>
      <c r="AI149" s="3"/>
      <c r="AK149" s="3"/>
      <c r="AL149" s="3"/>
      <c r="AM149" s="3"/>
      <c r="AN149" s="3"/>
      <c r="AO149" s="3"/>
      <c r="AP149" s="3"/>
      <c r="AQ149" s="3"/>
      <c r="AR149" s="3"/>
    </row>
    <row r="150" spans="1:44" ht="16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S150" s="3"/>
      <c r="T150" s="3"/>
      <c r="U150" s="3"/>
      <c r="V150" s="3"/>
      <c r="W150" s="3"/>
      <c r="X150" s="3"/>
      <c r="Y150" s="3"/>
      <c r="Z150" s="3"/>
      <c r="AB150" s="3"/>
      <c r="AC150" s="3"/>
      <c r="AD150" s="3"/>
      <c r="AE150" s="3"/>
      <c r="AF150" s="3"/>
      <c r="AG150" s="3"/>
      <c r="AH150" s="3"/>
      <c r="AI150" s="3"/>
      <c r="AK150" s="3"/>
      <c r="AL150" s="3"/>
      <c r="AM150" s="3"/>
      <c r="AN150" s="3"/>
      <c r="AO150" s="3"/>
      <c r="AP150" s="3"/>
      <c r="AQ150" s="3"/>
      <c r="AR150" s="3"/>
    </row>
    <row r="151" spans="1:44" ht="16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S151" s="3"/>
      <c r="T151" s="3"/>
      <c r="U151" s="3"/>
      <c r="V151" s="3"/>
      <c r="W151" s="3"/>
      <c r="X151" s="3"/>
      <c r="Y151" s="3"/>
      <c r="Z151" s="3"/>
      <c r="AB151" s="3"/>
      <c r="AC151" s="3"/>
      <c r="AD151" s="3"/>
      <c r="AE151" s="3"/>
      <c r="AF151" s="3"/>
      <c r="AG151" s="3"/>
      <c r="AH151" s="3"/>
      <c r="AI151" s="3"/>
      <c r="AK151" s="3"/>
      <c r="AL151" s="3"/>
      <c r="AM151" s="3"/>
      <c r="AN151" s="3"/>
      <c r="AO151" s="3"/>
      <c r="AP151" s="3"/>
      <c r="AQ151" s="3"/>
      <c r="AR151" s="3"/>
    </row>
    <row r="152" spans="1:44" ht="16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S152" s="3"/>
      <c r="T152" s="3"/>
      <c r="U152" s="3"/>
      <c r="V152" s="3"/>
      <c r="W152" s="3"/>
      <c r="X152" s="3"/>
      <c r="Y152" s="3"/>
      <c r="Z152" s="3"/>
      <c r="AB152" s="3"/>
      <c r="AC152" s="3"/>
      <c r="AD152" s="3"/>
      <c r="AE152" s="3"/>
      <c r="AF152" s="3"/>
      <c r="AG152" s="3"/>
      <c r="AH152" s="3"/>
      <c r="AI152" s="3"/>
      <c r="AK152" s="3"/>
      <c r="AL152" s="3"/>
      <c r="AM152" s="3"/>
      <c r="AN152" s="3"/>
      <c r="AO152" s="3"/>
      <c r="AP152" s="3"/>
      <c r="AQ152" s="3"/>
      <c r="AR152" s="3"/>
    </row>
    <row r="153" spans="1:44" ht="16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S153" s="3"/>
      <c r="T153" s="3"/>
      <c r="U153" s="3"/>
      <c r="V153" s="3"/>
      <c r="W153" s="3"/>
      <c r="X153" s="3"/>
      <c r="Y153" s="3"/>
      <c r="Z153" s="3"/>
      <c r="AB153" s="3"/>
      <c r="AC153" s="3"/>
      <c r="AD153" s="3"/>
      <c r="AE153" s="3"/>
      <c r="AF153" s="3"/>
      <c r="AG153" s="3"/>
      <c r="AH153" s="3"/>
      <c r="AI153" s="3"/>
      <c r="AK153" s="3"/>
      <c r="AL153" s="3"/>
      <c r="AM153" s="3"/>
      <c r="AN153" s="3"/>
      <c r="AO153" s="3"/>
      <c r="AP153" s="3"/>
      <c r="AQ153" s="3"/>
      <c r="AR153" s="3"/>
    </row>
    <row r="154" spans="1:44" ht="16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S154" s="3"/>
      <c r="T154" s="3"/>
      <c r="U154" s="3"/>
      <c r="V154" s="3"/>
      <c r="W154" s="3"/>
      <c r="X154" s="3"/>
      <c r="Y154" s="3"/>
      <c r="Z154" s="3"/>
      <c r="AB154" s="3"/>
      <c r="AC154" s="3"/>
      <c r="AD154" s="3"/>
      <c r="AE154" s="3"/>
      <c r="AF154" s="3"/>
      <c r="AG154" s="3"/>
      <c r="AH154" s="3"/>
      <c r="AI154" s="3"/>
      <c r="AK154" s="3"/>
      <c r="AL154" s="3"/>
      <c r="AM154" s="3"/>
      <c r="AN154" s="3"/>
      <c r="AO154" s="3"/>
      <c r="AP154" s="3"/>
      <c r="AQ154" s="3"/>
      <c r="AR154" s="3"/>
    </row>
    <row r="155" spans="1:44" ht="16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S155" s="3"/>
      <c r="T155" s="3"/>
      <c r="U155" s="3"/>
      <c r="V155" s="3"/>
      <c r="W155" s="3"/>
      <c r="X155" s="3"/>
      <c r="Y155" s="3"/>
      <c r="Z155" s="3"/>
      <c r="AB155" s="3"/>
      <c r="AC155" s="3"/>
      <c r="AD155" s="3"/>
      <c r="AE155" s="3"/>
      <c r="AF155" s="3"/>
      <c r="AG155" s="3"/>
      <c r="AH155" s="3"/>
      <c r="AI155" s="3"/>
      <c r="AK155" s="3"/>
      <c r="AL155" s="3"/>
      <c r="AM155" s="3"/>
      <c r="AN155" s="3"/>
      <c r="AO155" s="3"/>
      <c r="AP155" s="3"/>
      <c r="AQ155" s="3"/>
      <c r="AR155" s="3"/>
    </row>
    <row r="156" spans="1:44" ht="16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S156" s="3"/>
      <c r="T156" s="3"/>
      <c r="U156" s="3"/>
      <c r="V156" s="3"/>
      <c r="W156" s="3"/>
      <c r="X156" s="3"/>
      <c r="Y156" s="3"/>
      <c r="Z156" s="3"/>
      <c r="AB156" s="3"/>
      <c r="AC156" s="3"/>
      <c r="AD156" s="3"/>
      <c r="AE156" s="3"/>
      <c r="AF156" s="3"/>
      <c r="AG156" s="3"/>
      <c r="AH156" s="3"/>
      <c r="AI156" s="3"/>
      <c r="AK156" s="3"/>
      <c r="AL156" s="3"/>
      <c r="AM156" s="3"/>
      <c r="AN156" s="3"/>
      <c r="AO156" s="3"/>
      <c r="AP156" s="3"/>
      <c r="AQ156" s="3"/>
      <c r="AR156" s="3"/>
    </row>
    <row r="157" spans="1:44" ht="16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S157" s="3"/>
      <c r="T157" s="3"/>
      <c r="U157" s="3"/>
      <c r="V157" s="3"/>
      <c r="W157" s="3"/>
      <c r="X157" s="3"/>
      <c r="Y157" s="3"/>
      <c r="Z157" s="3"/>
      <c r="AB157" s="3"/>
      <c r="AC157" s="3"/>
      <c r="AD157" s="3"/>
      <c r="AE157" s="3"/>
      <c r="AF157" s="3"/>
      <c r="AG157" s="3"/>
      <c r="AH157" s="3"/>
      <c r="AI157" s="3"/>
      <c r="AK157" s="3"/>
      <c r="AL157" s="3"/>
      <c r="AM157" s="3"/>
      <c r="AN157" s="3"/>
      <c r="AO157" s="3"/>
      <c r="AP157" s="3"/>
      <c r="AQ157" s="3"/>
      <c r="AR157" s="3"/>
    </row>
    <row r="158" spans="1:44" ht="16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S158" s="3"/>
      <c r="T158" s="3"/>
      <c r="U158" s="3"/>
      <c r="V158" s="3"/>
      <c r="W158" s="3"/>
      <c r="X158" s="3"/>
      <c r="Y158" s="3"/>
      <c r="Z158" s="3"/>
      <c r="AB158" s="3"/>
      <c r="AC158" s="3"/>
      <c r="AD158" s="3"/>
      <c r="AE158" s="3"/>
      <c r="AF158" s="3"/>
      <c r="AG158" s="3"/>
      <c r="AH158" s="3"/>
      <c r="AI158" s="3"/>
      <c r="AK158" s="3"/>
      <c r="AL158" s="3"/>
      <c r="AM158" s="3"/>
      <c r="AN158" s="3"/>
      <c r="AO158" s="3"/>
      <c r="AP158" s="3"/>
      <c r="AQ158" s="3"/>
      <c r="AR158" s="3"/>
    </row>
    <row r="159" spans="1:44" ht="16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S159" s="3"/>
      <c r="T159" s="3"/>
      <c r="U159" s="3"/>
      <c r="V159" s="3"/>
      <c r="W159" s="3"/>
      <c r="X159" s="3"/>
      <c r="Y159" s="3"/>
      <c r="Z159" s="3"/>
      <c r="AB159" s="3"/>
      <c r="AC159" s="3"/>
      <c r="AD159" s="3"/>
      <c r="AE159" s="3"/>
      <c r="AF159" s="3"/>
      <c r="AG159" s="3"/>
      <c r="AH159" s="3"/>
      <c r="AI159" s="3"/>
      <c r="AK159" s="3"/>
      <c r="AL159" s="3"/>
      <c r="AM159" s="3"/>
      <c r="AN159" s="3"/>
      <c r="AO159" s="3"/>
      <c r="AP159" s="3"/>
      <c r="AQ159" s="3"/>
      <c r="AR159" s="3"/>
    </row>
    <row r="160" spans="1:44" ht="16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S160" s="3"/>
      <c r="T160" s="3"/>
      <c r="U160" s="3"/>
      <c r="V160" s="3"/>
      <c r="W160" s="3"/>
      <c r="X160" s="3"/>
      <c r="Y160" s="3"/>
      <c r="Z160" s="3"/>
      <c r="AB160" s="3"/>
      <c r="AC160" s="3"/>
      <c r="AD160" s="3"/>
      <c r="AE160" s="3"/>
      <c r="AF160" s="3"/>
      <c r="AG160" s="3"/>
      <c r="AH160" s="3"/>
      <c r="AI160" s="3"/>
      <c r="AK160" s="3"/>
      <c r="AL160" s="3"/>
      <c r="AM160" s="3"/>
      <c r="AN160" s="3"/>
      <c r="AO160" s="3"/>
      <c r="AP160" s="3"/>
      <c r="AQ160" s="3"/>
      <c r="AR160" s="3"/>
    </row>
    <row r="161" spans="1:44" ht="16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S161" s="3"/>
      <c r="T161" s="3"/>
      <c r="U161" s="3"/>
      <c r="V161" s="3"/>
      <c r="W161" s="3"/>
      <c r="X161" s="3"/>
      <c r="Y161" s="3"/>
      <c r="Z161" s="3"/>
      <c r="AB161" s="3"/>
      <c r="AC161" s="3"/>
      <c r="AD161" s="3"/>
      <c r="AE161" s="3"/>
      <c r="AF161" s="3"/>
      <c r="AG161" s="3"/>
      <c r="AH161" s="3"/>
      <c r="AI161" s="3"/>
      <c r="AK161" s="3"/>
      <c r="AL161" s="3"/>
      <c r="AM161" s="3"/>
      <c r="AN161" s="3"/>
      <c r="AO161" s="3"/>
      <c r="AP161" s="3"/>
      <c r="AQ161" s="3"/>
      <c r="AR161" s="3"/>
    </row>
    <row r="162" spans="1:44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S162" s="3"/>
      <c r="T162" s="3"/>
      <c r="U162" s="3"/>
      <c r="V162" s="3"/>
      <c r="W162" s="3"/>
      <c r="X162" s="3"/>
      <c r="Y162" s="3"/>
      <c r="Z162" s="3"/>
      <c r="AB162" s="3"/>
      <c r="AC162" s="3"/>
      <c r="AD162" s="3"/>
      <c r="AE162" s="3"/>
      <c r="AF162" s="3"/>
      <c r="AG162" s="3"/>
      <c r="AH162" s="3"/>
      <c r="AI162" s="3"/>
      <c r="AK162" s="3"/>
      <c r="AL162" s="3"/>
      <c r="AM162" s="3"/>
      <c r="AN162" s="3"/>
      <c r="AO162" s="3"/>
      <c r="AP162" s="3"/>
      <c r="AQ162" s="3"/>
      <c r="AR162" s="3"/>
    </row>
    <row r="163" spans="1:44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S163" s="3"/>
      <c r="T163" s="3"/>
      <c r="U163" s="3"/>
      <c r="V163" s="3"/>
      <c r="W163" s="3"/>
      <c r="X163" s="3"/>
      <c r="Y163" s="3"/>
      <c r="Z163" s="3"/>
      <c r="AB163" s="3"/>
      <c r="AC163" s="3"/>
      <c r="AD163" s="3"/>
      <c r="AE163" s="3"/>
      <c r="AF163" s="3"/>
      <c r="AG163" s="3"/>
      <c r="AH163" s="3"/>
      <c r="AI163" s="3"/>
      <c r="AK163" s="3"/>
      <c r="AL163" s="3"/>
      <c r="AM163" s="3"/>
      <c r="AN163" s="3"/>
      <c r="AO163" s="3"/>
      <c r="AP163" s="3"/>
      <c r="AQ163" s="3"/>
      <c r="AR163" s="3"/>
    </row>
    <row r="164" spans="1:44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S164" s="3"/>
      <c r="T164" s="3"/>
      <c r="U164" s="3"/>
      <c r="V164" s="3"/>
      <c r="W164" s="3"/>
      <c r="X164" s="3"/>
      <c r="Y164" s="3"/>
      <c r="Z164" s="3"/>
      <c r="AB164" s="3"/>
      <c r="AC164" s="3"/>
      <c r="AD164" s="3"/>
      <c r="AE164" s="3"/>
      <c r="AF164" s="3"/>
      <c r="AG164" s="3"/>
      <c r="AH164" s="3"/>
      <c r="AI164" s="3"/>
      <c r="AK164" s="3"/>
      <c r="AL164" s="3"/>
      <c r="AM164" s="3"/>
      <c r="AN164" s="3"/>
      <c r="AO164" s="3"/>
      <c r="AP164" s="3"/>
      <c r="AQ164" s="3"/>
      <c r="AR164" s="3"/>
    </row>
    <row r="165" spans="1:44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S165" s="3"/>
      <c r="T165" s="3"/>
      <c r="U165" s="3"/>
      <c r="V165" s="3"/>
      <c r="W165" s="3"/>
      <c r="X165" s="3"/>
      <c r="Y165" s="3"/>
      <c r="Z165" s="3"/>
      <c r="AB165" s="3"/>
      <c r="AC165" s="3"/>
      <c r="AD165" s="3"/>
      <c r="AE165" s="3"/>
      <c r="AF165" s="3"/>
      <c r="AG165" s="3"/>
      <c r="AH165" s="3"/>
      <c r="AI165" s="3"/>
      <c r="AK165" s="3"/>
      <c r="AL165" s="3"/>
      <c r="AM165" s="3"/>
      <c r="AN165" s="3"/>
      <c r="AO165" s="3"/>
      <c r="AP165" s="3"/>
      <c r="AQ165" s="3"/>
      <c r="AR165" s="3"/>
    </row>
    <row r="166" spans="1:44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S166" s="3"/>
      <c r="T166" s="3"/>
      <c r="U166" s="3"/>
      <c r="V166" s="3"/>
      <c r="W166" s="3"/>
      <c r="X166" s="3"/>
      <c r="Y166" s="3"/>
      <c r="Z166" s="3"/>
      <c r="AB166" s="3"/>
      <c r="AC166" s="3"/>
      <c r="AD166" s="3"/>
      <c r="AE166" s="3"/>
      <c r="AF166" s="3"/>
      <c r="AG166" s="3"/>
      <c r="AH166" s="3"/>
      <c r="AI166" s="3"/>
      <c r="AK166" s="3"/>
      <c r="AL166" s="3"/>
      <c r="AM166" s="3"/>
      <c r="AN166" s="3"/>
      <c r="AO166" s="3"/>
      <c r="AP166" s="3"/>
      <c r="AQ166" s="3"/>
      <c r="AR166" s="3"/>
    </row>
    <row r="167" spans="1:44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S167" s="3"/>
      <c r="T167" s="3"/>
      <c r="U167" s="3"/>
      <c r="V167" s="3"/>
      <c r="W167" s="3"/>
      <c r="X167" s="3"/>
      <c r="Y167" s="3"/>
      <c r="Z167" s="3"/>
      <c r="AB167" s="3"/>
      <c r="AC167" s="3"/>
      <c r="AD167" s="3"/>
      <c r="AE167" s="3"/>
      <c r="AF167" s="3"/>
      <c r="AG167" s="3"/>
      <c r="AH167" s="3"/>
      <c r="AI167" s="3"/>
      <c r="AK167" s="3"/>
      <c r="AL167" s="3"/>
      <c r="AM167" s="3"/>
      <c r="AN167" s="3"/>
      <c r="AO167" s="3"/>
      <c r="AP167" s="3"/>
      <c r="AQ167" s="3"/>
      <c r="AR167" s="3"/>
    </row>
    <row r="168" spans="1:44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S168" s="3"/>
      <c r="T168" s="3"/>
      <c r="U168" s="3"/>
      <c r="V168" s="3"/>
      <c r="W168" s="3"/>
      <c r="X168" s="3"/>
      <c r="Y168" s="3"/>
      <c r="Z168" s="3"/>
      <c r="AB168" s="3"/>
      <c r="AC168" s="3"/>
      <c r="AD168" s="3"/>
      <c r="AE168" s="3"/>
      <c r="AF168" s="3"/>
      <c r="AG168" s="3"/>
      <c r="AH168" s="3"/>
      <c r="AI168" s="3"/>
      <c r="AK168" s="3"/>
      <c r="AL168" s="3"/>
      <c r="AM168" s="3"/>
      <c r="AN168" s="3"/>
      <c r="AO168" s="3"/>
      <c r="AP168" s="3"/>
      <c r="AQ168" s="3"/>
      <c r="AR168" s="3"/>
    </row>
    <row r="169" spans="1:44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S169" s="3"/>
      <c r="T169" s="3"/>
      <c r="U169" s="3"/>
      <c r="V169" s="3"/>
      <c r="W169" s="3"/>
      <c r="X169" s="3"/>
      <c r="Y169" s="3"/>
      <c r="Z169" s="3"/>
      <c r="AB169" s="3"/>
      <c r="AC169" s="3"/>
      <c r="AD169" s="3"/>
      <c r="AE169" s="3"/>
      <c r="AF169" s="3"/>
      <c r="AG169" s="3"/>
      <c r="AH169" s="3"/>
      <c r="AI169" s="3"/>
      <c r="AK169" s="3"/>
      <c r="AL169" s="3"/>
      <c r="AM169" s="3"/>
      <c r="AN169" s="3"/>
      <c r="AO169" s="3"/>
      <c r="AP169" s="3"/>
      <c r="AQ169" s="3"/>
      <c r="AR169" s="3"/>
    </row>
    <row r="170" spans="1:44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S170" s="3"/>
      <c r="T170" s="3"/>
      <c r="U170" s="3"/>
      <c r="V170" s="3"/>
      <c r="W170" s="3"/>
      <c r="X170" s="3"/>
      <c r="Y170" s="3"/>
      <c r="Z170" s="3"/>
      <c r="AB170" s="3"/>
      <c r="AC170" s="3"/>
      <c r="AD170" s="3"/>
      <c r="AE170" s="3"/>
      <c r="AF170" s="3"/>
      <c r="AG170" s="3"/>
      <c r="AH170" s="3"/>
      <c r="AI170" s="3"/>
      <c r="AK170" s="3"/>
      <c r="AL170" s="3"/>
      <c r="AM170" s="3"/>
      <c r="AN170" s="3"/>
      <c r="AO170" s="3"/>
      <c r="AP170" s="3"/>
      <c r="AQ170" s="3"/>
      <c r="AR170" s="3"/>
    </row>
    <row r="171" spans="1:44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S171" s="3"/>
      <c r="T171" s="3"/>
      <c r="U171" s="3"/>
      <c r="V171" s="3"/>
      <c r="W171" s="3"/>
      <c r="X171" s="3"/>
      <c r="Y171" s="3"/>
      <c r="Z171" s="3"/>
      <c r="AB171" s="3"/>
      <c r="AC171" s="3"/>
      <c r="AD171" s="3"/>
      <c r="AE171" s="3"/>
      <c r="AF171" s="3"/>
      <c r="AG171" s="3"/>
      <c r="AH171" s="3"/>
      <c r="AI171" s="3"/>
      <c r="AK171" s="3"/>
      <c r="AL171" s="3"/>
      <c r="AM171" s="3"/>
      <c r="AN171" s="3"/>
      <c r="AO171" s="3"/>
      <c r="AP171" s="3"/>
      <c r="AQ171" s="3"/>
      <c r="AR171" s="3"/>
    </row>
    <row r="172" spans="1:44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S172" s="3"/>
      <c r="T172" s="3"/>
      <c r="U172" s="3"/>
      <c r="V172" s="3"/>
      <c r="W172" s="3"/>
      <c r="X172" s="3"/>
      <c r="Y172" s="3"/>
      <c r="Z172" s="3"/>
      <c r="AB172" s="3"/>
      <c r="AC172" s="3"/>
      <c r="AD172" s="3"/>
      <c r="AE172" s="3"/>
      <c r="AF172" s="3"/>
      <c r="AG172" s="3"/>
      <c r="AH172" s="3"/>
      <c r="AI172" s="3"/>
      <c r="AK172" s="3"/>
      <c r="AL172" s="3"/>
      <c r="AM172" s="3"/>
      <c r="AN172" s="3"/>
      <c r="AO172" s="3"/>
      <c r="AP172" s="3"/>
      <c r="AQ172" s="3"/>
      <c r="AR172" s="3"/>
    </row>
    <row r="173" spans="1:44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S173" s="3"/>
      <c r="T173" s="3"/>
      <c r="U173" s="3"/>
      <c r="V173" s="3"/>
      <c r="W173" s="3"/>
      <c r="X173" s="3"/>
      <c r="Y173" s="3"/>
      <c r="Z173" s="3"/>
      <c r="AB173" s="3"/>
      <c r="AC173" s="3"/>
      <c r="AD173" s="3"/>
      <c r="AE173" s="3"/>
      <c r="AF173" s="3"/>
      <c r="AG173" s="3"/>
      <c r="AH173" s="3"/>
      <c r="AI173" s="3"/>
      <c r="AK173" s="3"/>
      <c r="AL173" s="3"/>
      <c r="AM173" s="3"/>
      <c r="AN173" s="3"/>
      <c r="AO173" s="3"/>
      <c r="AP173" s="3"/>
      <c r="AQ173" s="3"/>
      <c r="AR173" s="3"/>
    </row>
    <row r="174" spans="1:44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S174" s="3"/>
      <c r="T174" s="3"/>
      <c r="U174" s="3"/>
      <c r="V174" s="3"/>
      <c r="W174" s="3"/>
      <c r="X174" s="3"/>
      <c r="Y174" s="3"/>
      <c r="Z174" s="3"/>
      <c r="AB174" s="3"/>
      <c r="AC174" s="3"/>
      <c r="AD174" s="3"/>
      <c r="AE174" s="3"/>
      <c r="AF174" s="3"/>
      <c r="AG174" s="3"/>
      <c r="AH174" s="3"/>
      <c r="AI174" s="3"/>
      <c r="AK174" s="3"/>
      <c r="AL174" s="3"/>
      <c r="AM174" s="3"/>
      <c r="AN174" s="3"/>
      <c r="AO174" s="3"/>
      <c r="AP174" s="3"/>
      <c r="AQ174" s="3"/>
      <c r="AR174" s="3"/>
    </row>
    <row r="175" spans="1:44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S175" s="3"/>
      <c r="T175" s="3"/>
      <c r="U175" s="3"/>
      <c r="V175" s="3"/>
      <c r="W175" s="3"/>
      <c r="X175" s="3"/>
      <c r="Y175" s="3"/>
      <c r="Z175" s="3"/>
      <c r="AB175" s="3"/>
      <c r="AC175" s="3"/>
      <c r="AD175" s="3"/>
      <c r="AE175" s="3"/>
      <c r="AF175" s="3"/>
      <c r="AG175" s="3"/>
      <c r="AH175" s="3"/>
      <c r="AI175" s="3"/>
      <c r="AK175" s="3"/>
      <c r="AL175" s="3"/>
      <c r="AM175" s="3"/>
      <c r="AN175" s="3"/>
      <c r="AO175" s="3"/>
      <c r="AP175" s="3"/>
      <c r="AQ175" s="3"/>
      <c r="AR175" s="3"/>
    </row>
    <row r="176" spans="1:44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S176" s="3"/>
      <c r="T176" s="3"/>
      <c r="U176" s="3"/>
      <c r="V176" s="3"/>
      <c r="W176" s="3"/>
      <c r="X176" s="3"/>
      <c r="Y176" s="3"/>
      <c r="Z176" s="3"/>
      <c r="AB176" s="3"/>
      <c r="AC176" s="3"/>
      <c r="AD176" s="3"/>
      <c r="AE176" s="3"/>
      <c r="AF176" s="3"/>
      <c r="AG176" s="3"/>
      <c r="AH176" s="3"/>
      <c r="AI176" s="3"/>
      <c r="AK176" s="3"/>
      <c r="AL176" s="3"/>
      <c r="AM176" s="3"/>
      <c r="AN176" s="3"/>
      <c r="AO176" s="3"/>
      <c r="AP176" s="3"/>
      <c r="AQ176" s="3"/>
      <c r="AR176" s="3"/>
    </row>
    <row r="177" spans="1:44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S177" s="3"/>
      <c r="T177" s="3"/>
      <c r="U177" s="3"/>
      <c r="V177" s="3"/>
      <c r="W177" s="3"/>
      <c r="X177" s="3"/>
      <c r="Y177" s="3"/>
      <c r="Z177" s="3"/>
      <c r="AB177" s="3"/>
      <c r="AC177" s="3"/>
      <c r="AD177" s="3"/>
      <c r="AE177" s="3"/>
      <c r="AF177" s="3"/>
      <c r="AG177" s="3"/>
      <c r="AH177" s="3"/>
      <c r="AI177" s="3"/>
      <c r="AK177" s="3"/>
      <c r="AL177" s="3"/>
      <c r="AM177" s="3"/>
      <c r="AN177" s="3"/>
      <c r="AO177" s="3"/>
      <c r="AP177" s="3"/>
      <c r="AQ177" s="3"/>
      <c r="AR177" s="3"/>
    </row>
    <row r="178" spans="1:44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S178" s="3"/>
      <c r="T178" s="3"/>
      <c r="U178" s="3"/>
      <c r="V178" s="3"/>
      <c r="W178" s="3"/>
      <c r="X178" s="3"/>
      <c r="Y178" s="3"/>
      <c r="Z178" s="3"/>
      <c r="AB178" s="3"/>
      <c r="AC178" s="3"/>
      <c r="AD178" s="3"/>
      <c r="AE178" s="3"/>
      <c r="AF178" s="3"/>
      <c r="AG178" s="3"/>
      <c r="AH178" s="3"/>
      <c r="AI178" s="3"/>
      <c r="AK178" s="3"/>
      <c r="AL178" s="3"/>
      <c r="AM178" s="3"/>
      <c r="AN178" s="3"/>
      <c r="AO178" s="3"/>
      <c r="AP178" s="3"/>
      <c r="AQ178" s="3"/>
      <c r="AR178" s="3"/>
    </row>
    <row r="179" spans="1:44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S179" s="3"/>
      <c r="T179" s="3"/>
      <c r="U179" s="3"/>
      <c r="V179" s="3"/>
      <c r="W179" s="3"/>
      <c r="X179" s="3"/>
      <c r="Y179" s="3"/>
      <c r="Z179" s="3"/>
      <c r="AB179" s="3"/>
      <c r="AC179" s="3"/>
      <c r="AD179" s="3"/>
      <c r="AE179" s="3"/>
      <c r="AF179" s="3"/>
      <c r="AG179" s="3"/>
      <c r="AH179" s="3"/>
      <c r="AI179" s="3"/>
      <c r="AK179" s="3"/>
      <c r="AL179" s="3"/>
      <c r="AM179" s="3"/>
      <c r="AN179" s="3"/>
      <c r="AO179" s="3"/>
      <c r="AP179" s="3"/>
      <c r="AQ179" s="3"/>
      <c r="AR179" s="3"/>
    </row>
    <row r="180" spans="1:44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S180" s="3"/>
      <c r="T180" s="3"/>
      <c r="U180" s="3"/>
      <c r="V180" s="3"/>
      <c r="W180" s="3"/>
      <c r="X180" s="3"/>
      <c r="Y180" s="3"/>
      <c r="Z180" s="3"/>
      <c r="AB180" s="3"/>
      <c r="AC180" s="3"/>
      <c r="AD180" s="3"/>
      <c r="AE180" s="3"/>
      <c r="AF180" s="3"/>
      <c r="AG180" s="3"/>
      <c r="AH180" s="3"/>
      <c r="AI180" s="3"/>
      <c r="AK180" s="3"/>
      <c r="AL180" s="3"/>
      <c r="AM180" s="3"/>
      <c r="AN180" s="3"/>
      <c r="AO180" s="3"/>
      <c r="AP180" s="3"/>
      <c r="AQ180" s="3"/>
      <c r="AR180" s="3"/>
    </row>
    <row r="181" spans="1:44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S181" s="3"/>
      <c r="T181" s="3"/>
      <c r="U181" s="3"/>
      <c r="V181" s="3"/>
      <c r="W181" s="3"/>
      <c r="X181" s="3"/>
      <c r="Y181" s="3"/>
      <c r="Z181" s="3"/>
      <c r="AB181" s="3"/>
      <c r="AC181" s="3"/>
      <c r="AD181" s="3"/>
      <c r="AE181" s="3"/>
      <c r="AF181" s="3"/>
      <c r="AG181" s="3"/>
      <c r="AH181" s="3"/>
      <c r="AI181" s="3"/>
      <c r="AK181" s="3"/>
      <c r="AL181" s="3"/>
      <c r="AM181" s="3"/>
      <c r="AN181" s="3"/>
      <c r="AO181" s="3"/>
      <c r="AP181" s="3"/>
      <c r="AQ181" s="3"/>
      <c r="AR181" s="3"/>
    </row>
    <row r="182" spans="1:44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S182" s="3"/>
      <c r="T182" s="3"/>
      <c r="U182" s="3"/>
      <c r="V182" s="3"/>
      <c r="W182" s="3"/>
      <c r="X182" s="3"/>
      <c r="Y182" s="3"/>
      <c r="Z182" s="3"/>
      <c r="AB182" s="3"/>
      <c r="AC182" s="3"/>
      <c r="AD182" s="3"/>
      <c r="AE182" s="3"/>
      <c r="AF182" s="3"/>
      <c r="AG182" s="3"/>
      <c r="AH182" s="3"/>
      <c r="AI182" s="3"/>
      <c r="AK182" s="3"/>
      <c r="AL182" s="3"/>
      <c r="AM182" s="3"/>
      <c r="AN182" s="3"/>
      <c r="AO182" s="3"/>
      <c r="AP182" s="3"/>
      <c r="AQ182" s="3"/>
      <c r="AR182" s="3"/>
    </row>
    <row r="183" spans="1:44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S183" s="3"/>
      <c r="T183" s="3"/>
      <c r="U183" s="3"/>
      <c r="V183" s="3"/>
      <c r="W183" s="3"/>
      <c r="X183" s="3"/>
      <c r="Y183" s="3"/>
      <c r="Z183" s="3"/>
      <c r="AB183" s="3"/>
      <c r="AC183" s="3"/>
      <c r="AD183" s="3"/>
      <c r="AE183" s="3"/>
      <c r="AF183" s="3"/>
      <c r="AG183" s="3"/>
      <c r="AH183" s="3"/>
      <c r="AI183" s="3"/>
      <c r="AK183" s="3"/>
      <c r="AL183" s="3"/>
      <c r="AM183" s="3"/>
      <c r="AN183" s="3"/>
      <c r="AO183" s="3"/>
      <c r="AP183" s="3"/>
      <c r="AQ183" s="3"/>
      <c r="AR183" s="3"/>
    </row>
    <row r="184" spans="1:44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S184" s="3"/>
      <c r="T184" s="3"/>
      <c r="U184" s="3"/>
      <c r="V184" s="3"/>
      <c r="W184" s="3"/>
      <c r="X184" s="3"/>
      <c r="Y184" s="3"/>
      <c r="Z184" s="3"/>
      <c r="AB184" s="3"/>
      <c r="AC184" s="3"/>
      <c r="AD184" s="3"/>
      <c r="AE184" s="3"/>
      <c r="AF184" s="3"/>
      <c r="AG184" s="3"/>
      <c r="AH184" s="3"/>
      <c r="AI184" s="3"/>
      <c r="AK184" s="3"/>
      <c r="AL184" s="3"/>
      <c r="AM184" s="3"/>
      <c r="AN184" s="3"/>
      <c r="AO184" s="3"/>
      <c r="AP184" s="3"/>
      <c r="AQ184" s="3"/>
      <c r="AR184" s="3"/>
    </row>
    <row r="185" spans="1:44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S185" s="3"/>
      <c r="T185" s="3"/>
      <c r="U185" s="3"/>
      <c r="V185" s="3"/>
      <c r="W185" s="3"/>
      <c r="X185" s="3"/>
      <c r="Y185" s="3"/>
      <c r="Z185" s="3"/>
      <c r="AB185" s="3"/>
      <c r="AC185" s="3"/>
      <c r="AD185" s="3"/>
      <c r="AE185" s="3"/>
      <c r="AF185" s="3"/>
      <c r="AG185" s="3"/>
      <c r="AH185" s="3"/>
      <c r="AI185" s="3"/>
      <c r="AK185" s="3"/>
      <c r="AL185" s="3"/>
      <c r="AM185" s="3"/>
      <c r="AN185" s="3"/>
      <c r="AO185" s="3"/>
      <c r="AP185" s="3"/>
      <c r="AQ185" s="3"/>
      <c r="AR185" s="3"/>
    </row>
    <row r="186" spans="1:44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S186" s="3"/>
      <c r="T186" s="3"/>
      <c r="U186" s="3"/>
      <c r="V186" s="3"/>
      <c r="W186" s="3"/>
      <c r="X186" s="3"/>
      <c r="Y186" s="3"/>
      <c r="Z186" s="3"/>
      <c r="AB186" s="3"/>
      <c r="AC186" s="3"/>
      <c r="AD186" s="3"/>
      <c r="AE186" s="3"/>
      <c r="AF186" s="3"/>
      <c r="AG186" s="3"/>
      <c r="AH186" s="3"/>
      <c r="AI186" s="3"/>
      <c r="AK186" s="3"/>
      <c r="AL186" s="3"/>
      <c r="AM186" s="3"/>
      <c r="AN186" s="3"/>
      <c r="AO186" s="3"/>
      <c r="AP186" s="3"/>
      <c r="AQ186" s="3"/>
      <c r="AR186" s="3"/>
    </row>
    <row r="187" spans="1:44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S187" s="3"/>
      <c r="T187" s="3"/>
      <c r="U187" s="3"/>
      <c r="V187" s="3"/>
      <c r="W187" s="3"/>
      <c r="X187" s="3"/>
      <c r="Y187" s="3"/>
      <c r="Z187" s="3"/>
      <c r="AB187" s="3"/>
      <c r="AC187" s="3"/>
      <c r="AD187" s="3"/>
      <c r="AE187" s="3"/>
      <c r="AF187" s="3"/>
      <c r="AG187" s="3"/>
      <c r="AH187" s="3"/>
      <c r="AI187" s="3"/>
      <c r="AK187" s="3"/>
      <c r="AL187" s="3"/>
      <c r="AM187" s="3"/>
      <c r="AN187" s="3"/>
      <c r="AO187" s="3"/>
      <c r="AP187" s="3"/>
      <c r="AQ187" s="3"/>
      <c r="AR187" s="3"/>
    </row>
    <row r="188" spans="1:44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S188" s="3"/>
      <c r="T188" s="3"/>
      <c r="U188" s="3"/>
      <c r="V188" s="3"/>
      <c r="W188" s="3"/>
      <c r="X188" s="3"/>
      <c r="Y188" s="3"/>
      <c r="Z188" s="3"/>
      <c r="AB188" s="3"/>
      <c r="AC188" s="3"/>
      <c r="AD188" s="3"/>
      <c r="AE188" s="3"/>
      <c r="AF188" s="3"/>
      <c r="AG188" s="3"/>
      <c r="AH188" s="3"/>
      <c r="AI188" s="3"/>
      <c r="AK188" s="3"/>
      <c r="AL188" s="3"/>
      <c r="AM188" s="3"/>
      <c r="AN188" s="3"/>
      <c r="AO188" s="3"/>
      <c r="AP188" s="3"/>
      <c r="AQ188" s="3"/>
      <c r="AR188" s="3"/>
    </row>
    <row r="189" spans="1:44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S189" s="3"/>
      <c r="T189" s="3"/>
      <c r="U189" s="3"/>
      <c r="V189" s="3"/>
      <c r="W189" s="3"/>
      <c r="X189" s="3"/>
      <c r="Y189" s="3"/>
      <c r="Z189" s="3"/>
      <c r="AB189" s="3"/>
      <c r="AC189" s="3"/>
      <c r="AD189" s="3"/>
      <c r="AE189" s="3"/>
      <c r="AF189" s="3"/>
      <c r="AG189" s="3"/>
      <c r="AH189" s="3"/>
      <c r="AI189" s="3"/>
      <c r="AK189" s="3"/>
      <c r="AL189" s="3"/>
      <c r="AM189" s="3"/>
      <c r="AN189" s="3"/>
      <c r="AO189" s="3"/>
      <c r="AP189" s="3"/>
      <c r="AQ189" s="3"/>
      <c r="AR189" s="3"/>
    </row>
    <row r="190" spans="1:44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S190" s="3"/>
      <c r="T190" s="3"/>
      <c r="U190" s="3"/>
      <c r="V190" s="3"/>
      <c r="W190" s="3"/>
      <c r="X190" s="3"/>
      <c r="Y190" s="3"/>
      <c r="Z190" s="3"/>
      <c r="AB190" s="3"/>
      <c r="AC190" s="3"/>
      <c r="AD190" s="3"/>
      <c r="AE190" s="3"/>
      <c r="AF190" s="3"/>
      <c r="AG190" s="3"/>
      <c r="AH190" s="3"/>
      <c r="AI190" s="3"/>
      <c r="AK190" s="3"/>
      <c r="AL190" s="3"/>
      <c r="AM190" s="3"/>
      <c r="AN190" s="3"/>
      <c r="AO190" s="3"/>
      <c r="AP190" s="3"/>
      <c r="AQ190" s="3"/>
      <c r="AR190" s="3"/>
    </row>
    <row r="191" spans="1:44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S191" s="3"/>
      <c r="T191" s="3"/>
      <c r="U191" s="3"/>
      <c r="V191" s="3"/>
      <c r="W191" s="3"/>
      <c r="X191" s="3"/>
      <c r="Y191" s="3"/>
      <c r="Z191" s="3"/>
      <c r="AB191" s="3"/>
      <c r="AC191" s="3"/>
      <c r="AD191" s="3"/>
      <c r="AE191" s="3"/>
      <c r="AF191" s="3"/>
      <c r="AG191" s="3"/>
      <c r="AH191" s="3"/>
      <c r="AI191" s="3"/>
      <c r="AK191" s="3"/>
      <c r="AL191" s="3"/>
      <c r="AM191" s="3"/>
      <c r="AN191" s="3"/>
      <c r="AO191" s="3"/>
      <c r="AP191" s="3"/>
      <c r="AQ191" s="3"/>
      <c r="AR191" s="3"/>
    </row>
    <row r="192" spans="1:44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S192" s="3"/>
      <c r="T192" s="3"/>
      <c r="U192" s="3"/>
      <c r="V192" s="3"/>
      <c r="W192" s="3"/>
      <c r="X192" s="3"/>
      <c r="Y192" s="3"/>
      <c r="Z192" s="3"/>
      <c r="AB192" s="3"/>
      <c r="AC192" s="3"/>
      <c r="AD192" s="3"/>
      <c r="AE192" s="3"/>
      <c r="AF192" s="3"/>
      <c r="AG192" s="3"/>
      <c r="AH192" s="3"/>
      <c r="AI192" s="3"/>
      <c r="AK192" s="3"/>
      <c r="AL192" s="3"/>
      <c r="AM192" s="3"/>
      <c r="AN192" s="3"/>
      <c r="AO192" s="3"/>
      <c r="AP192" s="3"/>
      <c r="AQ192" s="3"/>
      <c r="AR192" s="3"/>
    </row>
    <row r="193" spans="1:44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S193" s="3"/>
      <c r="T193" s="3"/>
      <c r="U193" s="3"/>
      <c r="V193" s="3"/>
      <c r="W193" s="3"/>
      <c r="X193" s="3"/>
      <c r="Y193" s="3"/>
      <c r="Z193" s="3"/>
      <c r="AB193" s="3"/>
      <c r="AC193" s="3"/>
      <c r="AD193" s="3"/>
      <c r="AE193" s="3"/>
      <c r="AF193" s="3"/>
      <c r="AG193" s="3"/>
      <c r="AH193" s="3"/>
      <c r="AI193" s="3"/>
      <c r="AK193" s="3"/>
      <c r="AL193" s="3"/>
      <c r="AM193" s="3"/>
      <c r="AN193" s="3"/>
      <c r="AO193" s="3"/>
      <c r="AP193" s="3"/>
      <c r="AQ193" s="3"/>
      <c r="AR193" s="3"/>
    </row>
    <row r="194" spans="1:44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S194" s="3"/>
      <c r="T194" s="3"/>
      <c r="U194" s="3"/>
      <c r="V194" s="3"/>
      <c r="W194" s="3"/>
      <c r="X194" s="3"/>
      <c r="Y194" s="3"/>
      <c r="Z194" s="3"/>
      <c r="AB194" s="3"/>
      <c r="AC194" s="3"/>
      <c r="AD194" s="3"/>
      <c r="AE194" s="3"/>
      <c r="AF194" s="3"/>
      <c r="AG194" s="3"/>
      <c r="AH194" s="3"/>
      <c r="AI194" s="3"/>
      <c r="AK194" s="3"/>
      <c r="AL194" s="3"/>
      <c r="AM194" s="3"/>
      <c r="AN194" s="3"/>
      <c r="AO194" s="3"/>
      <c r="AP194" s="3"/>
      <c r="AQ194" s="3"/>
      <c r="AR194" s="3"/>
    </row>
    <row r="195" spans="1:44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S195" s="3"/>
      <c r="T195" s="3"/>
      <c r="U195" s="3"/>
      <c r="V195" s="3"/>
      <c r="W195" s="3"/>
      <c r="X195" s="3"/>
      <c r="Y195" s="3"/>
      <c r="Z195" s="3"/>
      <c r="AB195" s="3"/>
      <c r="AC195" s="3"/>
      <c r="AD195" s="3"/>
      <c r="AE195" s="3"/>
      <c r="AF195" s="3"/>
      <c r="AG195" s="3"/>
      <c r="AH195" s="3"/>
      <c r="AI195" s="3"/>
      <c r="AK195" s="3"/>
      <c r="AL195" s="3"/>
      <c r="AM195" s="3"/>
      <c r="AN195" s="3"/>
      <c r="AO195" s="3"/>
      <c r="AP195" s="3"/>
      <c r="AQ195" s="3"/>
      <c r="AR195" s="3"/>
    </row>
    <row r="196" spans="1:44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S196" s="3"/>
      <c r="T196" s="3"/>
      <c r="U196" s="3"/>
      <c r="V196" s="3"/>
      <c r="W196" s="3"/>
      <c r="X196" s="3"/>
      <c r="Y196" s="3"/>
      <c r="Z196" s="3"/>
      <c r="AB196" s="3"/>
      <c r="AC196" s="3"/>
      <c r="AD196" s="3"/>
      <c r="AE196" s="3"/>
      <c r="AF196" s="3"/>
      <c r="AG196" s="3"/>
      <c r="AH196" s="3"/>
      <c r="AI196" s="3"/>
      <c r="AK196" s="3"/>
      <c r="AL196" s="3"/>
      <c r="AM196" s="3"/>
      <c r="AN196" s="3"/>
      <c r="AO196" s="3"/>
      <c r="AP196" s="3"/>
      <c r="AQ196" s="3"/>
      <c r="AR196" s="3"/>
    </row>
    <row r="197" spans="1:44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S197" s="3"/>
      <c r="T197" s="3"/>
      <c r="U197" s="3"/>
      <c r="V197" s="3"/>
      <c r="W197" s="3"/>
      <c r="X197" s="3"/>
      <c r="Y197" s="3"/>
      <c r="Z197" s="3"/>
      <c r="AB197" s="3"/>
      <c r="AC197" s="3"/>
      <c r="AD197" s="3"/>
      <c r="AE197" s="3"/>
      <c r="AF197" s="3"/>
      <c r="AG197" s="3"/>
      <c r="AH197" s="3"/>
      <c r="AI197" s="3"/>
      <c r="AK197" s="3"/>
      <c r="AL197" s="3"/>
      <c r="AM197" s="3"/>
      <c r="AN197" s="3"/>
      <c r="AO197" s="3"/>
      <c r="AP197" s="3"/>
      <c r="AQ197" s="3"/>
      <c r="AR197" s="3"/>
    </row>
    <row r="198" spans="1:44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S198" s="3"/>
      <c r="T198" s="3"/>
      <c r="U198" s="3"/>
      <c r="V198" s="3"/>
      <c r="W198" s="3"/>
      <c r="X198" s="3"/>
      <c r="Y198" s="3"/>
      <c r="Z198" s="3"/>
      <c r="AB198" s="3"/>
      <c r="AC198" s="3"/>
      <c r="AD198" s="3"/>
      <c r="AE198" s="3"/>
      <c r="AF198" s="3"/>
      <c r="AG198" s="3"/>
      <c r="AH198" s="3"/>
      <c r="AI198" s="3"/>
      <c r="AK198" s="3"/>
      <c r="AL198" s="3"/>
      <c r="AM198" s="3"/>
      <c r="AN198" s="3"/>
      <c r="AO198" s="3"/>
      <c r="AP198" s="3"/>
      <c r="AQ198" s="3"/>
      <c r="AR198" s="3"/>
    </row>
    <row r="199" spans="1:44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S199" s="3"/>
      <c r="T199" s="3"/>
      <c r="U199" s="3"/>
      <c r="V199" s="3"/>
      <c r="W199" s="3"/>
      <c r="X199" s="3"/>
      <c r="Y199" s="3"/>
      <c r="Z199" s="3"/>
      <c r="AB199" s="3"/>
      <c r="AC199" s="3"/>
      <c r="AD199" s="3"/>
      <c r="AE199" s="3"/>
      <c r="AF199" s="3"/>
      <c r="AG199" s="3"/>
      <c r="AH199" s="3"/>
      <c r="AI199" s="3"/>
      <c r="AK199" s="3"/>
      <c r="AL199" s="3"/>
      <c r="AM199" s="3"/>
      <c r="AN199" s="3"/>
      <c r="AO199" s="3"/>
      <c r="AP199" s="3"/>
      <c r="AQ199" s="3"/>
      <c r="AR199" s="3"/>
    </row>
    <row r="200" spans="1:44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S200" s="3"/>
      <c r="T200" s="3"/>
      <c r="U200" s="3"/>
      <c r="V200" s="3"/>
      <c r="W200" s="3"/>
      <c r="X200" s="3"/>
      <c r="Y200" s="3"/>
      <c r="Z200" s="3"/>
      <c r="AB200" s="3"/>
      <c r="AC200" s="3"/>
      <c r="AD200" s="3"/>
      <c r="AE200" s="3"/>
      <c r="AF200" s="3"/>
      <c r="AG200" s="3"/>
      <c r="AH200" s="3"/>
      <c r="AI200" s="3"/>
      <c r="AK200" s="3"/>
      <c r="AL200" s="3"/>
      <c r="AM200" s="3"/>
      <c r="AN200" s="3"/>
      <c r="AO200" s="3"/>
      <c r="AP200" s="3"/>
      <c r="AQ200" s="3"/>
      <c r="AR200" s="3"/>
    </row>
    <row r="201" spans="1:44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S201" s="3"/>
      <c r="T201" s="3"/>
      <c r="U201" s="3"/>
      <c r="V201" s="3"/>
      <c r="W201" s="3"/>
      <c r="X201" s="3"/>
      <c r="Y201" s="3"/>
      <c r="Z201" s="3"/>
      <c r="AB201" s="3"/>
      <c r="AC201" s="3"/>
      <c r="AD201" s="3"/>
      <c r="AE201" s="3"/>
      <c r="AF201" s="3"/>
      <c r="AG201" s="3"/>
      <c r="AH201" s="3"/>
      <c r="AI201" s="3"/>
      <c r="AK201" s="3"/>
      <c r="AL201" s="3"/>
      <c r="AM201" s="3"/>
      <c r="AN201" s="3"/>
      <c r="AO201" s="3"/>
      <c r="AP201" s="3"/>
      <c r="AQ201" s="3"/>
      <c r="AR201" s="3"/>
    </row>
    <row r="202" spans="1:44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S202" s="3"/>
      <c r="T202" s="3"/>
      <c r="U202" s="3"/>
      <c r="V202" s="3"/>
      <c r="W202" s="3"/>
      <c r="X202" s="3"/>
      <c r="Y202" s="3"/>
      <c r="Z202" s="3"/>
      <c r="AB202" s="3"/>
      <c r="AC202" s="3"/>
      <c r="AD202" s="3"/>
      <c r="AE202" s="3"/>
      <c r="AF202" s="3"/>
      <c r="AG202" s="3"/>
      <c r="AH202" s="3"/>
      <c r="AI202" s="3"/>
      <c r="AK202" s="3"/>
      <c r="AL202" s="3"/>
      <c r="AM202" s="3"/>
      <c r="AN202" s="3"/>
      <c r="AO202" s="3"/>
      <c r="AP202" s="3"/>
      <c r="AQ202" s="3"/>
      <c r="AR202" s="3"/>
    </row>
    <row r="203" spans="1:44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S203" s="3"/>
      <c r="T203" s="3"/>
      <c r="U203" s="3"/>
      <c r="V203" s="3"/>
      <c r="W203" s="3"/>
      <c r="X203" s="3"/>
      <c r="Y203" s="3"/>
      <c r="Z203" s="3"/>
      <c r="AB203" s="3"/>
      <c r="AC203" s="3"/>
      <c r="AD203" s="3"/>
      <c r="AE203" s="3"/>
      <c r="AF203" s="3"/>
      <c r="AG203" s="3"/>
      <c r="AH203" s="3"/>
      <c r="AI203" s="3"/>
      <c r="AK203" s="3"/>
      <c r="AL203" s="3"/>
      <c r="AM203" s="3"/>
      <c r="AN203" s="3"/>
      <c r="AO203" s="3"/>
      <c r="AP203" s="3"/>
      <c r="AQ203" s="3"/>
      <c r="AR203" s="3"/>
    </row>
    <row r="204" spans="1:44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S204" s="3"/>
      <c r="T204" s="3"/>
      <c r="U204" s="3"/>
      <c r="V204" s="3"/>
      <c r="W204" s="3"/>
      <c r="X204" s="3"/>
      <c r="Y204" s="3"/>
      <c r="Z204" s="3"/>
      <c r="AB204" s="3"/>
      <c r="AC204" s="3"/>
      <c r="AD204" s="3"/>
      <c r="AE204" s="3"/>
      <c r="AF204" s="3"/>
      <c r="AG204" s="3"/>
      <c r="AH204" s="3"/>
      <c r="AI204" s="3"/>
      <c r="AK204" s="3"/>
      <c r="AL204" s="3"/>
      <c r="AM204" s="3"/>
      <c r="AN204" s="3"/>
      <c r="AO204" s="3"/>
      <c r="AP204" s="3"/>
      <c r="AQ204" s="3"/>
      <c r="AR204" s="3"/>
    </row>
    <row r="205" spans="1:44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S205" s="3"/>
      <c r="T205" s="3"/>
      <c r="U205" s="3"/>
      <c r="V205" s="3"/>
      <c r="W205" s="3"/>
      <c r="X205" s="3"/>
      <c r="Y205" s="3"/>
      <c r="Z205" s="3"/>
      <c r="AB205" s="3"/>
      <c r="AC205" s="3"/>
      <c r="AD205" s="3"/>
      <c r="AE205" s="3"/>
      <c r="AF205" s="3"/>
      <c r="AG205" s="3"/>
      <c r="AH205" s="3"/>
      <c r="AI205" s="3"/>
      <c r="AK205" s="3"/>
      <c r="AL205" s="3"/>
      <c r="AM205" s="3"/>
      <c r="AN205" s="3"/>
      <c r="AO205" s="3"/>
      <c r="AP205" s="3"/>
      <c r="AQ205" s="3"/>
      <c r="AR205" s="3"/>
    </row>
    <row r="206" spans="1:44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S206" s="3"/>
      <c r="T206" s="3"/>
      <c r="U206" s="3"/>
      <c r="V206" s="3"/>
      <c r="W206" s="3"/>
      <c r="X206" s="3"/>
      <c r="Y206" s="3"/>
      <c r="Z206" s="3"/>
      <c r="AB206" s="3"/>
      <c r="AC206" s="3"/>
      <c r="AD206" s="3"/>
      <c r="AE206" s="3"/>
      <c r="AF206" s="3"/>
      <c r="AG206" s="3"/>
      <c r="AH206" s="3"/>
      <c r="AI206" s="3"/>
      <c r="AK206" s="3"/>
      <c r="AL206" s="3"/>
      <c r="AM206" s="3"/>
      <c r="AN206" s="3"/>
      <c r="AO206" s="3"/>
      <c r="AP206" s="3"/>
      <c r="AQ206" s="3"/>
      <c r="AR206" s="3"/>
    </row>
    <row r="207" spans="1:44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S207" s="3"/>
      <c r="T207" s="3"/>
      <c r="U207" s="3"/>
      <c r="V207" s="3"/>
      <c r="W207" s="3"/>
      <c r="X207" s="3"/>
      <c r="Y207" s="3"/>
      <c r="Z207" s="3"/>
      <c r="AB207" s="3"/>
      <c r="AC207" s="3"/>
      <c r="AD207" s="3"/>
      <c r="AE207" s="3"/>
      <c r="AF207" s="3"/>
      <c r="AG207" s="3"/>
      <c r="AH207" s="3"/>
      <c r="AI207" s="3"/>
      <c r="AK207" s="3"/>
      <c r="AL207" s="3"/>
      <c r="AM207" s="3"/>
      <c r="AN207" s="3"/>
      <c r="AO207" s="3"/>
      <c r="AP207" s="3"/>
      <c r="AQ207" s="3"/>
      <c r="AR207" s="3"/>
    </row>
    <row r="208" spans="1:44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S208" s="3"/>
      <c r="T208" s="3"/>
      <c r="U208" s="3"/>
      <c r="V208" s="3"/>
      <c r="W208" s="3"/>
      <c r="X208" s="3"/>
      <c r="Y208" s="3"/>
      <c r="Z208" s="3"/>
      <c r="AB208" s="3"/>
      <c r="AC208" s="3"/>
      <c r="AD208" s="3"/>
      <c r="AE208" s="3"/>
      <c r="AF208" s="3"/>
      <c r="AG208" s="3"/>
      <c r="AH208" s="3"/>
      <c r="AI208" s="3"/>
      <c r="AK208" s="3"/>
      <c r="AL208" s="3"/>
      <c r="AM208" s="3"/>
      <c r="AN208" s="3"/>
      <c r="AO208" s="3"/>
      <c r="AP208" s="3"/>
      <c r="AQ208" s="3"/>
      <c r="AR208" s="3"/>
    </row>
    <row r="209" spans="1:44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S209" s="3"/>
      <c r="T209" s="3"/>
      <c r="U209" s="3"/>
      <c r="V209" s="3"/>
      <c r="W209" s="3"/>
      <c r="X209" s="3"/>
      <c r="Y209" s="3"/>
      <c r="Z209" s="3"/>
      <c r="AB209" s="3"/>
      <c r="AC209" s="3"/>
      <c r="AD209" s="3"/>
      <c r="AE209" s="3"/>
      <c r="AF209" s="3"/>
      <c r="AG209" s="3"/>
      <c r="AH209" s="3"/>
      <c r="AI209" s="3"/>
      <c r="AK209" s="3"/>
      <c r="AL209" s="3"/>
      <c r="AM209" s="3"/>
      <c r="AN209" s="3"/>
      <c r="AO209" s="3"/>
      <c r="AP209" s="3"/>
      <c r="AQ209" s="3"/>
      <c r="AR209" s="3"/>
    </row>
    <row r="210" spans="1:44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S210" s="3"/>
      <c r="T210" s="3"/>
      <c r="U210" s="3"/>
      <c r="V210" s="3"/>
      <c r="W210" s="3"/>
      <c r="X210" s="3"/>
      <c r="Y210" s="3"/>
      <c r="Z210" s="3"/>
      <c r="AB210" s="3"/>
      <c r="AC210" s="3"/>
      <c r="AD210" s="3"/>
      <c r="AE210" s="3"/>
      <c r="AF210" s="3"/>
      <c r="AG210" s="3"/>
      <c r="AH210" s="3"/>
      <c r="AI210" s="3"/>
      <c r="AK210" s="3"/>
      <c r="AL210" s="3"/>
      <c r="AM210" s="3"/>
      <c r="AN210" s="3"/>
      <c r="AO210" s="3"/>
      <c r="AP210" s="3"/>
      <c r="AQ210" s="3"/>
      <c r="AR210" s="3"/>
    </row>
    <row r="211" spans="1:44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S211" s="3"/>
      <c r="T211" s="3"/>
      <c r="U211" s="3"/>
      <c r="V211" s="3"/>
      <c r="W211" s="3"/>
      <c r="X211" s="3"/>
      <c r="Y211" s="3"/>
      <c r="Z211" s="3"/>
      <c r="AB211" s="3"/>
      <c r="AC211" s="3"/>
      <c r="AD211" s="3"/>
      <c r="AE211" s="3"/>
      <c r="AF211" s="3"/>
      <c r="AG211" s="3"/>
      <c r="AH211" s="3"/>
      <c r="AI211" s="3"/>
      <c r="AK211" s="3"/>
      <c r="AL211" s="3"/>
      <c r="AM211" s="3"/>
      <c r="AN211" s="3"/>
      <c r="AO211" s="3"/>
      <c r="AP211" s="3"/>
      <c r="AQ211" s="3"/>
      <c r="AR211" s="3"/>
    </row>
    <row r="212" spans="1:44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S212" s="3"/>
      <c r="T212" s="3"/>
      <c r="U212" s="3"/>
      <c r="V212" s="3"/>
      <c r="W212" s="3"/>
      <c r="X212" s="3"/>
      <c r="Y212" s="3"/>
      <c r="Z212" s="3"/>
      <c r="AB212" s="3"/>
      <c r="AC212" s="3"/>
      <c r="AD212" s="3"/>
      <c r="AE212" s="3"/>
      <c r="AF212" s="3"/>
      <c r="AG212" s="3"/>
      <c r="AH212" s="3"/>
      <c r="AI212" s="3"/>
      <c r="AK212" s="3"/>
      <c r="AL212" s="3"/>
      <c r="AM212" s="3"/>
      <c r="AN212" s="3"/>
      <c r="AO212" s="3"/>
      <c r="AP212" s="3"/>
      <c r="AQ212" s="3"/>
      <c r="AR212" s="3"/>
    </row>
    <row r="213" spans="1:44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S213" s="3"/>
      <c r="T213" s="3"/>
      <c r="U213" s="3"/>
      <c r="V213" s="3"/>
      <c r="W213" s="3"/>
      <c r="X213" s="3"/>
      <c r="Y213" s="3"/>
      <c r="Z213" s="3"/>
      <c r="AB213" s="3"/>
      <c r="AC213" s="3"/>
      <c r="AD213" s="3"/>
      <c r="AE213" s="3"/>
      <c r="AF213" s="3"/>
      <c r="AG213" s="3"/>
      <c r="AH213" s="3"/>
      <c r="AI213" s="3"/>
      <c r="AK213" s="3"/>
      <c r="AL213" s="3"/>
      <c r="AM213" s="3"/>
      <c r="AN213" s="3"/>
      <c r="AO213" s="3"/>
      <c r="AP213" s="3"/>
      <c r="AQ213" s="3"/>
      <c r="AR213" s="3"/>
    </row>
    <row r="214" spans="1:44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S214" s="3"/>
      <c r="T214" s="3"/>
      <c r="U214" s="3"/>
      <c r="V214" s="3"/>
      <c r="W214" s="3"/>
      <c r="X214" s="3"/>
      <c r="Y214" s="3"/>
      <c r="Z214" s="3"/>
      <c r="AB214" s="3"/>
      <c r="AC214" s="3"/>
      <c r="AD214" s="3"/>
      <c r="AE214" s="3"/>
      <c r="AF214" s="3"/>
      <c r="AG214" s="3"/>
      <c r="AH214" s="3"/>
      <c r="AI214" s="3"/>
      <c r="AK214" s="3"/>
      <c r="AL214" s="3"/>
      <c r="AM214" s="3"/>
      <c r="AN214" s="3"/>
      <c r="AO214" s="3"/>
      <c r="AP214" s="3"/>
      <c r="AQ214" s="3"/>
      <c r="AR214" s="3"/>
    </row>
    <row r="215" spans="1:44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S215" s="3"/>
      <c r="T215" s="3"/>
      <c r="U215" s="3"/>
      <c r="V215" s="3"/>
      <c r="W215" s="3"/>
      <c r="X215" s="3"/>
      <c r="Y215" s="3"/>
      <c r="Z215" s="3"/>
      <c r="AB215" s="3"/>
      <c r="AC215" s="3"/>
      <c r="AD215" s="3"/>
      <c r="AE215" s="3"/>
      <c r="AF215" s="3"/>
      <c r="AG215" s="3"/>
      <c r="AH215" s="3"/>
      <c r="AI215" s="3"/>
      <c r="AK215" s="3"/>
      <c r="AL215" s="3"/>
      <c r="AM215" s="3"/>
      <c r="AN215" s="3"/>
      <c r="AO215" s="3"/>
      <c r="AP215" s="3"/>
      <c r="AQ215" s="3"/>
      <c r="AR215" s="3"/>
    </row>
    <row r="216" spans="1:44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S216" s="3"/>
      <c r="T216" s="3"/>
      <c r="U216" s="3"/>
      <c r="V216" s="3"/>
      <c r="W216" s="3"/>
      <c r="X216" s="3"/>
      <c r="Y216" s="3"/>
      <c r="Z216" s="3"/>
      <c r="AB216" s="3"/>
      <c r="AC216" s="3"/>
      <c r="AD216" s="3"/>
      <c r="AE216" s="3"/>
      <c r="AF216" s="3"/>
      <c r="AG216" s="3"/>
      <c r="AH216" s="3"/>
      <c r="AI216" s="3"/>
      <c r="AK216" s="3"/>
      <c r="AL216" s="3"/>
      <c r="AM216" s="3"/>
      <c r="AN216" s="3"/>
      <c r="AO216" s="3"/>
      <c r="AP216" s="3"/>
      <c r="AQ216" s="3"/>
      <c r="AR216" s="3"/>
    </row>
    <row r="217" spans="1:44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S217" s="3"/>
      <c r="T217" s="3"/>
      <c r="U217" s="3"/>
      <c r="V217" s="3"/>
      <c r="W217" s="3"/>
      <c r="X217" s="3"/>
      <c r="Y217" s="3"/>
      <c r="Z217" s="3"/>
      <c r="AB217" s="3"/>
      <c r="AC217" s="3"/>
      <c r="AD217" s="3"/>
      <c r="AE217" s="3"/>
      <c r="AF217" s="3"/>
      <c r="AG217" s="3"/>
      <c r="AH217" s="3"/>
      <c r="AI217" s="3"/>
      <c r="AK217" s="3"/>
      <c r="AL217" s="3"/>
      <c r="AM217" s="3"/>
      <c r="AN217" s="3"/>
      <c r="AO217" s="3"/>
      <c r="AP217" s="3"/>
      <c r="AQ217" s="3"/>
      <c r="AR217" s="3"/>
    </row>
    <row r="218" spans="1:44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S218" s="3"/>
      <c r="T218" s="3"/>
      <c r="U218" s="3"/>
      <c r="V218" s="3"/>
      <c r="W218" s="3"/>
      <c r="X218" s="3"/>
      <c r="Y218" s="3"/>
      <c r="Z218" s="3"/>
      <c r="AB218" s="3"/>
      <c r="AC218" s="3"/>
      <c r="AD218" s="3"/>
      <c r="AE218" s="3"/>
      <c r="AF218" s="3"/>
      <c r="AG218" s="3"/>
      <c r="AH218" s="3"/>
      <c r="AI218" s="3"/>
      <c r="AK218" s="3"/>
      <c r="AL218" s="3"/>
      <c r="AM218" s="3"/>
      <c r="AN218" s="3"/>
      <c r="AO218" s="3"/>
      <c r="AP218" s="3"/>
      <c r="AQ218" s="3"/>
      <c r="AR218" s="3"/>
    </row>
    <row r="219" spans="1:44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S219" s="3"/>
      <c r="T219" s="3"/>
      <c r="U219" s="3"/>
      <c r="V219" s="3"/>
      <c r="W219" s="3"/>
      <c r="X219" s="3"/>
      <c r="Y219" s="3"/>
      <c r="Z219" s="3"/>
      <c r="AB219" s="3"/>
      <c r="AC219" s="3"/>
      <c r="AD219" s="3"/>
      <c r="AE219" s="3"/>
      <c r="AF219" s="3"/>
      <c r="AG219" s="3"/>
      <c r="AH219" s="3"/>
      <c r="AI219" s="3"/>
      <c r="AK219" s="3"/>
      <c r="AL219" s="3"/>
      <c r="AM219" s="3"/>
      <c r="AN219" s="3"/>
      <c r="AO219" s="3"/>
      <c r="AP219" s="3"/>
      <c r="AQ219" s="3"/>
      <c r="AR219" s="3"/>
    </row>
    <row r="220" spans="1:44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S220" s="3"/>
      <c r="T220" s="3"/>
      <c r="U220" s="3"/>
      <c r="V220" s="3"/>
      <c r="W220" s="3"/>
      <c r="X220" s="3"/>
      <c r="Y220" s="3"/>
      <c r="Z220" s="3"/>
      <c r="AB220" s="3"/>
      <c r="AC220" s="3"/>
      <c r="AD220" s="3"/>
      <c r="AE220" s="3"/>
      <c r="AF220" s="3"/>
      <c r="AG220" s="3"/>
      <c r="AH220" s="3"/>
      <c r="AI220" s="3"/>
      <c r="AK220" s="3"/>
      <c r="AL220" s="3"/>
      <c r="AM220" s="3"/>
      <c r="AN220" s="3"/>
      <c r="AO220" s="3"/>
      <c r="AP220" s="3"/>
      <c r="AQ220" s="3"/>
      <c r="AR220" s="3"/>
    </row>
    <row r="221" spans="1:44" ht="16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S221" s="3"/>
      <c r="T221" s="3"/>
      <c r="U221" s="3"/>
      <c r="V221" s="3"/>
      <c r="W221" s="3"/>
      <c r="X221" s="3"/>
      <c r="Y221" s="3"/>
      <c r="Z221" s="3"/>
      <c r="AB221" s="3"/>
      <c r="AC221" s="3"/>
      <c r="AD221" s="3"/>
      <c r="AE221" s="3"/>
      <c r="AF221" s="3"/>
      <c r="AG221" s="3"/>
      <c r="AH221" s="3"/>
      <c r="AI221" s="3"/>
      <c r="AK221" s="3"/>
      <c r="AL221" s="3"/>
      <c r="AM221" s="3"/>
      <c r="AN221" s="3"/>
      <c r="AO221" s="3"/>
      <c r="AP221" s="3"/>
      <c r="AQ221" s="3"/>
      <c r="AR221" s="3"/>
    </row>
    <row r="222" spans="1:44" ht="16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S222" s="3"/>
      <c r="T222" s="3"/>
      <c r="U222" s="3"/>
      <c r="V222" s="3"/>
      <c r="W222" s="3"/>
      <c r="X222" s="3"/>
      <c r="Y222" s="3"/>
      <c r="Z222" s="3"/>
      <c r="AB222" s="3"/>
      <c r="AC222" s="3"/>
      <c r="AD222" s="3"/>
      <c r="AE222" s="3"/>
      <c r="AF222" s="3"/>
      <c r="AG222" s="3"/>
      <c r="AH222" s="3"/>
      <c r="AI222" s="3"/>
      <c r="AK222" s="3"/>
      <c r="AL222" s="3"/>
      <c r="AM222" s="3"/>
      <c r="AN222" s="3"/>
      <c r="AO222" s="3"/>
      <c r="AP222" s="3"/>
      <c r="AQ222" s="3"/>
      <c r="AR222" s="3"/>
    </row>
    <row r="223" spans="1:44" ht="16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S223" s="3"/>
      <c r="T223" s="3"/>
      <c r="U223" s="3"/>
      <c r="V223" s="3"/>
      <c r="W223" s="3"/>
      <c r="X223" s="3"/>
      <c r="Y223" s="3"/>
      <c r="Z223" s="3"/>
      <c r="AB223" s="3"/>
      <c r="AC223" s="3"/>
      <c r="AD223" s="3"/>
      <c r="AE223" s="3"/>
      <c r="AF223" s="3"/>
      <c r="AG223" s="3"/>
      <c r="AH223" s="3"/>
      <c r="AI223" s="3"/>
      <c r="AK223" s="3"/>
      <c r="AL223" s="3"/>
      <c r="AM223" s="3"/>
      <c r="AN223" s="3"/>
      <c r="AO223" s="3"/>
      <c r="AP223" s="3"/>
      <c r="AQ223" s="3"/>
      <c r="AR223" s="3"/>
    </row>
    <row r="224" spans="1:44" ht="16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S224" s="3"/>
      <c r="T224" s="3"/>
      <c r="U224" s="3"/>
      <c r="V224" s="3"/>
      <c r="W224" s="3"/>
      <c r="X224" s="3"/>
      <c r="Y224" s="3"/>
      <c r="Z224" s="3"/>
      <c r="AB224" s="3"/>
      <c r="AC224" s="3"/>
      <c r="AD224" s="3"/>
      <c r="AE224" s="3"/>
      <c r="AF224" s="3"/>
      <c r="AG224" s="3"/>
      <c r="AH224" s="3"/>
      <c r="AI224" s="3"/>
      <c r="AK224" s="3"/>
      <c r="AL224" s="3"/>
      <c r="AM224" s="3"/>
      <c r="AN224" s="3"/>
      <c r="AO224" s="3"/>
      <c r="AP224" s="3"/>
      <c r="AQ224" s="3"/>
      <c r="AR224" s="3"/>
    </row>
    <row r="225" spans="1:44" ht="16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S225" s="3"/>
      <c r="T225" s="3"/>
      <c r="U225" s="3"/>
      <c r="V225" s="3"/>
      <c r="W225" s="3"/>
      <c r="X225" s="3"/>
      <c r="Y225" s="3"/>
      <c r="Z225" s="3"/>
      <c r="AB225" s="3"/>
      <c r="AC225" s="3"/>
      <c r="AD225" s="3"/>
      <c r="AE225" s="3"/>
      <c r="AF225" s="3"/>
      <c r="AG225" s="3"/>
      <c r="AH225" s="3"/>
      <c r="AI225" s="3"/>
      <c r="AK225" s="3"/>
      <c r="AL225" s="3"/>
      <c r="AM225" s="3"/>
      <c r="AN225" s="3"/>
      <c r="AO225" s="3"/>
      <c r="AP225" s="3"/>
      <c r="AQ225" s="3"/>
      <c r="AR225" s="3"/>
    </row>
    <row r="226" spans="1:44" ht="16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S226" s="3"/>
      <c r="T226" s="3"/>
      <c r="U226" s="3"/>
      <c r="V226" s="3"/>
      <c r="W226" s="3"/>
      <c r="X226" s="3"/>
      <c r="Y226" s="3"/>
      <c r="Z226" s="3"/>
      <c r="AB226" s="3"/>
      <c r="AC226" s="3"/>
      <c r="AD226" s="3"/>
      <c r="AE226" s="3"/>
      <c r="AF226" s="3"/>
      <c r="AG226" s="3"/>
      <c r="AH226" s="3"/>
      <c r="AI226" s="3"/>
      <c r="AK226" s="3"/>
      <c r="AL226" s="3"/>
      <c r="AM226" s="3"/>
      <c r="AN226" s="3"/>
      <c r="AO226" s="3"/>
      <c r="AP226" s="3"/>
      <c r="AQ226" s="3"/>
      <c r="AR226" s="3"/>
    </row>
    <row r="227" spans="1:44" ht="16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S227" s="3"/>
      <c r="T227" s="3"/>
      <c r="U227" s="3"/>
      <c r="V227" s="3"/>
      <c r="W227" s="3"/>
      <c r="X227" s="3"/>
      <c r="Y227" s="3"/>
      <c r="Z227" s="3"/>
      <c r="AB227" s="3"/>
      <c r="AC227" s="3"/>
      <c r="AD227" s="3"/>
      <c r="AE227" s="3"/>
      <c r="AF227" s="3"/>
      <c r="AG227" s="3"/>
      <c r="AH227" s="3"/>
      <c r="AI227" s="3"/>
      <c r="AK227" s="3"/>
      <c r="AL227" s="3"/>
      <c r="AM227" s="3"/>
      <c r="AN227" s="3"/>
      <c r="AO227" s="3"/>
      <c r="AP227" s="3"/>
      <c r="AQ227" s="3"/>
      <c r="AR227" s="3"/>
    </row>
    <row r="228" spans="1:44" ht="16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S228" s="3"/>
      <c r="T228" s="3"/>
      <c r="U228" s="3"/>
      <c r="V228" s="3"/>
      <c r="W228" s="3"/>
      <c r="X228" s="3"/>
      <c r="Y228" s="3"/>
      <c r="Z228" s="3"/>
      <c r="AB228" s="3"/>
      <c r="AC228" s="3"/>
      <c r="AD228" s="3"/>
      <c r="AE228" s="3"/>
      <c r="AF228" s="3"/>
      <c r="AG228" s="3"/>
      <c r="AH228" s="3"/>
      <c r="AI228" s="3"/>
      <c r="AK228" s="3"/>
      <c r="AL228" s="3"/>
      <c r="AM228" s="3"/>
      <c r="AN228" s="3"/>
      <c r="AO228" s="3"/>
      <c r="AP228" s="3"/>
      <c r="AQ228" s="3"/>
      <c r="AR228" s="3"/>
    </row>
    <row r="229" spans="1:44" ht="16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S229" s="3"/>
      <c r="T229" s="3"/>
      <c r="U229" s="3"/>
      <c r="V229" s="3"/>
      <c r="W229" s="3"/>
      <c r="X229" s="3"/>
      <c r="Y229" s="3"/>
      <c r="Z229" s="3"/>
      <c r="AB229" s="3"/>
      <c r="AC229" s="3"/>
      <c r="AD229" s="3"/>
      <c r="AE229" s="3"/>
      <c r="AF229" s="3"/>
      <c r="AG229" s="3"/>
      <c r="AH229" s="3"/>
      <c r="AI229" s="3"/>
      <c r="AK229" s="3"/>
      <c r="AL229" s="3"/>
      <c r="AM229" s="3"/>
      <c r="AN229" s="3"/>
      <c r="AO229" s="3"/>
      <c r="AP229" s="3"/>
      <c r="AQ229" s="3"/>
      <c r="AR229" s="3"/>
    </row>
    <row r="230" spans="1:44" ht="16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S230" s="3"/>
      <c r="T230" s="3"/>
      <c r="U230" s="3"/>
      <c r="V230" s="3"/>
      <c r="W230" s="3"/>
      <c r="X230" s="3"/>
      <c r="Y230" s="3"/>
      <c r="Z230" s="3"/>
      <c r="AB230" s="3"/>
      <c r="AC230" s="3"/>
      <c r="AD230" s="3"/>
      <c r="AE230" s="3"/>
      <c r="AF230" s="3"/>
      <c r="AG230" s="3"/>
      <c r="AH230" s="3"/>
      <c r="AI230" s="3"/>
      <c r="AK230" s="3"/>
      <c r="AL230" s="3"/>
      <c r="AM230" s="3"/>
      <c r="AN230" s="3"/>
      <c r="AO230" s="3"/>
      <c r="AP230" s="3"/>
      <c r="AQ230" s="3"/>
      <c r="AR230" s="3"/>
    </row>
    <row r="231" spans="1:44" ht="16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S231" s="3"/>
      <c r="T231" s="3"/>
      <c r="U231" s="3"/>
      <c r="V231" s="3"/>
      <c r="W231" s="3"/>
      <c r="X231" s="3"/>
      <c r="Y231" s="3"/>
      <c r="Z231" s="3"/>
      <c r="AB231" s="3"/>
      <c r="AC231" s="3"/>
      <c r="AD231" s="3"/>
      <c r="AE231" s="3"/>
      <c r="AF231" s="3"/>
      <c r="AG231" s="3"/>
      <c r="AH231" s="3"/>
      <c r="AI231" s="3"/>
      <c r="AK231" s="3"/>
      <c r="AL231" s="3"/>
      <c r="AM231" s="3"/>
      <c r="AN231" s="3"/>
      <c r="AO231" s="3"/>
      <c r="AP231" s="3"/>
      <c r="AQ231" s="3"/>
      <c r="AR231" s="3"/>
    </row>
    <row r="232" spans="1:44" ht="16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S232" s="3"/>
      <c r="T232" s="3"/>
      <c r="U232" s="3"/>
      <c r="V232" s="3"/>
      <c r="W232" s="3"/>
      <c r="X232" s="3"/>
      <c r="Y232" s="3"/>
      <c r="Z232" s="3"/>
      <c r="AB232" s="3"/>
      <c r="AC232" s="3"/>
      <c r="AD232" s="3"/>
      <c r="AE232" s="3"/>
      <c r="AF232" s="3"/>
      <c r="AG232" s="3"/>
      <c r="AH232" s="3"/>
      <c r="AI232" s="3"/>
      <c r="AK232" s="3"/>
      <c r="AL232" s="3"/>
      <c r="AM232" s="3"/>
      <c r="AN232" s="3"/>
      <c r="AO232" s="3"/>
      <c r="AP232" s="3"/>
      <c r="AQ232" s="3"/>
      <c r="AR232" s="3"/>
    </row>
    <row r="233" spans="1:44" ht="16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S233" s="3"/>
      <c r="T233" s="3"/>
      <c r="U233" s="3"/>
      <c r="V233" s="3"/>
      <c r="W233" s="3"/>
      <c r="X233" s="3"/>
      <c r="Y233" s="3"/>
      <c r="Z233" s="3"/>
      <c r="AB233" s="3"/>
      <c r="AC233" s="3"/>
      <c r="AD233" s="3"/>
      <c r="AE233" s="3"/>
      <c r="AF233" s="3"/>
      <c r="AG233" s="3"/>
      <c r="AH233" s="3"/>
      <c r="AI233" s="3"/>
      <c r="AK233" s="3"/>
      <c r="AL233" s="3"/>
      <c r="AM233" s="3"/>
      <c r="AN233" s="3"/>
      <c r="AO233" s="3"/>
      <c r="AP233" s="3"/>
      <c r="AQ233" s="3"/>
      <c r="AR233" s="3"/>
    </row>
    <row r="234" spans="1:44" ht="16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S234" s="3"/>
      <c r="T234" s="3"/>
      <c r="U234" s="3"/>
      <c r="V234" s="3"/>
      <c r="W234" s="3"/>
      <c r="X234" s="3"/>
      <c r="Y234" s="3"/>
      <c r="Z234" s="3"/>
      <c r="AB234" s="3"/>
      <c r="AC234" s="3"/>
      <c r="AD234" s="3"/>
      <c r="AE234" s="3"/>
      <c r="AF234" s="3"/>
      <c r="AG234" s="3"/>
      <c r="AH234" s="3"/>
      <c r="AI234" s="3"/>
      <c r="AK234" s="3"/>
      <c r="AL234" s="3"/>
      <c r="AM234" s="3"/>
      <c r="AN234" s="3"/>
      <c r="AO234" s="3"/>
      <c r="AP234" s="3"/>
      <c r="AQ234" s="3"/>
      <c r="AR234" s="3"/>
    </row>
    <row r="235" spans="1:44" ht="16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S235" s="3"/>
      <c r="T235" s="3"/>
      <c r="U235" s="3"/>
      <c r="V235" s="3"/>
      <c r="W235" s="3"/>
      <c r="X235" s="3"/>
      <c r="Y235" s="3"/>
      <c r="Z235" s="3"/>
      <c r="AB235" s="3"/>
      <c r="AC235" s="3"/>
      <c r="AD235" s="3"/>
      <c r="AE235" s="3"/>
      <c r="AF235" s="3"/>
      <c r="AG235" s="3"/>
      <c r="AH235" s="3"/>
      <c r="AI235" s="3"/>
      <c r="AK235" s="3"/>
      <c r="AL235" s="3"/>
      <c r="AM235" s="3"/>
      <c r="AN235" s="3"/>
      <c r="AO235" s="3"/>
      <c r="AP235" s="3"/>
      <c r="AQ235" s="3"/>
      <c r="AR235" s="3"/>
    </row>
    <row r="236" spans="1:44" ht="16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S236" s="3"/>
      <c r="T236" s="3"/>
      <c r="U236" s="3"/>
      <c r="V236" s="3"/>
      <c r="W236" s="3"/>
      <c r="X236" s="3"/>
      <c r="Y236" s="3"/>
      <c r="Z236" s="3"/>
      <c r="AB236" s="3"/>
      <c r="AC236" s="3"/>
      <c r="AD236" s="3"/>
      <c r="AE236" s="3"/>
      <c r="AF236" s="3"/>
      <c r="AG236" s="3"/>
      <c r="AH236" s="3"/>
      <c r="AI236" s="3"/>
      <c r="AK236" s="3"/>
      <c r="AL236" s="3"/>
      <c r="AM236" s="3"/>
      <c r="AN236" s="3"/>
      <c r="AO236" s="3"/>
      <c r="AP236" s="3"/>
      <c r="AQ236" s="3"/>
      <c r="AR236" s="3"/>
    </row>
    <row r="237" spans="1:44" ht="16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S237" s="3"/>
      <c r="T237" s="3"/>
      <c r="U237" s="3"/>
      <c r="V237" s="3"/>
      <c r="W237" s="3"/>
      <c r="X237" s="3"/>
      <c r="Y237" s="3"/>
      <c r="Z237" s="3"/>
      <c r="AB237" s="3"/>
      <c r="AC237" s="3"/>
      <c r="AD237" s="3"/>
      <c r="AE237" s="3"/>
      <c r="AF237" s="3"/>
      <c r="AG237" s="3"/>
      <c r="AH237" s="3"/>
      <c r="AI237" s="3"/>
      <c r="AK237" s="3"/>
      <c r="AL237" s="3"/>
      <c r="AM237" s="3"/>
      <c r="AN237" s="3"/>
      <c r="AO237" s="3"/>
      <c r="AP237" s="3"/>
      <c r="AQ237" s="3"/>
      <c r="AR237" s="3"/>
    </row>
    <row r="238" spans="1:44" ht="16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S238" s="3"/>
      <c r="T238" s="3"/>
      <c r="U238" s="3"/>
      <c r="V238" s="3"/>
      <c r="W238" s="3"/>
      <c r="X238" s="3"/>
      <c r="Y238" s="3"/>
      <c r="Z238" s="3"/>
      <c r="AB238" s="3"/>
      <c r="AC238" s="3"/>
      <c r="AD238" s="3"/>
      <c r="AE238" s="3"/>
      <c r="AF238" s="3"/>
      <c r="AG238" s="3"/>
      <c r="AH238" s="3"/>
      <c r="AI238" s="3"/>
      <c r="AK238" s="3"/>
      <c r="AL238" s="3"/>
      <c r="AM238" s="3"/>
      <c r="AN238" s="3"/>
      <c r="AO238" s="3"/>
      <c r="AP238" s="3"/>
      <c r="AQ238" s="3"/>
      <c r="AR238" s="3"/>
    </row>
    <row r="239" spans="1:44" ht="16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S239" s="3"/>
      <c r="T239" s="3"/>
      <c r="U239" s="3"/>
      <c r="V239" s="3"/>
      <c r="W239" s="3"/>
      <c r="X239" s="3"/>
      <c r="Y239" s="3"/>
      <c r="Z239" s="3"/>
      <c r="AB239" s="3"/>
      <c r="AC239" s="3"/>
      <c r="AD239" s="3"/>
      <c r="AE239" s="3"/>
      <c r="AF239" s="3"/>
      <c r="AG239" s="3"/>
      <c r="AH239" s="3"/>
      <c r="AI239" s="3"/>
      <c r="AK239" s="3"/>
      <c r="AL239" s="3"/>
      <c r="AM239" s="3"/>
      <c r="AN239" s="3"/>
      <c r="AO239" s="3"/>
      <c r="AP239" s="3"/>
      <c r="AQ239" s="3"/>
      <c r="AR239" s="3"/>
    </row>
    <row r="240" spans="1:44" ht="16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S240" s="3"/>
      <c r="T240" s="3"/>
      <c r="U240" s="3"/>
      <c r="V240" s="3"/>
      <c r="W240" s="3"/>
      <c r="X240" s="3"/>
      <c r="Y240" s="3"/>
      <c r="Z240" s="3"/>
      <c r="AB240" s="3"/>
      <c r="AC240" s="3"/>
      <c r="AD240" s="3"/>
      <c r="AE240" s="3"/>
      <c r="AF240" s="3"/>
      <c r="AG240" s="3"/>
      <c r="AH240" s="3"/>
      <c r="AI240" s="3"/>
      <c r="AK240" s="3"/>
      <c r="AL240" s="3"/>
      <c r="AM240" s="3"/>
      <c r="AN240" s="3"/>
      <c r="AO240" s="3"/>
      <c r="AP240" s="3"/>
      <c r="AQ240" s="3"/>
      <c r="AR240" s="3"/>
    </row>
    <row r="241" spans="1:44" ht="16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S241" s="3"/>
      <c r="T241" s="3"/>
      <c r="U241" s="3"/>
      <c r="V241" s="3"/>
      <c r="W241" s="3"/>
      <c r="X241" s="3"/>
      <c r="Y241" s="3"/>
      <c r="Z241" s="3"/>
      <c r="AB241" s="3"/>
      <c r="AC241" s="3"/>
      <c r="AD241" s="3"/>
      <c r="AE241" s="3"/>
      <c r="AF241" s="3"/>
      <c r="AG241" s="3"/>
      <c r="AH241" s="3"/>
      <c r="AI241" s="3"/>
      <c r="AK241" s="3"/>
      <c r="AL241" s="3"/>
      <c r="AM241" s="3"/>
      <c r="AN241" s="3"/>
      <c r="AO241" s="3"/>
      <c r="AP241" s="3"/>
      <c r="AQ241" s="3"/>
      <c r="AR241" s="3"/>
    </row>
    <row r="242" spans="1:44" ht="16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S242" s="3"/>
      <c r="T242" s="3"/>
      <c r="U242" s="3"/>
      <c r="V242" s="3"/>
      <c r="W242" s="3"/>
      <c r="X242" s="3"/>
      <c r="Y242" s="3"/>
      <c r="Z242" s="3"/>
      <c r="AB242" s="3"/>
      <c r="AC242" s="3"/>
      <c r="AD242" s="3"/>
      <c r="AE242" s="3"/>
      <c r="AF242" s="3"/>
      <c r="AG242" s="3"/>
      <c r="AH242" s="3"/>
      <c r="AI242" s="3"/>
      <c r="AK242" s="3"/>
      <c r="AL242" s="3"/>
      <c r="AM242" s="3"/>
      <c r="AN242" s="3"/>
      <c r="AO242" s="3"/>
      <c r="AP242" s="3"/>
      <c r="AQ242" s="3"/>
      <c r="AR242" s="3"/>
    </row>
    <row r="243" spans="1:44" ht="16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S243" s="3"/>
      <c r="T243" s="3"/>
      <c r="U243" s="3"/>
      <c r="V243" s="3"/>
      <c r="W243" s="3"/>
      <c r="X243" s="3"/>
      <c r="Y243" s="3"/>
      <c r="Z243" s="3"/>
      <c r="AB243" s="3"/>
      <c r="AC243" s="3"/>
      <c r="AD243" s="3"/>
      <c r="AE243" s="3"/>
      <c r="AF243" s="3"/>
      <c r="AG243" s="3"/>
      <c r="AH243" s="3"/>
      <c r="AI243" s="3"/>
      <c r="AK243" s="3"/>
      <c r="AL243" s="3"/>
      <c r="AM243" s="3"/>
      <c r="AN243" s="3"/>
      <c r="AO243" s="3"/>
      <c r="AP243" s="3"/>
      <c r="AQ243" s="3"/>
      <c r="AR243" s="3"/>
    </row>
    <row r="244" spans="1:44" ht="16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S244" s="3"/>
      <c r="T244" s="3"/>
      <c r="U244" s="3"/>
      <c r="V244" s="3"/>
      <c r="W244" s="3"/>
      <c r="X244" s="3"/>
      <c r="Y244" s="3"/>
      <c r="Z244" s="3"/>
      <c r="AB244" s="3"/>
      <c r="AC244" s="3"/>
      <c r="AD244" s="3"/>
      <c r="AE244" s="3"/>
      <c r="AF244" s="3"/>
      <c r="AG244" s="3"/>
      <c r="AH244" s="3"/>
      <c r="AI244" s="3"/>
      <c r="AK244" s="3"/>
      <c r="AL244" s="3"/>
      <c r="AM244" s="3"/>
      <c r="AN244" s="3"/>
      <c r="AO244" s="3"/>
      <c r="AP244" s="3"/>
      <c r="AQ244" s="3"/>
      <c r="AR244" s="3"/>
    </row>
    <row r="245" spans="1:44" ht="16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S245" s="3"/>
      <c r="T245" s="3"/>
      <c r="U245" s="3"/>
      <c r="V245" s="3"/>
      <c r="W245" s="3"/>
      <c r="X245" s="3"/>
      <c r="Y245" s="3"/>
      <c r="Z245" s="3"/>
      <c r="AB245" s="3"/>
      <c r="AC245" s="3"/>
      <c r="AD245" s="3"/>
      <c r="AE245" s="3"/>
      <c r="AF245" s="3"/>
      <c r="AG245" s="3"/>
      <c r="AH245" s="3"/>
      <c r="AI245" s="3"/>
      <c r="AK245" s="3"/>
      <c r="AL245" s="3"/>
      <c r="AM245" s="3"/>
      <c r="AN245" s="3"/>
      <c r="AO245" s="3"/>
      <c r="AP245" s="3"/>
      <c r="AQ245" s="3"/>
      <c r="AR245" s="3"/>
    </row>
    <row r="246" spans="1:44" ht="16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S246" s="3"/>
      <c r="T246" s="3"/>
      <c r="U246" s="3"/>
      <c r="V246" s="3"/>
      <c r="W246" s="3"/>
      <c r="X246" s="3"/>
      <c r="Y246" s="3"/>
      <c r="Z246" s="3"/>
      <c r="AB246" s="3"/>
      <c r="AC246" s="3"/>
      <c r="AD246" s="3"/>
      <c r="AE246" s="3"/>
      <c r="AF246" s="3"/>
      <c r="AG246" s="3"/>
      <c r="AH246" s="3"/>
      <c r="AI246" s="3"/>
      <c r="AK246" s="3"/>
      <c r="AL246" s="3"/>
      <c r="AM246" s="3"/>
      <c r="AN246" s="3"/>
      <c r="AO246" s="3"/>
      <c r="AP246" s="3"/>
      <c r="AQ246" s="3"/>
      <c r="AR246" s="3"/>
    </row>
    <row r="247" spans="1:44" ht="16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S247" s="3"/>
      <c r="T247" s="3"/>
      <c r="U247" s="3"/>
      <c r="V247" s="3"/>
      <c r="W247" s="3"/>
      <c r="X247" s="3"/>
      <c r="Y247" s="3"/>
      <c r="Z247" s="3"/>
      <c r="AB247" s="3"/>
      <c r="AC247" s="3"/>
      <c r="AD247" s="3"/>
      <c r="AE247" s="3"/>
      <c r="AF247" s="3"/>
      <c r="AG247" s="3"/>
      <c r="AH247" s="3"/>
      <c r="AI247" s="3"/>
      <c r="AK247" s="3"/>
      <c r="AL247" s="3"/>
      <c r="AM247" s="3"/>
      <c r="AN247" s="3"/>
      <c r="AO247" s="3"/>
      <c r="AP247" s="3"/>
      <c r="AQ247" s="3"/>
      <c r="AR247" s="3"/>
    </row>
    <row r="248" spans="1:44" ht="16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S248" s="3"/>
      <c r="T248" s="3"/>
      <c r="U248" s="3"/>
      <c r="V248" s="3"/>
      <c r="W248" s="3"/>
      <c r="X248" s="3"/>
      <c r="Y248" s="3"/>
      <c r="Z248" s="3"/>
      <c r="AB248" s="3"/>
      <c r="AC248" s="3"/>
      <c r="AD248" s="3"/>
      <c r="AE248" s="3"/>
      <c r="AF248" s="3"/>
      <c r="AG248" s="3"/>
      <c r="AH248" s="3"/>
      <c r="AI248" s="3"/>
      <c r="AK248" s="3"/>
      <c r="AL248" s="3"/>
      <c r="AM248" s="3"/>
      <c r="AN248" s="3"/>
      <c r="AO248" s="3"/>
      <c r="AP248" s="3"/>
      <c r="AQ248" s="3"/>
      <c r="AR248" s="3"/>
    </row>
    <row r="249" spans="1:44" ht="16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S249" s="3"/>
      <c r="T249" s="3"/>
      <c r="U249" s="3"/>
      <c r="V249" s="3"/>
      <c r="W249" s="3"/>
      <c r="X249" s="3"/>
      <c r="Y249" s="3"/>
      <c r="Z249" s="3"/>
      <c r="AB249" s="3"/>
      <c r="AC249" s="3"/>
      <c r="AD249" s="3"/>
      <c r="AE249" s="3"/>
      <c r="AF249" s="3"/>
      <c r="AG249" s="3"/>
      <c r="AH249" s="3"/>
      <c r="AI249" s="3"/>
      <c r="AK249" s="3"/>
      <c r="AL249" s="3"/>
      <c r="AM249" s="3"/>
      <c r="AN249" s="3"/>
      <c r="AO249" s="3"/>
      <c r="AP249" s="3"/>
      <c r="AQ249" s="3"/>
      <c r="AR249" s="3"/>
    </row>
    <row r="250" spans="1:44" ht="16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S250" s="3"/>
      <c r="T250" s="3"/>
      <c r="U250" s="3"/>
      <c r="V250" s="3"/>
      <c r="W250" s="3"/>
      <c r="X250" s="3"/>
      <c r="Y250" s="3"/>
      <c r="Z250" s="3"/>
      <c r="AB250" s="3"/>
      <c r="AC250" s="3"/>
      <c r="AD250" s="3"/>
      <c r="AE250" s="3"/>
      <c r="AF250" s="3"/>
      <c r="AG250" s="3"/>
      <c r="AH250" s="3"/>
      <c r="AI250" s="3"/>
      <c r="AK250" s="3"/>
      <c r="AL250" s="3"/>
      <c r="AM250" s="3"/>
      <c r="AN250" s="3"/>
      <c r="AO250" s="3"/>
      <c r="AP250" s="3"/>
      <c r="AQ250" s="3"/>
      <c r="AR250" s="3"/>
    </row>
    <row r="251" spans="1:44" ht="16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S251" s="3"/>
      <c r="T251" s="3"/>
      <c r="U251" s="3"/>
      <c r="V251" s="3"/>
      <c r="W251" s="3"/>
      <c r="X251" s="3"/>
      <c r="Y251" s="3"/>
      <c r="Z251" s="3"/>
      <c r="AB251" s="3"/>
      <c r="AC251" s="3"/>
      <c r="AD251" s="3"/>
      <c r="AE251" s="3"/>
      <c r="AF251" s="3"/>
      <c r="AG251" s="3"/>
      <c r="AH251" s="3"/>
      <c r="AI251" s="3"/>
      <c r="AK251" s="3"/>
      <c r="AL251" s="3"/>
      <c r="AM251" s="3"/>
      <c r="AN251" s="3"/>
      <c r="AO251" s="3"/>
      <c r="AP251" s="3"/>
      <c r="AQ251" s="3"/>
      <c r="AR251" s="3"/>
    </row>
    <row r="252" spans="1:44" ht="16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S252" s="3"/>
      <c r="T252" s="3"/>
      <c r="U252" s="3"/>
      <c r="V252" s="3"/>
      <c r="W252" s="3"/>
      <c r="X252" s="3"/>
      <c r="Y252" s="3"/>
      <c r="Z252" s="3"/>
      <c r="AB252" s="3"/>
      <c r="AC252" s="3"/>
      <c r="AD252" s="3"/>
      <c r="AE252" s="3"/>
      <c r="AF252" s="3"/>
      <c r="AG252" s="3"/>
      <c r="AH252" s="3"/>
      <c r="AI252" s="3"/>
      <c r="AK252" s="3"/>
      <c r="AL252" s="3"/>
      <c r="AM252" s="3"/>
      <c r="AN252" s="3"/>
      <c r="AO252" s="3"/>
      <c r="AP252" s="3"/>
      <c r="AQ252" s="3"/>
      <c r="AR252" s="3"/>
    </row>
    <row r="253" spans="1:44" ht="16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S253" s="3"/>
      <c r="T253" s="3"/>
      <c r="U253" s="3"/>
      <c r="V253" s="3"/>
      <c r="W253" s="3"/>
      <c r="X253" s="3"/>
      <c r="Y253" s="3"/>
      <c r="Z253" s="3"/>
      <c r="AB253" s="3"/>
      <c r="AC253" s="3"/>
      <c r="AD253" s="3"/>
      <c r="AE253" s="3"/>
      <c r="AF253" s="3"/>
      <c r="AG253" s="3"/>
      <c r="AH253" s="3"/>
      <c r="AI253" s="3"/>
      <c r="AK253" s="3"/>
      <c r="AL253" s="3"/>
      <c r="AM253" s="3"/>
      <c r="AN253" s="3"/>
      <c r="AO253" s="3"/>
      <c r="AP253" s="3"/>
      <c r="AQ253" s="3"/>
      <c r="AR253" s="3"/>
    </row>
    <row r="254" spans="1:44" ht="16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S254" s="3"/>
      <c r="T254" s="3"/>
      <c r="U254" s="3"/>
      <c r="V254" s="3"/>
      <c r="W254" s="3"/>
      <c r="X254" s="3"/>
      <c r="Y254" s="3"/>
      <c r="Z254" s="3"/>
      <c r="AB254" s="3"/>
      <c r="AC254" s="3"/>
      <c r="AD254" s="3"/>
      <c r="AE254" s="3"/>
      <c r="AF254" s="3"/>
      <c r="AG254" s="3"/>
      <c r="AH254" s="3"/>
      <c r="AI254" s="3"/>
      <c r="AK254" s="3"/>
      <c r="AL254" s="3"/>
      <c r="AM254" s="3"/>
      <c r="AN254" s="3"/>
      <c r="AO254" s="3"/>
      <c r="AP254" s="3"/>
      <c r="AQ254" s="3"/>
      <c r="AR254" s="3"/>
    </row>
    <row r="255" spans="1:44" ht="16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S255" s="3"/>
      <c r="T255" s="3"/>
      <c r="U255" s="3"/>
      <c r="V255" s="3"/>
      <c r="W255" s="3"/>
      <c r="X255" s="3"/>
      <c r="Y255" s="3"/>
      <c r="Z255" s="3"/>
      <c r="AB255" s="3"/>
      <c r="AC255" s="3"/>
      <c r="AD255" s="3"/>
      <c r="AE255" s="3"/>
      <c r="AF255" s="3"/>
      <c r="AG255" s="3"/>
      <c r="AH255" s="3"/>
      <c r="AI255" s="3"/>
      <c r="AK255" s="3"/>
      <c r="AL255" s="3"/>
      <c r="AM255" s="3"/>
      <c r="AN255" s="3"/>
      <c r="AO255" s="3"/>
      <c r="AP255" s="3"/>
      <c r="AQ255" s="3"/>
      <c r="AR255" s="3"/>
    </row>
    <row r="256" spans="1:44" ht="16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S256" s="3"/>
      <c r="T256" s="3"/>
      <c r="U256" s="3"/>
      <c r="V256" s="3"/>
      <c r="W256" s="3"/>
      <c r="X256" s="3"/>
      <c r="Y256" s="3"/>
      <c r="Z256" s="3"/>
      <c r="AB256" s="3"/>
      <c r="AC256" s="3"/>
      <c r="AD256" s="3"/>
      <c r="AE256" s="3"/>
      <c r="AF256" s="3"/>
      <c r="AG256" s="3"/>
      <c r="AH256" s="3"/>
      <c r="AI256" s="3"/>
      <c r="AK256" s="3"/>
      <c r="AL256" s="3"/>
      <c r="AM256" s="3"/>
      <c r="AN256" s="3"/>
      <c r="AO256" s="3"/>
      <c r="AP256" s="3"/>
      <c r="AQ256" s="3"/>
      <c r="AR256" s="3"/>
    </row>
    <row r="257" spans="1:44" ht="16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S257" s="3"/>
      <c r="T257" s="3"/>
      <c r="U257" s="3"/>
      <c r="V257" s="3"/>
      <c r="W257" s="3"/>
      <c r="X257" s="3"/>
      <c r="Y257" s="3"/>
      <c r="Z257" s="3"/>
      <c r="AB257" s="3"/>
      <c r="AC257" s="3"/>
      <c r="AD257" s="3"/>
      <c r="AE257" s="3"/>
      <c r="AF257" s="3"/>
      <c r="AG257" s="3"/>
      <c r="AH257" s="3"/>
      <c r="AI257" s="3"/>
      <c r="AK257" s="3"/>
      <c r="AL257" s="3"/>
      <c r="AM257" s="3"/>
      <c r="AN257" s="3"/>
      <c r="AO257" s="3"/>
      <c r="AP257" s="3"/>
      <c r="AQ257" s="3"/>
      <c r="AR257" s="3"/>
    </row>
    <row r="258" spans="1:44" ht="16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S258" s="3"/>
      <c r="T258" s="3"/>
      <c r="U258" s="3"/>
      <c r="V258" s="3"/>
      <c r="W258" s="3"/>
      <c r="X258" s="3"/>
      <c r="Y258" s="3"/>
      <c r="Z258" s="3"/>
      <c r="AB258" s="3"/>
      <c r="AC258" s="3"/>
      <c r="AD258" s="3"/>
      <c r="AE258" s="3"/>
      <c r="AF258" s="3"/>
      <c r="AG258" s="3"/>
      <c r="AH258" s="3"/>
      <c r="AI258" s="3"/>
      <c r="AK258" s="3"/>
      <c r="AL258" s="3"/>
      <c r="AM258" s="3"/>
      <c r="AN258" s="3"/>
      <c r="AO258" s="3"/>
      <c r="AP258" s="3"/>
      <c r="AQ258" s="3"/>
      <c r="AR258" s="3"/>
    </row>
    <row r="259" spans="1:44" ht="16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S259" s="3"/>
      <c r="T259" s="3"/>
      <c r="U259" s="3"/>
      <c r="V259" s="3"/>
      <c r="W259" s="3"/>
      <c r="X259" s="3"/>
      <c r="Y259" s="3"/>
      <c r="Z259" s="3"/>
      <c r="AB259" s="3"/>
      <c r="AC259" s="3"/>
      <c r="AD259" s="3"/>
      <c r="AE259" s="3"/>
      <c r="AF259" s="3"/>
      <c r="AG259" s="3"/>
      <c r="AH259" s="3"/>
      <c r="AI259" s="3"/>
      <c r="AK259" s="3"/>
      <c r="AL259" s="3"/>
      <c r="AM259" s="3"/>
      <c r="AN259" s="3"/>
      <c r="AO259" s="3"/>
      <c r="AP259" s="3"/>
      <c r="AQ259" s="3"/>
      <c r="AR259" s="3"/>
    </row>
    <row r="260" spans="1:44" ht="16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S260" s="3"/>
      <c r="T260" s="3"/>
      <c r="U260" s="3"/>
      <c r="V260" s="3"/>
      <c r="W260" s="3"/>
      <c r="X260" s="3"/>
      <c r="Y260" s="3"/>
      <c r="Z260" s="3"/>
      <c r="AB260" s="3"/>
      <c r="AC260" s="3"/>
      <c r="AD260" s="3"/>
      <c r="AE260" s="3"/>
      <c r="AF260" s="3"/>
      <c r="AG260" s="3"/>
      <c r="AH260" s="3"/>
      <c r="AI260" s="3"/>
      <c r="AK260" s="3"/>
      <c r="AL260" s="3"/>
      <c r="AM260" s="3"/>
      <c r="AN260" s="3"/>
      <c r="AO260" s="3"/>
      <c r="AP260" s="3"/>
      <c r="AQ260" s="3"/>
      <c r="AR260" s="3"/>
    </row>
    <row r="261" spans="1:44" ht="16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S261" s="3"/>
      <c r="T261" s="3"/>
      <c r="U261" s="3"/>
      <c r="V261" s="3"/>
      <c r="W261" s="3"/>
      <c r="X261" s="3"/>
      <c r="Y261" s="3"/>
      <c r="Z261" s="3"/>
      <c r="AB261" s="3"/>
      <c r="AC261" s="3"/>
      <c r="AD261" s="3"/>
      <c r="AE261" s="3"/>
      <c r="AF261" s="3"/>
      <c r="AG261" s="3"/>
      <c r="AH261" s="3"/>
      <c r="AI261" s="3"/>
      <c r="AK261" s="3"/>
      <c r="AL261" s="3"/>
      <c r="AM261" s="3"/>
      <c r="AN261" s="3"/>
      <c r="AO261" s="3"/>
      <c r="AP261" s="3"/>
      <c r="AQ261" s="3"/>
      <c r="AR261" s="3"/>
    </row>
    <row r="262" spans="1:44" ht="16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S262" s="3"/>
      <c r="T262" s="3"/>
      <c r="U262" s="3"/>
      <c r="V262" s="3"/>
      <c r="W262" s="3"/>
      <c r="X262" s="3"/>
      <c r="Y262" s="3"/>
      <c r="Z262" s="3"/>
      <c r="AB262" s="3"/>
      <c r="AC262" s="3"/>
      <c r="AD262" s="3"/>
      <c r="AE262" s="3"/>
      <c r="AF262" s="3"/>
      <c r="AG262" s="3"/>
      <c r="AH262" s="3"/>
      <c r="AI262" s="3"/>
      <c r="AK262" s="3"/>
      <c r="AL262" s="3"/>
      <c r="AM262" s="3"/>
      <c r="AN262" s="3"/>
      <c r="AO262" s="3"/>
      <c r="AP262" s="3"/>
      <c r="AQ262" s="3"/>
      <c r="AR262" s="3"/>
    </row>
    <row r="263" spans="1:44" ht="16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S263" s="3"/>
      <c r="T263" s="3"/>
      <c r="U263" s="3"/>
      <c r="V263" s="3"/>
      <c r="W263" s="3"/>
      <c r="X263" s="3"/>
      <c r="Y263" s="3"/>
      <c r="Z263" s="3"/>
      <c r="AB263" s="3"/>
      <c r="AC263" s="3"/>
      <c r="AD263" s="3"/>
      <c r="AE263" s="3"/>
      <c r="AF263" s="3"/>
      <c r="AG263" s="3"/>
      <c r="AH263" s="3"/>
      <c r="AI263" s="3"/>
      <c r="AK263" s="3"/>
      <c r="AL263" s="3"/>
      <c r="AM263" s="3"/>
      <c r="AN263" s="3"/>
      <c r="AO263" s="3"/>
      <c r="AP263" s="3"/>
      <c r="AQ263" s="3"/>
      <c r="AR263" s="3"/>
    </row>
    <row r="264" spans="1:44" ht="16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S264" s="3"/>
      <c r="T264" s="3"/>
      <c r="U264" s="3"/>
      <c r="V264" s="3"/>
      <c r="W264" s="3"/>
      <c r="X264" s="3"/>
      <c r="Y264" s="3"/>
      <c r="Z264" s="3"/>
      <c r="AB264" s="3"/>
      <c r="AC264" s="3"/>
      <c r="AD264" s="3"/>
      <c r="AE264" s="3"/>
      <c r="AF264" s="3"/>
      <c r="AG264" s="3"/>
      <c r="AH264" s="3"/>
      <c r="AI264" s="3"/>
      <c r="AK264" s="3"/>
      <c r="AL264" s="3"/>
      <c r="AM264" s="3"/>
      <c r="AN264" s="3"/>
      <c r="AO264" s="3"/>
      <c r="AP264" s="3"/>
      <c r="AQ264" s="3"/>
      <c r="AR264" s="3"/>
    </row>
    <row r="265" spans="1:44" ht="16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S265" s="3"/>
      <c r="T265" s="3"/>
      <c r="U265" s="3"/>
      <c r="V265" s="3"/>
      <c r="W265" s="3"/>
      <c r="X265" s="3"/>
      <c r="Y265" s="3"/>
      <c r="Z265" s="3"/>
      <c r="AB265" s="3"/>
      <c r="AC265" s="3"/>
      <c r="AD265" s="3"/>
      <c r="AE265" s="3"/>
      <c r="AF265" s="3"/>
      <c r="AG265" s="3"/>
      <c r="AH265" s="3"/>
      <c r="AI265" s="3"/>
      <c r="AK265" s="3"/>
      <c r="AL265" s="3"/>
      <c r="AM265" s="3"/>
      <c r="AN265" s="3"/>
      <c r="AO265" s="3"/>
      <c r="AP265" s="3"/>
      <c r="AQ265" s="3"/>
      <c r="AR265" s="3"/>
    </row>
    <row r="266" spans="1:44" ht="16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S266" s="3"/>
      <c r="T266" s="3"/>
      <c r="U266" s="3"/>
      <c r="V266" s="3"/>
      <c r="W266" s="3"/>
      <c r="X266" s="3"/>
      <c r="Y266" s="3"/>
      <c r="Z266" s="3"/>
      <c r="AB266" s="3"/>
      <c r="AC266" s="3"/>
      <c r="AD266" s="3"/>
      <c r="AE266" s="3"/>
      <c r="AF266" s="3"/>
      <c r="AG266" s="3"/>
      <c r="AH266" s="3"/>
      <c r="AI266" s="3"/>
      <c r="AK266" s="3"/>
      <c r="AL266" s="3"/>
      <c r="AM266" s="3"/>
      <c r="AN266" s="3"/>
      <c r="AO266" s="3"/>
      <c r="AP266" s="3"/>
      <c r="AQ266" s="3"/>
      <c r="AR266" s="3"/>
    </row>
    <row r="267" spans="1:44" ht="16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S267" s="3"/>
      <c r="T267" s="3"/>
      <c r="U267" s="3"/>
      <c r="V267" s="3"/>
      <c r="W267" s="3"/>
      <c r="X267" s="3"/>
      <c r="Y267" s="3"/>
      <c r="Z267" s="3"/>
      <c r="AB267" s="3"/>
      <c r="AC267" s="3"/>
      <c r="AD267" s="3"/>
      <c r="AE267" s="3"/>
      <c r="AF267" s="3"/>
      <c r="AG267" s="3"/>
      <c r="AH267" s="3"/>
      <c r="AI267" s="3"/>
      <c r="AK267" s="3"/>
      <c r="AL267" s="3"/>
      <c r="AM267" s="3"/>
      <c r="AN267" s="3"/>
      <c r="AO267" s="3"/>
      <c r="AP267" s="3"/>
      <c r="AQ267" s="3"/>
      <c r="AR267" s="3"/>
    </row>
    <row r="268" spans="1:44" ht="16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S268" s="3"/>
      <c r="T268" s="3"/>
      <c r="U268" s="3"/>
      <c r="V268" s="3"/>
      <c r="W268" s="3"/>
      <c r="X268" s="3"/>
      <c r="Y268" s="3"/>
      <c r="Z268" s="3"/>
      <c r="AB268" s="3"/>
      <c r="AC268" s="3"/>
      <c r="AD268" s="3"/>
      <c r="AE268" s="3"/>
      <c r="AF268" s="3"/>
      <c r="AG268" s="3"/>
      <c r="AH268" s="3"/>
      <c r="AI268" s="3"/>
      <c r="AK268" s="3"/>
      <c r="AL268" s="3"/>
      <c r="AM268" s="3"/>
      <c r="AN268" s="3"/>
      <c r="AO268" s="3"/>
      <c r="AP268" s="3"/>
      <c r="AQ268" s="3"/>
      <c r="AR268" s="3"/>
    </row>
    <row r="269" spans="1:44" ht="16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S269" s="3"/>
      <c r="T269" s="3"/>
      <c r="U269" s="3"/>
      <c r="V269" s="3"/>
      <c r="W269" s="3"/>
      <c r="X269" s="3"/>
      <c r="Y269" s="3"/>
      <c r="Z269" s="3"/>
      <c r="AB269" s="3"/>
      <c r="AC269" s="3"/>
      <c r="AD269" s="3"/>
      <c r="AE269" s="3"/>
      <c r="AF269" s="3"/>
      <c r="AG269" s="3"/>
      <c r="AH269" s="3"/>
      <c r="AI269" s="3"/>
      <c r="AK269" s="3"/>
      <c r="AL269" s="3"/>
      <c r="AM269" s="3"/>
      <c r="AN269" s="3"/>
      <c r="AO269" s="3"/>
      <c r="AP269" s="3"/>
      <c r="AQ269" s="3"/>
      <c r="AR269" s="3"/>
    </row>
    <row r="270" spans="1:44" ht="16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S270" s="3"/>
      <c r="T270" s="3"/>
      <c r="U270" s="3"/>
      <c r="V270" s="3"/>
      <c r="W270" s="3"/>
      <c r="X270" s="3"/>
      <c r="Y270" s="3"/>
      <c r="Z270" s="3"/>
      <c r="AB270" s="3"/>
      <c r="AC270" s="3"/>
      <c r="AD270" s="3"/>
      <c r="AE270" s="3"/>
      <c r="AF270" s="3"/>
      <c r="AG270" s="3"/>
      <c r="AH270" s="3"/>
      <c r="AI270" s="3"/>
      <c r="AK270" s="3"/>
      <c r="AL270" s="3"/>
      <c r="AM270" s="3"/>
      <c r="AN270" s="3"/>
      <c r="AO270" s="3"/>
      <c r="AP270" s="3"/>
      <c r="AQ270" s="3"/>
      <c r="AR270" s="3"/>
    </row>
    <row r="271" spans="1:44" ht="16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S271" s="3"/>
      <c r="T271" s="3"/>
      <c r="U271" s="3"/>
      <c r="V271" s="3"/>
      <c r="W271" s="3"/>
      <c r="X271" s="3"/>
      <c r="Y271" s="3"/>
      <c r="Z271" s="3"/>
      <c r="AB271" s="3"/>
      <c r="AC271" s="3"/>
      <c r="AD271" s="3"/>
      <c r="AE271" s="3"/>
      <c r="AF271" s="3"/>
      <c r="AG271" s="3"/>
      <c r="AH271" s="3"/>
      <c r="AI271" s="3"/>
      <c r="AK271" s="3"/>
      <c r="AL271" s="3"/>
      <c r="AM271" s="3"/>
      <c r="AN271" s="3"/>
      <c r="AO271" s="3"/>
      <c r="AP271" s="3"/>
      <c r="AQ271" s="3"/>
      <c r="AR271" s="3"/>
    </row>
    <row r="272" spans="1:44" ht="16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S272" s="3"/>
      <c r="T272" s="3"/>
      <c r="U272" s="3"/>
      <c r="V272" s="3"/>
      <c r="W272" s="3"/>
      <c r="X272" s="3"/>
      <c r="Y272" s="3"/>
      <c r="Z272" s="3"/>
      <c r="AB272" s="3"/>
      <c r="AC272" s="3"/>
      <c r="AD272" s="3"/>
      <c r="AE272" s="3"/>
      <c r="AF272" s="3"/>
      <c r="AG272" s="3"/>
      <c r="AH272" s="3"/>
      <c r="AI272" s="3"/>
      <c r="AK272" s="3"/>
      <c r="AL272" s="3"/>
      <c r="AM272" s="3"/>
      <c r="AN272" s="3"/>
      <c r="AO272" s="3"/>
      <c r="AP272" s="3"/>
      <c r="AQ272" s="3"/>
      <c r="AR272" s="3"/>
    </row>
    <row r="273" spans="1:44" ht="16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S273" s="3"/>
      <c r="T273" s="3"/>
      <c r="U273" s="3"/>
      <c r="V273" s="3"/>
      <c r="W273" s="3"/>
      <c r="X273" s="3"/>
      <c r="Y273" s="3"/>
      <c r="Z273" s="3"/>
      <c r="AB273" s="3"/>
      <c r="AC273" s="3"/>
      <c r="AD273" s="3"/>
      <c r="AE273" s="3"/>
      <c r="AF273" s="3"/>
      <c r="AG273" s="3"/>
      <c r="AH273" s="3"/>
      <c r="AI273" s="3"/>
      <c r="AK273" s="3"/>
      <c r="AL273" s="3"/>
      <c r="AM273" s="3"/>
      <c r="AN273" s="3"/>
      <c r="AO273" s="3"/>
      <c r="AP273" s="3"/>
      <c r="AQ273" s="3"/>
      <c r="AR273" s="3"/>
    </row>
    <row r="274" spans="1:44" ht="16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S274" s="3"/>
      <c r="T274" s="3"/>
      <c r="U274" s="3"/>
      <c r="V274" s="3"/>
      <c r="W274" s="3"/>
      <c r="X274" s="3"/>
      <c r="Y274" s="3"/>
      <c r="Z274" s="3"/>
      <c r="AB274" s="3"/>
      <c r="AC274" s="3"/>
      <c r="AD274" s="3"/>
      <c r="AE274" s="3"/>
      <c r="AF274" s="3"/>
      <c r="AG274" s="3"/>
      <c r="AH274" s="3"/>
      <c r="AI274" s="3"/>
      <c r="AK274" s="3"/>
      <c r="AL274" s="3"/>
      <c r="AM274" s="3"/>
      <c r="AN274" s="3"/>
      <c r="AO274" s="3"/>
      <c r="AP274" s="3"/>
      <c r="AQ274" s="3"/>
      <c r="AR274" s="3"/>
    </row>
    <row r="275" spans="1:44" ht="16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S275" s="3"/>
      <c r="T275" s="3"/>
      <c r="U275" s="3"/>
      <c r="V275" s="3"/>
      <c r="W275" s="3"/>
      <c r="X275" s="3"/>
      <c r="Y275" s="3"/>
      <c r="Z275" s="3"/>
      <c r="AB275" s="3"/>
      <c r="AC275" s="3"/>
      <c r="AD275" s="3"/>
      <c r="AE275" s="3"/>
      <c r="AF275" s="3"/>
      <c r="AG275" s="3"/>
      <c r="AH275" s="3"/>
      <c r="AI275" s="3"/>
      <c r="AK275" s="3"/>
      <c r="AL275" s="3"/>
      <c r="AM275" s="3"/>
      <c r="AN275" s="3"/>
      <c r="AO275" s="3"/>
      <c r="AP275" s="3"/>
      <c r="AQ275" s="3"/>
      <c r="AR275" s="3"/>
    </row>
    <row r="276" spans="1:44" ht="16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S276" s="3"/>
      <c r="T276" s="3"/>
      <c r="U276" s="3"/>
      <c r="V276" s="3"/>
      <c r="W276" s="3"/>
      <c r="X276" s="3"/>
      <c r="Y276" s="3"/>
      <c r="Z276" s="3"/>
      <c r="AB276" s="3"/>
      <c r="AC276" s="3"/>
      <c r="AD276" s="3"/>
      <c r="AE276" s="3"/>
      <c r="AF276" s="3"/>
      <c r="AG276" s="3"/>
      <c r="AH276" s="3"/>
      <c r="AI276" s="3"/>
      <c r="AK276" s="3"/>
      <c r="AL276" s="3"/>
      <c r="AM276" s="3"/>
      <c r="AN276" s="3"/>
      <c r="AO276" s="3"/>
      <c r="AP276" s="3"/>
      <c r="AQ276" s="3"/>
      <c r="AR276" s="3"/>
    </row>
    <row r="277" spans="1:44" ht="16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S277" s="3"/>
      <c r="T277" s="3"/>
      <c r="U277" s="3"/>
      <c r="V277" s="3"/>
      <c r="W277" s="3"/>
      <c r="X277" s="3"/>
      <c r="Y277" s="3"/>
      <c r="Z277" s="3"/>
      <c r="AB277" s="3"/>
      <c r="AC277" s="3"/>
      <c r="AD277" s="3"/>
      <c r="AE277" s="3"/>
      <c r="AF277" s="3"/>
      <c r="AG277" s="3"/>
      <c r="AH277" s="3"/>
      <c r="AI277" s="3"/>
      <c r="AK277" s="3"/>
      <c r="AL277" s="3"/>
      <c r="AM277" s="3"/>
      <c r="AN277" s="3"/>
      <c r="AO277" s="3"/>
      <c r="AP277" s="3"/>
      <c r="AQ277" s="3"/>
      <c r="AR277" s="3"/>
    </row>
    <row r="278" spans="1:44" ht="16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S278" s="3"/>
      <c r="T278" s="3"/>
      <c r="U278" s="3"/>
      <c r="V278" s="3"/>
      <c r="W278" s="3"/>
      <c r="X278" s="3"/>
      <c r="Y278" s="3"/>
      <c r="Z278" s="3"/>
      <c r="AB278" s="3"/>
      <c r="AC278" s="3"/>
      <c r="AD278" s="3"/>
      <c r="AE278" s="3"/>
      <c r="AF278" s="3"/>
      <c r="AG278" s="3"/>
      <c r="AH278" s="3"/>
      <c r="AI278" s="3"/>
      <c r="AK278" s="3"/>
      <c r="AL278" s="3"/>
      <c r="AM278" s="3"/>
      <c r="AN278" s="3"/>
      <c r="AO278" s="3"/>
      <c r="AP278" s="3"/>
      <c r="AQ278" s="3"/>
      <c r="AR278" s="3"/>
    </row>
    <row r="279" spans="1:44" ht="16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S279" s="3"/>
      <c r="T279" s="3"/>
      <c r="U279" s="3"/>
      <c r="V279" s="3"/>
      <c r="W279" s="3"/>
      <c r="X279" s="3"/>
      <c r="Y279" s="3"/>
      <c r="Z279" s="3"/>
      <c r="AB279" s="3"/>
      <c r="AC279" s="3"/>
      <c r="AD279" s="3"/>
      <c r="AE279" s="3"/>
      <c r="AF279" s="3"/>
      <c r="AG279" s="3"/>
      <c r="AH279" s="3"/>
      <c r="AI279" s="3"/>
      <c r="AK279" s="3"/>
      <c r="AL279" s="3"/>
      <c r="AM279" s="3"/>
      <c r="AN279" s="3"/>
      <c r="AO279" s="3"/>
      <c r="AP279" s="3"/>
      <c r="AQ279" s="3"/>
      <c r="AR279" s="3"/>
    </row>
    <row r="280" spans="1:44" ht="16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S280" s="3"/>
      <c r="T280" s="3"/>
      <c r="U280" s="3"/>
      <c r="V280" s="3"/>
      <c r="W280" s="3"/>
      <c r="X280" s="3"/>
      <c r="Y280" s="3"/>
      <c r="Z280" s="3"/>
      <c r="AB280" s="3"/>
      <c r="AC280" s="3"/>
      <c r="AD280" s="3"/>
      <c r="AE280" s="3"/>
      <c r="AF280" s="3"/>
      <c r="AG280" s="3"/>
      <c r="AH280" s="3"/>
      <c r="AI280" s="3"/>
      <c r="AK280" s="3"/>
      <c r="AL280" s="3"/>
      <c r="AM280" s="3"/>
      <c r="AN280" s="3"/>
      <c r="AO280" s="3"/>
      <c r="AP280" s="3"/>
      <c r="AQ280" s="3"/>
      <c r="AR280" s="3"/>
    </row>
    <row r="281" spans="1:44" ht="16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S281" s="3"/>
      <c r="T281" s="3"/>
      <c r="U281" s="3"/>
      <c r="V281" s="3"/>
      <c r="W281" s="3"/>
      <c r="X281" s="3"/>
      <c r="Y281" s="3"/>
      <c r="Z281" s="3"/>
      <c r="AB281" s="3"/>
      <c r="AC281" s="3"/>
      <c r="AD281" s="3"/>
      <c r="AE281" s="3"/>
      <c r="AF281" s="3"/>
      <c r="AG281" s="3"/>
      <c r="AH281" s="3"/>
      <c r="AI281" s="3"/>
      <c r="AK281" s="3"/>
      <c r="AL281" s="3"/>
      <c r="AM281" s="3"/>
      <c r="AN281" s="3"/>
      <c r="AO281" s="3"/>
      <c r="AP281" s="3"/>
      <c r="AQ281" s="3"/>
      <c r="AR281" s="3"/>
    </row>
    <row r="282" spans="1:44" ht="16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S282" s="3"/>
      <c r="T282" s="3"/>
      <c r="U282" s="3"/>
      <c r="V282" s="3"/>
      <c r="W282" s="3"/>
      <c r="X282" s="3"/>
      <c r="Y282" s="3"/>
      <c r="Z282" s="3"/>
      <c r="AB282" s="3"/>
      <c r="AC282" s="3"/>
      <c r="AD282" s="3"/>
      <c r="AE282" s="3"/>
      <c r="AF282" s="3"/>
      <c r="AG282" s="3"/>
      <c r="AH282" s="3"/>
      <c r="AI282" s="3"/>
      <c r="AK282" s="3"/>
      <c r="AL282" s="3"/>
      <c r="AM282" s="3"/>
      <c r="AN282" s="3"/>
      <c r="AO282" s="3"/>
      <c r="AP282" s="3"/>
      <c r="AQ282" s="3"/>
      <c r="AR282" s="3"/>
    </row>
    <row r="283" spans="1:44" ht="16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S283" s="3"/>
      <c r="T283" s="3"/>
      <c r="U283" s="3"/>
      <c r="V283" s="3"/>
      <c r="W283" s="3"/>
      <c r="X283" s="3"/>
      <c r="Y283" s="3"/>
      <c r="Z283" s="3"/>
      <c r="AB283" s="3"/>
      <c r="AC283" s="3"/>
      <c r="AD283" s="3"/>
      <c r="AE283" s="3"/>
      <c r="AF283" s="3"/>
      <c r="AG283" s="3"/>
      <c r="AH283" s="3"/>
      <c r="AI283" s="3"/>
      <c r="AK283" s="3"/>
      <c r="AL283" s="3"/>
      <c r="AM283" s="3"/>
      <c r="AN283" s="3"/>
      <c r="AO283" s="3"/>
      <c r="AP283" s="3"/>
      <c r="AQ283" s="3"/>
      <c r="AR283" s="3"/>
    </row>
    <row r="284" spans="1:44" ht="16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S284" s="3"/>
      <c r="T284" s="3"/>
      <c r="U284" s="3"/>
      <c r="V284" s="3"/>
      <c r="W284" s="3"/>
      <c r="X284" s="3"/>
      <c r="Y284" s="3"/>
      <c r="Z284" s="3"/>
      <c r="AB284" s="3"/>
      <c r="AC284" s="3"/>
      <c r="AD284" s="3"/>
      <c r="AE284" s="3"/>
      <c r="AF284" s="3"/>
      <c r="AG284" s="3"/>
      <c r="AH284" s="3"/>
      <c r="AI284" s="3"/>
      <c r="AK284" s="3"/>
      <c r="AL284" s="3"/>
      <c r="AM284" s="3"/>
      <c r="AN284" s="3"/>
      <c r="AO284" s="3"/>
      <c r="AP284" s="3"/>
      <c r="AQ284" s="3"/>
      <c r="AR284" s="3"/>
    </row>
    <row r="285" spans="1:44" ht="16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S285" s="3"/>
      <c r="T285" s="3"/>
      <c r="U285" s="3"/>
      <c r="V285" s="3"/>
      <c r="W285" s="3"/>
      <c r="X285" s="3"/>
      <c r="Y285" s="3"/>
      <c r="Z285" s="3"/>
      <c r="AB285" s="3"/>
      <c r="AC285" s="3"/>
      <c r="AD285" s="3"/>
      <c r="AE285" s="3"/>
      <c r="AF285" s="3"/>
      <c r="AG285" s="3"/>
      <c r="AH285" s="3"/>
      <c r="AI285" s="3"/>
      <c r="AK285" s="3"/>
      <c r="AL285" s="3"/>
      <c r="AM285" s="3"/>
      <c r="AN285" s="3"/>
      <c r="AO285" s="3"/>
      <c r="AP285" s="3"/>
      <c r="AQ285" s="3"/>
      <c r="AR285" s="3"/>
    </row>
    <row r="286" spans="1:44" ht="16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S286" s="3"/>
      <c r="T286" s="3"/>
      <c r="U286" s="3"/>
      <c r="V286" s="3"/>
      <c r="W286" s="3"/>
      <c r="X286" s="3"/>
      <c r="Y286" s="3"/>
      <c r="Z286" s="3"/>
      <c r="AB286" s="3"/>
      <c r="AC286" s="3"/>
      <c r="AD286" s="3"/>
      <c r="AE286" s="3"/>
      <c r="AF286" s="3"/>
      <c r="AG286" s="3"/>
      <c r="AH286" s="3"/>
      <c r="AI286" s="3"/>
      <c r="AK286" s="3"/>
      <c r="AL286" s="3"/>
      <c r="AM286" s="3"/>
      <c r="AN286" s="3"/>
      <c r="AO286" s="3"/>
      <c r="AP286" s="3"/>
      <c r="AQ286" s="3"/>
      <c r="AR286" s="3"/>
    </row>
    <row r="287" spans="1:44" ht="16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S287" s="3"/>
      <c r="T287" s="3"/>
      <c r="U287" s="3"/>
      <c r="V287" s="3"/>
      <c r="W287" s="3"/>
      <c r="X287" s="3"/>
      <c r="Y287" s="3"/>
      <c r="Z287" s="3"/>
      <c r="AB287" s="3"/>
      <c r="AC287" s="3"/>
      <c r="AD287" s="3"/>
      <c r="AE287" s="3"/>
      <c r="AF287" s="3"/>
      <c r="AG287" s="3"/>
      <c r="AH287" s="3"/>
      <c r="AI287" s="3"/>
      <c r="AK287" s="3"/>
      <c r="AL287" s="3"/>
      <c r="AM287" s="3"/>
      <c r="AN287" s="3"/>
      <c r="AO287" s="3"/>
      <c r="AP287" s="3"/>
      <c r="AQ287" s="3"/>
      <c r="AR287" s="3"/>
    </row>
    <row r="288" spans="1:44" ht="16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S288" s="3"/>
      <c r="T288" s="3"/>
      <c r="U288" s="3"/>
      <c r="V288" s="3"/>
      <c r="W288" s="3"/>
      <c r="X288" s="3"/>
      <c r="Y288" s="3"/>
      <c r="Z288" s="3"/>
      <c r="AB288" s="3"/>
      <c r="AC288" s="3"/>
      <c r="AD288" s="3"/>
      <c r="AE288" s="3"/>
      <c r="AF288" s="3"/>
      <c r="AG288" s="3"/>
      <c r="AH288" s="3"/>
      <c r="AI288" s="3"/>
      <c r="AK288" s="3"/>
      <c r="AL288" s="3"/>
      <c r="AM288" s="3"/>
      <c r="AN288" s="3"/>
      <c r="AO288" s="3"/>
      <c r="AP288" s="3"/>
      <c r="AQ288" s="3"/>
      <c r="AR288" s="3"/>
    </row>
    <row r="289" spans="1:44" ht="16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S289" s="3"/>
      <c r="T289" s="3"/>
      <c r="U289" s="3"/>
      <c r="V289" s="3"/>
      <c r="W289" s="3"/>
      <c r="X289" s="3"/>
      <c r="Y289" s="3"/>
      <c r="Z289" s="3"/>
      <c r="AB289" s="3"/>
      <c r="AC289" s="3"/>
      <c r="AD289" s="3"/>
      <c r="AE289" s="3"/>
      <c r="AF289" s="3"/>
      <c r="AG289" s="3"/>
      <c r="AH289" s="3"/>
      <c r="AI289" s="3"/>
      <c r="AK289" s="3"/>
      <c r="AL289" s="3"/>
      <c r="AM289" s="3"/>
      <c r="AN289" s="3"/>
      <c r="AO289" s="3"/>
      <c r="AP289" s="3"/>
      <c r="AQ289" s="3"/>
      <c r="AR289" s="3"/>
    </row>
    <row r="290" spans="1:44" ht="16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S290" s="3"/>
      <c r="T290" s="3"/>
      <c r="U290" s="3"/>
      <c r="V290" s="3"/>
      <c r="W290" s="3"/>
      <c r="X290" s="3"/>
      <c r="Y290" s="3"/>
      <c r="Z290" s="3"/>
      <c r="AB290" s="3"/>
      <c r="AC290" s="3"/>
      <c r="AD290" s="3"/>
      <c r="AE290" s="3"/>
      <c r="AF290" s="3"/>
      <c r="AG290" s="3"/>
      <c r="AH290" s="3"/>
      <c r="AI290" s="3"/>
      <c r="AK290" s="3"/>
      <c r="AL290" s="3"/>
      <c r="AM290" s="3"/>
      <c r="AN290" s="3"/>
      <c r="AO290" s="3"/>
      <c r="AP290" s="3"/>
      <c r="AQ290" s="3"/>
      <c r="AR290" s="3"/>
    </row>
    <row r="291" spans="1:44" ht="16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S291" s="3"/>
      <c r="T291" s="3"/>
      <c r="U291" s="3"/>
      <c r="V291" s="3"/>
      <c r="W291" s="3"/>
      <c r="X291" s="3"/>
      <c r="Y291" s="3"/>
      <c r="Z291" s="3"/>
      <c r="AB291" s="3"/>
      <c r="AC291" s="3"/>
      <c r="AD291" s="3"/>
      <c r="AE291" s="3"/>
      <c r="AF291" s="3"/>
      <c r="AG291" s="3"/>
      <c r="AH291" s="3"/>
      <c r="AI291" s="3"/>
      <c r="AK291" s="3"/>
      <c r="AL291" s="3"/>
      <c r="AM291" s="3"/>
      <c r="AN291" s="3"/>
      <c r="AO291" s="3"/>
      <c r="AP291" s="3"/>
      <c r="AQ291" s="3"/>
      <c r="AR291" s="3"/>
    </row>
    <row r="292" spans="1:44" ht="16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S292" s="3"/>
      <c r="T292" s="3"/>
      <c r="U292" s="3"/>
      <c r="V292" s="3"/>
      <c r="W292" s="3"/>
      <c r="X292" s="3"/>
      <c r="Y292" s="3"/>
      <c r="Z292" s="3"/>
      <c r="AB292" s="3"/>
      <c r="AC292" s="3"/>
      <c r="AD292" s="3"/>
      <c r="AE292" s="3"/>
      <c r="AF292" s="3"/>
      <c r="AG292" s="3"/>
      <c r="AH292" s="3"/>
      <c r="AI292" s="3"/>
      <c r="AK292" s="3"/>
      <c r="AL292" s="3"/>
      <c r="AM292" s="3"/>
      <c r="AN292" s="3"/>
      <c r="AO292" s="3"/>
      <c r="AP292" s="3"/>
      <c r="AQ292" s="3"/>
      <c r="AR292" s="3"/>
    </row>
    <row r="293" spans="1:44" ht="16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S293" s="3"/>
      <c r="T293" s="3"/>
      <c r="U293" s="3"/>
      <c r="V293" s="3"/>
      <c r="W293" s="3"/>
      <c r="X293" s="3"/>
      <c r="Y293" s="3"/>
      <c r="Z293" s="3"/>
      <c r="AB293" s="3"/>
      <c r="AC293" s="3"/>
      <c r="AD293" s="3"/>
      <c r="AE293" s="3"/>
      <c r="AF293" s="3"/>
      <c r="AG293" s="3"/>
      <c r="AH293" s="3"/>
      <c r="AI293" s="3"/>
      <c r="AK293" s="3"/>
      <c r="AL293" s="3"/>
      <c r="AM293" s="3"/>
      <c r="AN293" s="3"/>
      <c r="AO293" s="3"/>
      <c r="AP293" s="3"/>
      <c r="AQ293" s="3"/>
      <c r="AR293" s="3"/>
    </row>
    <row r="294" spans="1:44" ht="16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S294" s="3"/>
      <c r="T294" s="3"/>
      <c r="U294" s="3"/>
      <c r="V294" s="3"/>
      <c r="W294" s="3"/>
      <c r="X294" s="3"/>
      <c r="Y294" s="3"/>
      <c r="Z294" s="3"/>
      <c r="AB294" s="3"/>
      <c r="AC294" s="3"/>
      <c r="AD294" s="3"/>
      <c r="AE294" s="3"/>
      <c r="AF294" s="3"/>
      <c r="AG294" s="3"/>
      <c r="AH294" s="3"/>
      <c r="AI294" s="3"/>
      <c r="AK294" s="3"/>
      <c r="AL294" s="3"/>
      <c r="AM294" s="3"/>
      <c r="AN294" s="3"/>
      <c r="AO294" s="3"/>
      <c r="AP294" s="3"/>
      <c r="AQ294" s="3"/>
      <c r="AR294" s="3"/>
    </row>
    <row r="295" spans="1:44" ht="16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S295" s="3"/>
      <c r="T295" s="3"/>
      <c r="U295" s="3"/>
      <c r="V295" s="3"/>
      <c r="W295" s="3"/>
      <c r="X295" s="3"/>
      <c r="Y295" s="3"/>
      <c r="Z295" s="3"/>
      <c r="AB295" s="3"/>
      <c r="AC295" s="3"/>
      <c r="AD295" s="3"/>
      <c r="AE295" s="3"/>
      <c r="AF295" s="3"/>
      <c r="AG295" s="3"/>
      <c r="AH295" s="3"/>
      <c r="AI295" s="3"/>
      <c r="AK295" s="3"/>
      <c r="AL295" s="3"/>
      <c r="AM295" s="3"/>
      <c r="AN295" s="3"/>
      <c r="AO295" s="3"/>
      <c r="AP295" s="3"/>
      <c r="AQ295" s="3"/>
      <c r="AR295" s="3"/>
    </row>
    <row r="296" spans="1:44" ht="16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S296" s="3"/>
      <c r="T296" s="3"/>
      <c r="U296" s="3"/>
      <c r="V296" s="3"/>
      <c r="W296" s="3"/>
      <c r="X296" s="3"/>
      <c r="Y296" s="3"/>
      <c r="Z296" s="3"/>
      <c r="AB296" s="3"/>
      <c r="AC296" s="3"/>
      <c r="AD296" s="3"/>
      <c r="AE296" s="3"/>
      <c r="AF296" s="3"/>
      <c r="AG296" s="3"/>
      <c r="AH296" s="3"/>
      <c r="AI296" s="3"/>
      <c r="AK296" s="3"/>
      <c r="AL296" s="3"/>
      <c r="AM296" s="3"/>
      <c r="AN296" s="3"/>
      <c r="AO296" s="3"/>
      <c r="AP296" s="3"/>
      <c r="AQ296" s="3"/>
      <c r="AR296" s="3"/>
    </row>
    <row r="297" spans="1:44" ht="16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S297" s="3"/>
      <c r="T297" s="3"/>
      <c r="U297" s="3"/>
      <c r="V297" s="3"/>
      <c r="W297" s="3"/>
      <c r="X297" s="3"/>
      <c r="Y297" s="3"/>
      <c r="Z297" s="3"/>
      <c r="AB297" s="3"/>
      <c r="AC297" s="3"/>
      <c r="AD297" s="3"/>
      <c r="AE297" s="3"/>
      <c r="AF297" s="3"/>
      <c r="AG297" s="3"/>
      <c r="AH297" s="3"/>
      <c r="AI297" s="3"/>
      <c r="AK297" s="3"/>
      <c r="AL297" s="3"/>
      <c r="AM297" s="3"/>
      <c r="AN297" s="3"/>
      <c r="AO297" s="3"/>
      <c r="AP297" s="3"/>
      <c r="AQ297" s="3"/>
      <c r="AR297" s="3"/>
    </row>
    <row r="298" spans="1:44" ht="16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S298" s="3"/>
      <c r="T298" s="3"/>
      <c r="U298" s="3"/>
      <c r="V298" s="3"/>
      <c r="W298" s="3"/>
      <c r="X298" s="3"/>
      <c r="Y298" s="3"/>
      <c r="Z298" s="3"/>
      <c r="AB298" s="3"/>
      <c r="AC298" s="3"/>
      <c r="AD298" s="3"/>
      <c r="AE298" s="3"/>
      <c r="AF298" s="3"/>
      <c r="AG298" s="3"/>
      <c r="AH298" s="3"/>
      <c r="AI298" s="3"/>
      <c r="AK298" s="3"/>
      <c r="AL298" s="3"/>
      <c r="AM298" s="3"/>
      <c r="AN298" s="3"/>
      <c r="AO298" s="3"/>
      <c r="AP298" s="3"/>
      <c r="AQ298" s="3"/>
      <c r="AR298" s="3"/>
    </row>
    <row r="299" spans="1:44" ht="16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S299" s="3"/>
      <c r="T299" s="3"/>
      <c r="U299" s="3"/>
      <c r="V299" s="3"/>
      <c r="W299" s="3"/>
      <c r="X299" s="3"/>
      <c r="Y299" s="3"/>
      <c r="Z299" s="3"/>
      <c r="AB299" s="3"/>
      <c r="AC299" s="3"/>
      <c r="AD299" s="3"/>
      <c r="AE299" s="3"/>
      <c r="AF299" s="3"/>
      <c r="AG299" s="3"/>
      <c r="AH299" s="3"/>
      <c r="AI299" s="3"/>
      <c r="AK299" s="3"/>
      <c r="AL299" s="3"/>
      <c r="AM299" s="3"/>
      <c r="AN299" s="3"/>
      <c r="AO299" s="3"/>
      <c r="AP299" s="3"/>
      <c r="AQ299" s="3"/>
      <c r="AR299" s="3"/>
    </row>
    <row r="300" spans="1:44" ht="16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S300" s="3"/>
      <c r="T300" s="3"/>
      <c r="U300" s="3"/>
      <c r="V300" s="3"/>
      <c r="W300" s="3"/>
      <c r="X300" s="3"/>
      <c r="Y300" s="3"/>
      <c r="Z300" s="3"/>
      <c r="AB300" s="3"/>
      <c r="AC300" s="3"/>
      <c r="AD300" s="3"/>
      <c r="AE300" s="3"/>
      <c r="AF300" s="3"/>
      <c r="AG300" s="3"/>
      <c r="AH300" s="3"/>
      <c r="AI300" s="3"/>
      <c r="AK300" s="3"/>
      <c r="AL300" s="3"/>
      <c r="AM300" s="3"/>
      <c r="AN300" s="3"/>
      <c r="AO300" s="3"/>
      <c r="AP300" s="3"/>
      <c r="AQ300" s="3"/>
      <c r="AR300" s="3"/>
    </row>
    <row r="301" spans="1:44" ht="16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S301" s="3"/>
      <c r="T301" s="3"/>
      <c r="U301" s="3"/>
      <c r="V301" s="3"/>
      <c r="W301" s="3"/>
      <c r="X301" s="3"/>
      <c r="Y301" s="3"/>
      <c r="Z301" s="3"/>
      <c r="AB301" s="3"/>
      <c r="AC301" s="3"/>
      <c r="AD301" s="3"/>
      <c r="AE301" s="3"/>
      <c r="AF301" s="3"/>
      <c r="AG301" s="3"/>
      <c r="AH301" s="3"/>
      <c r="AI301" s="3"/>
      <c r="AK301" s="3"/>
      <c r="AL301" s="3"/>
      <c r="AM301" s="3"/>
      <c r="AN301" s="3"/>
      <c r="AO301" s="3"/>
      <c r="AP301" s="3"/>
      <c r="AQ301" s="3"/>
      <c r="AR301" s="3"/>
    </row>
    <row r="302" spans="1:44" ht="16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S302" s="3"/>
      <c r="T302" s="3"/>
      <c r="U302" s="3"/>
      <c r="V302" s="3"/>
      <c r="W302" s="3"/>
      <c r="X302" s="3"/>
      <c r="Y302" s="3"/>
      <c r="Z302" s="3"/>
      <c r="AB302" s="3"/>
      <c r="AC302" s="3"/>
      <c r="AD302" s="3"/>
      <c r="AE302" s="3"/>
      <c r="AF302" s="3"/>
      <c r="AG302" s="3"/>
      <c r="AH302" s="3"/>
      <c r="AI302" s="3"/>
      <c r="AK302" s="3"/>
      <c r="AL302" s="3"/>
      <c r="AM302" s="3"/>
      <c r="AN302" s="3"/>
      <c r="AO302" s="3"/>
      <c r="AP302" s="3"/>
      <c r="AQ302" s="3"/>
      <c r="AR302" s="3"/>
    </row>
    <row r="303" spans="1:44" ht="16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S303" s="3"/>
      <c r="T303" s="3"/>
      <c r="U303" s="3"/>
      <c r="V303" s="3"/>
      <c r="W303" s="3"/>
      <c r="X303" s="3"/>
      <c r="Y303" s="3"/>
      <c r="Z303" s="3"/>
      <c r="AB303" s="3"/>
      <c r="AC303" s="3"/>
      <c r="AD303" s="3"/>
      <c r="AE303" s="3"/>
      <c r="AF303" s="3"/>
      <c r="AG303" s="3"/>
      <c r="AH303" s="3"/>
      <c r="AI303" s="3"/>
      <c r="AK303" s="3"/>
      <c r="AL303" s="3"/>
      <c r="AM303" s="3"/>
      <c r="AN303" s="3"/>
      <c r="AO303" s="3"/>
      <c r="AP303" s="3"/>
      <c r="AQ303" s="3"/>
      <c r="AR303" s="3"/>
    </row>
    <row r="304" spans="1:44" ht="16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S304" s="3"/>
      <c r="T304" s="3"/>
      <c r="U304" s="3"/>
      <c r="V304" s="3"/>
      <c r="W304" s="3"/>
      <c r="X304" s="3"/>
      <c r="Y304" s="3"/>
      <c r="Z304" s="3"/>
      <c r="AB304" s="3"/>
      <c r="AC304" s="3"/>
      <c r="AD304" s="3"/>
      <c r="AE304" s="3"/>
      <c r="AF304" s="3"/>
      <c r="AG304" s="3"/>
      <c r="AH304" s="3"/>
      <c r="AI304" s="3"/>
      <c r="AK304" s="3"/>
      <c r="AL304" s="3"/>
      <c r="AM304" s="3"/>
      <c r="AN304" s="3"/>
      <c r="AO304" s="3"/>
      <c r="AP304" s="3"/>
      <c r="AQ304" s="3"/>
      <c r="AR304" s="3"/>
    </row>
    <row r="305" spans="1:44" ht="16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S305" s="3"/>
      <c r="T305" s="3"/>
      <c r="U305" s="3"/>
      <c r="V305" s="3"/>
      <c r="W305" s="3"/>
      <c r="X305" s="3"/>
      <c r="Y305" s="3"/>
      <c r="Z305" s="3"/>
      <c r="AB305" s="3"/>
      <c r="AC305" s="3"/>
      <c r="AD305" s="3"/>
      <c r="AE305" s="3"/>
      <c r="AF305" s="3"/>
      <c r="AG305" s="3"/>
      <c r="AH305" s="3"/>
      <c r="AI305" s="3"/>
      <c r="AK305" s="3"/>
      <c r="AL305" s="3"/>
      <c r="AM305" s="3"/>
      <c r="AN305" s="3"/>
      <c r="AO305" s="3"/>
      <c r="AP305" s="3"/>
      <c r="AQ305" s="3"/>
      <c r="AR305" s="3"/>
    </row>
    <row r="306" spans="1:44" ht="16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S306" s="3"/>
      <c r="T306" s="3"/>
      <c r="U306" s="3"/>
      <c r="V306" s="3"/>
      <c r="W306" s="3"/>
      <c r="X306" s="3"/>
      <c r="Y306" s="3"/>
      <c r="Z306" s="3"/>
      <c r="AB306" s="3"/>
      <c r="AC306" s="3"/>
      <c r="AD306" s="3"/>
      <c r="AE306" s="3"/>
      <c r="AF306" s="3"/>
      <c r="AG306" s="3"/>
      <c r="AH306" s="3"/>
      <c r="AI306" s="3"/>
      <c r="AK306" s="3"/>
      <c r="AL306" s="3"/>
      <c r="AM306" s="3"/>
      <c r="AN306" s="3"/>
      <c r="AO306" s="3"/>
      <c r="AP306" s="3"/>
      <c r="AQ306" s="3"/>
      <c r="AR306" s="3"/>
    </row>
    <row r="307" spans="1:44" ht="16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S307" s="3"/>
      <c r="T307" s="3"/>
      <c r="U307" s="3"/>
      <c r="V307" s="3"/>
      <c r="W307" s="3"/>
      <c r="X307" s="3"/>
      <c r="Y307" s="3"/>
      <c r="Z307" s="3"/>
      <c r="AB307" s="3"/>
      <c r="AC307" s="3"/>
      <c r="AD307" s="3"/>
      <c r="AE307" s="3"/>
      <c r="AF307" s="3"/>
      <c r="AG307" s="3"/>
      <c r="AH307" s="3"/>
      <c r="AI307" s="3"/>
      <c r="AK307" s="3"/>
      <c r="AL307" s="3"/>
      <c r="AM307" s="3"/>
      <c r="AN307" s="3"/>
      <c r="AO307" s="3"/>
      <c r="AP307" s="3"/>
      <c r="AQ307" s="3"/>
      <c r="AR307" s="3"/>
    </row>
    <row r="308" spans="1:44" ht="16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S308" s="3"/>
      <c r="T308" s="3"/>
      <c r="U308" s="3"/>
      <c r="V308" s="3"/>
      <c r="W308" s="3"/>
      <c r="X308" s="3"/>
      <c r="Y308" s="3"/>
      <c r="Z308" s="3"/>
      <c r="AB308" s="3"/>
      <c r="AC308" s="3"/>
      <c r="AD308" s="3"/>
      <c r="AE308" s="3"/>
      <c r="AF308" s="3"/>
      <c r="AG308" s="3"/>
      <c r="AH308" s="3"/>
      <c r="AI308" s="3"/>
      <c r="AK308" s="3"/>
      <c r="AL308" s="3"/>
      <c r="AM308" s="3"/>
      <c r="AN308" s="3"/>
      <c r="AO308" s="3"/>
      <c r="AP308" s="3"/>
      <c r="AQ308" s="3"/>
      <c r="AR308" s="3"/>
    </row>
    <row r="309" spans="1:44" ht="16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S309" s="3"/>
      <c r="T309" s="3"/>
      <c r="U309" s="3"/>
      <c r="V309" s="3"/>
      <c r="W309" s="3"/>
      <c r="X309" s="3"/>
      <c r="Y309" s="3"/>
      <c r="Z309" s="3"/>
      <c r="AB309" s="3"/>
      <c r="AC309" s="3"/>
      <c r="AD309" s="3"/>
      <c r="AE309" s="3"/>
      <c r="AF309" s="3"/>
      <c r="AG309" s="3"/>
      <c r="AH309" s="3"/>
      <c r="AI309" s="3"/>
      <c r="AK309" s="3"/>
      <c r="AL309" s="3"/>
      <c r="AM309" s="3"/>
      <c r="AN309" s="3"/>
      <c r="AO309" s="3"/>
      <c r="AP309" s="3"/>
      <c r="AQ309" s="3"/>
      <c r="AR309" s="3"/>
    </row>
    <row r="310" spans="1:44" ht="16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S310" s="3"/>
      <c r="T310" s="3"/>
      <c r="U310" s="3"/>
      <c r="V310" s="3"/>
      <c r="W310" s="3"/>
      <c r="X310" s="3"/>
      <c r="Y310" s="3"/>
      <c r="Z310" s="3"/>
      <c r="AB310" s="3"/>
      <c r="AC310" s="3"/>
      <c r="AD310" s="3"/>
      <c r="AE310" s="3"/>
      <c r="AF310" s="3"/>
      <c r="AG310" s="3"/>
      <c r="AH310" s="3"/>
      <c r="AI310" s="3"/>
      <c r="AK310" s="3"/>
      <c r="AL310" s="3"/>
      <c r="AM310" s="3"/>
      <c r="AN310" s="3"/>
      <c r="AO310" s="3"/>
      <c r="AP310" s="3"/>
      <c r="AQ310" s="3"/>
      <c r="AR310" s="3"/>
    </row>
    <row r="311" spans="1:44" ht="16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S311" s="3"/>
      <c r="T311" s="3"/>
      <c r="U311" s="3"/>
      <c r="V311" s="3"/>
      <c r="W311" s="3"/>
      <c r="X311" s="3"/>
      <c r="Y311" s="3"/>
      <c r="Z311" s="3"/>
      <c r="AB311" s="3"/>
      <c r="AC311" s="3"/>
      <c r="AD311" s="3"/>
      <c r="AE311" s="3"/>
      <c r="AF311" s="3"/>
      <c r="AG311" s="3"/>
      <c r="AH311" s="3"/>
      <c r="AI311" s="3"/>
      <c r="AK311" s="3"/>
      <c r="AL311" s="3"/>
      <c r="AM311" s="3"/>
      <c r="AN311" s="3"/>
      <c r="AO311" s="3"/>
      <c r="AP311" s="3"/>
      <c r="AQ311" s="3"/>
      <c r="AR311" s="3"/>
    </row>
    <row r="312" spans="1:44" ht="16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S312" s="3"/>
      <c r="T312" s="3"/>
      <c r="U312" s="3"/>
      <c r="V312" s="3"/>
      <c r="W312" s="3"/>
      <c r="X312" s="3"/>
      <c r="Y312" s="3"/>
      <c r="Z312" s="3"/>
      <c r="AB312" s="3"/>
      <c r="AC312" s="3"/>
      <c r="AD312" s="3"/>
      <c r="AE312" s="3"/>
      <c r="AF312" s="3"/>
      <c r="AG312" s="3"/>
      <c r="AH312" s="3"/>
      <c r="AI312" s="3"/>
      <c r="AK312" s="3"/>
      <c r="AL312" s="3"/>
      <c r="AM312" s="3"/>
      <c r="AN312" s="3"/>
      <c r="AO312" s="3"/>
      <c r="AP312" s="3"/>
      <c r="AQ312" s="3"/>
      <c r="AR312" s="3"/>
    </row>
    <row r="313" spans="1:44" ht="16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S313" s="3"/>
      <c r="T313" s="3"/>
      <c r="U313" s="3"/>
      <c r="V313" s="3"/>
      <c r="W313" s="3"/>
      <c r="X313" s="3"/>
      <c r="Y313" s="3"/>
      <c r="Z313" s="3"/>
      <c r="AB313" s="3"/>
      <c r="AC313" s="3"/>
      <c r="AD313" s="3"/>
      <c r="AE313" s="3"/>
      <c r="AF313" s="3"/>
      <c r="AG313" s="3"/>
      <c r="AH313" s="3"/>
      <c r="AI313" s="3"/>
      <c r="AK313" s="3"/>
      <c r="AL313" s="3"/>
      <c r="AM313" s="3"/>
      <c r="AN313" s="3"/>
      <c r="AO313" s="3"/>
      <c r="AP313" s="3"/>
      <c r="AQ313" s="3"/>
      <c r="AR313" s="3"/>
    </row>
    <row r="314" spans="1:44" ht="16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S314" s="3"/>
      <c r="T314" s="3"/>
      <c r="U314" s="3"/>
      <c r="V314" s="3"/>
      <c r="W314" s="3"/>
      <c r="X314" s="3"/>
      <c r="Y314" s="3"/>
      <c r="Z314" s="3"/>
      <c r="AB314" s="3"/>
      <c r="AC314" s="3"/>
      <c r="AD314" s="3"/>
      <c r="AE314" s="3"/>
      <c r="AF314" s="3"/>
      <c r="AG314" s="3"/>
      <c r="AH314" s="3"/>
      <c r="AI314" s="3"/>
      <c r="AK314" s="3"/>
      <c r="AL314" s="3"/>
      <c r="AM314" s="3"/>
      <c r="AN314" s="3"/>
      <c r="AO314" s="3"/>
      <c r="AP314" s="3"/>
      <c r="AQ314" s="3"/>
      <c r="AR314" s="3"/>
    </row>
    <row r="315" spans="1:44" ht="16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S315" s="3"/>
      <c r="T315" s="3"/>
      <c r="U315" s="3"/>
      <c r="V315" s="3"/>
      <c r="W315" s="3"/>
      <c r="X315" s="3"/>
      <c r="Y315" s="3"/>
      <c r="Z315" s="3"/>
      <c r="AB315" s="3"/>
      <c r="AC315" s="3"/>
      <c r="AD315" s="3"/>
      <c r="AE315" s="3"/>
      <c r="AF315" s="3"/>
      <c r="AG315" s="3"/>
      <c r="AH315" s="3"/>
      <c r="AI315" s="3"/>
      <c r="AK315" s="3"/>
      <c r="AL315" s="3"/>
      <c r="AM315" s="3"/>
      <c r="AN315" s="3"/>
      <c r="AO315" s="3"/>
      <c r="AP315" s="3"/>
      <c r="AQ315" s="3"/>
      <c r="AR315" s="3"/>
    </row>
    <row r="316" spans="1:44" ht="16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S316" s="3"/>
      <c r="T316" s="3"/>
      <c r="U316" s="3"/>
      <c r="V316" s="3"/>
      <c r="W316" s="3"/>
      <c r="X316" s="3"/>
      <c r="Y316" s="3"/>
      <c r="Z316" s="3"/>
      <c r="AB316" s="3"/>
      <c r="AC316" s="3"/>
      <c r="AD316" s="3"/>
      <c r="AE316" s="3"/>
      <c r="AF316" s="3"/>
      <c r="AG316" s="3"/>
      <c r="AH316" s="3"/>
      <c r="AI316" s="3"/>
      <c r="AK316" s="3"/>
      <c r="AL316" s="3"/>
      <c r="AM316" s="3"/>
      <c r="AN316" s="3"/>
      <c r="AO316" s="3"/>
      <c r="AP316" s="3"/>
      <c r="AQ316" s="3"/>
      <c r="AR316" s="3"/>
    </row>
    <row r="317" spans="1:44" ht="16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S317" s="3"/>
      <c r="T317" s="3"/>
      <c r="U317" s="3"/>
      <c r="V317" s="3"/>
      <c r="W317" s="3"/>
      <c r="X317" s="3"/>
      <c r="Y317" s="3"/>
      <c r="Z317" s="3"/>
      <c r="AB317" s="3"/>
      <c r="AC317" s="3"/>
      <c r="AD317" s="3"/>
      <c r="AE317" s="3"/>
      <c r="AF317" s="3"/>
      <c r="AG317" s="3"/>
      <c r="AH317" s="3"/>
      <c r="AI317" s="3"/>
      <c r="AK317" s="3"/>
      <c r="AL317" s="3"/>
      <c r="AM317" s="3"/>
      <c r="AN317" s="3"/>
      <c r="AO317" s="3"/>
      <c r="AP317" s="3"/>
      <c r="AQ317" s="3"/>
      <c r="AR317" s="3"/>
    </row>
    <row r="318" spans="1:44" ht="16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S318" s="3"/>
      <c r="T318" s="3"/>
      <c r="U318" s="3"/>
      <c r="V318" s="3"/>
      <c r="W318" s="3"/>
      <c r="X318" s="3"/>
      <c r="Y318" s="3"/>
      <c r="Z318" s="3"/>
      <c r="AB318" s="3"/>
      <c r="AC318" s="3"/>
      <c r="AD318" s="3"/>
      <c r="AE318" s="3"/>
      <c r="AF318" s="3"/>
      <c r="AG318" s="3"/>
      <c r="AH318" s="3"/>
      <c r="AI318" s="3"/>
      <c r="AK318" s="3"/>
      <c r="AL318" s="3"/>
      <c r="AM318" s="3"/>
      <c r="AN318" s="3"/>
      <c r="AO318" s="3"/>
      <c r="AP318" s="3"/>
      <c r="AQ318" s="3"/>
      <c r="AR318" s="3"/>
    </row>
    <row r="319" spans="1:44" ht="16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S319" s="3"/>
      <c r="T319" s="3"/>
      <c r="U319" s="3"/>
      <c r="V319" s="3"/>
      <c r="W319" s="3"/>
      <c r="X319" s="3"/>
      <c r="Y319" s="3"/>
      <c r="Z319" s="3"/>
      <c r="AB319" s="3"/>
      <c r="AC319" s="3"/>
      <c r="AD319" s="3"/>
      <c r="AE319" s="3"/>
      <c r="AF319" s="3"/>
      <c r="AG319" s="3"/>
      <c r="AH319" s="3"/>
      <c r="AI319" s="3"/>
      <c r="AK319" s="3"/>
      <c r="AL319" s="3"/>
      <c r="AM319" s="3"/>
      <c r="AN319" s="3"/>
      <c r="AO319" s="3"/>
      <c r="AP319" s="3"/>
      <c r="AQ319" s="3"/>
      <c r="AR319" s="3"/>
    </row>
    <row r="320" spans="1:44" ht="16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S320" s="3"/>
      <c r="T320" s="3"/>
      <c r="U320" s="3"/>
      <c r="V320" s="3"/>
      <c r="W320" s="3"/>
      <c r="X320" s="3"/>
      <c r="Y320" s="3"/>
      <c r="Z320" s="3"/>
      <c r="AB320" s="3"/>
      <c r="AC320" s="3"/>
      <c r="AD320" s="3"/>
      <c r="AE320" s="3"/>
      <c r="AF320" s="3"/>
      <c r="AG320" s="3"/>
      <c r="AH320" s="3"/>
      <c r="AI320" s="3"/>
      <c r="AK320" s="3"/>
      <c r="AL320" s="3"/>
      <c r="AM320" s="3"/>
      <c r="AN320" s="3"/>
      <c r="AO320" s="3"/>
      <c r="AP320" s="3"/>
      <c r="AQ320" s="3"/>
      <c r="AR320" s="3"/>
    </row>
    <row r="321" spans="1:44" ht="16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S321" s="3"/>
      <c r="T321" s="3"/>
      <c r="U321" s="3"/>
      <c r="V321" s="3"/>
      <c r="W321" s="3"/>
      <c r="X321" s="3"/>
      <c r="Y321" s="3"/>
      <c r="Z321" s="3"/>
      <c r="AB321" s="3"/>
      <c r="AC321" s="3"/>
      <c r="AD321" s="3"/>
      <c r="AE321" s="3"/>
      <c r="AF321" s="3"/>
      <c r="AG321" s="3"/>
      <c r="AH321" s="3"/>
      <c r="AI321" s="3"/>
      <c r="AK321" s="3"/>
      <c r="AL321" s="3"/>
      <c r="AM321" s="3"/>
      <c r="AN321" s="3"/>
      <c r="AO321" s="3"/>
      <c r="AP321" s="3"/>
      <c r="AQ321" s="3"/>
      <c r="AR321" s="3"/>
    </row>
    <row r="322" spans="1:44" ht="16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S322" s="3"/>
      <c r="T322" s="3"/>
      <c r="U322" s="3"/>
      <c r="V322" s="3"/>
      <c r="W322" s="3"/>
      <c r="X322" s="3"/>
      <c r="Y322" s="3"/>
      <c r="Z322" s="3"/>
      <c r="AB322" s="3"/>
      <c r="AC322" s="3"/>
      <c r="AD322" s="3"/>
      <c r="AE322" s="3"/>
      <c r="AF322" s="3"/>
      <c r="AG322" s="3"/>
      <c r="AH322" s="3"/>
      <c r="AI322" s="3"/>
      <c r="AK322" s="3"/>
      <c r="AL322" s="3"/>
      <c r="AM322" s="3"/>
      <c r="AN322" s="3"/>
      <c r="AO322" s="3"/>
      <c r="AP322" s="3"/>
      <c r="AQ322" s="3"/>
      <c r="AR322" s="3"/>
    </row>
    <row r="323" spans="1:44" ht="16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S323" s="3"/>
      <c r="T323" s="3"/>
      <c r="U323" s="3"/>
      <c r="V323" s="3"/>
      <c r="W323" s="3"/>
      <c r="X323" s="3"/>
      <c r="Y323" s="3"/>
      <c r="Z323" s="3"/>
      <c r="AB323" s="3"/>
      <c r="AC323" s="3"/>
      <c r="AD323" s="3"/>
      <c r="AE323" s="3"/>
      <c r="AF323" s="3"/>
      <c r="AG323" s="3"/>
      <c r="AH323" s="3"/>
      <c r="AI323" s="3"/>
      <c r="AK323" s="3"/>
      <c r="AL323" s="3"/>
      <c r="AM323" s="3"/>
      <c r="AN323" s="3"/>
      <c r="AO323" s="3"/>
      <c r="AP323" s="3"/>
      <c r="AQ323" s="3"/>
      <c r="AR323" s="3"/>
    </row>
    <row r="324" spans="1:44" ht="16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S324" s="3"/>
      <c r="T324" s="3"/>
      <c r="U324" s="3"/>
      <c r="V324" s="3"/>
      <c r="W324" s="3"/>
      <c r="X324" s="3"/>
      <c r="Y324" s="3"/>
      <c r="Z324" s="3"/>
      <c r="AB324" s="3"/>
      <c r="AC324" s="3"/>
      <c r="AD324" s="3"/>
      <c r="AE324" s="3"/>
      <c r="AF324" s="3"/>
      <c r="AG324" s="3"/>
      <c r="AH324" s="3"/>
      <c r="AI324" s="3"/>
      <c r="AK324" s="3"/>
      <c r="AL324" s="3"/>
      <c r="AM324" s="3"/>
      <c r="AN324" s="3"/>
      <c r="AO324" s="3"/>
      <c r="AP324" s="3"/>
      <c r="AQ324" s="3"/>
      <c r="AR324" s="3"/>
    </row>
    <row r="325" spans="1:44" ht="16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S325" s="3"/>
      <c r="T325" s="3"/>
      <c r="U325" s="3"/>
      <c r="V325" s="3"/>
      <c r="W325" s="3"/>
      <c r="X325" s="3"/>
      <c r="Y325" s="3"/>
      <c r="Z325" s="3"/>
      <c r="AB325" s="3"/>
      <c r="AC325" s="3"/>
      <c r="AD325" s="3"/>
      <c r="AE325" s="3"/>
      <c r="AF325" s="3"/>
      <c r="AG325" s="3"/>
      <c r="AH325" s="3"/>
      <c r="AI325" s="3"/>
      <c r="AK325" s="3"/>
      <c r="AL325" s="3"/>
      <c r="AM325" s="3"/>
      <c r="AN325" s="3"/>
      <c r="AO325" s="3"/>
      <c r="AP325" s="3"/>
      <c r="AQ325" s="3"/>
      <c r="AR325" s="3"/>
    </row>
    <row r="326" spans="1:44" ht="16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S326" s="3"/>
      <c r="T326" s="3"/>
      <c r="U326" s="3"/>
      <c r="V326" s="3"/>
      <c r="W326" s="3"/>
      <c r="X326" s="3"/>
      <c r="Y326" s="3"/>
      <c r="Z326" s="3"/>
      <c r="AB326" s="3"/>
      <c r="AC326" s="3"/>
      <c r="AD326" s="3"/>
      <c r="AE326" s="3"/>
      <c r="AF326" s="3"/>
      <c r="AG326" s="3"/>
      <c r="AH326" s="3"/>
      <c r="AI326" s="3"/>
      <c r="AK326" s="3"/>
      <c r="AL326" s="3"/>
      <c r="AM326" s="3"/>
      <c r="AN326" s="3"/>
      <c r="AO326" s="3"/>
      <c r="AP326" s="3"/>
      <c r="AQ326" s="3"/>
      <c r="AR326" s="3"/>
    </row>
    <row r="327" spans="1:44" ht="16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S327" s="3"/>
      <c r="T327" s="3"/>
      <c r="U327" s="3"/>
      <c r="V327" s="3"/>
      <c r="W327" s="3"/>
      <c r="X327" s="3"/>
      <c r="Y327" s="3"/>
      <c r="Z327" s="3"/>
      <c r="AB327" s="3"/>
      <c r="AC327" s="3"/>
      <c r="AD327" s="3"/>
      <c r="AE327" s="3"/>
      <c r="AF327" s="3"/>
      <c r="AG327" s="3"/>
      <c r="AH327" s="3"/>
      <c r="AI327" s="3"/>
      <c r="AK327" s="3"/>
      <c r="AL327" s="3"/>
      <c r="AM327" s="3"/>
      <c r="AN327" s="3"/>
      <c r="AO327" s="3"/>
      <c r="AP327" s="3"/>
      <c r="AQ327" s="3"/>
      <c r="AR327" s="3"/>
    </row>
    <row r="328" spans="1:44" ht="16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S328" s="3"/>
      <c r="T328" s="3"/>
      <c r="U328" s="3"/>
      <c r="V328" s="3"/>
      <c r="W328" s="3"/>
      <c r="X328" s="3"/>
      <c r="Y328" s="3"/>
      <c r="Z328" s="3"/>
      <c r="AB328" s="3"/>
      <c r="AC328" s="3"/>
      <c r="AD328" s="3"/>
      <c r="AE328" s="3"/>
      <c r="AF328" s="3"/>
      <c r="AG328" s="3"/>
      <c r="AH328" s="3"/>
      <c r="AI328" s="3"/>
      <c r="AK328" s="3"/>
      <c r="AL328" s="3"/>
      <c r="AM328" s="3"/>
      <c r="AN328" s="3"/>
      <c r="AO328" s="3"/>
      <c r="AP328" s="3"/>
      <c r="AQ328" s="3"/>
      <c r="AR328" s="3"/>
    </row>
    <row r="329" spans="1:44" ht="16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S329" s="3"/>
      <c r="T329" s="3"/>
      <c r="U329" s="3"/>
      <c r="V329" s="3"/>
      <c r="W329" s="3"/>
      <c r="X329" s="3"/>
      <c r="Y329" s="3"/>
      <c r="Z329" s="3"/>
      <c r="AB329" s="3"/>
      <c r="AC329" s="3"/>
      <c r="AD329" s="3"/>
      <c r="AE329" s="3"/>
      <c r="AF329" s="3"/>
      <c r="AG329" s="3"/>
      <c r="AH329" s="3"/>
      <c r="AI329" s="3"/>
      <c r="AK329" s="3"/>
      <c r="AL329" s="3"/>
      <c r="AM329" s="3"/>
      <c r="AN329" s="3"/>
      <c r="AO329" s="3"/>
      <c r="AP329" s="3"/>
      <c r="AQ329" s="3"/>
      <c r="AR329" s="3"/>
    </row>
    <row r="330" spans="1:44" ht="16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S330" s="3"/>
      <c r="T330" s="3"/>
      <c r="U330" s="3"/>
      <c r="V330" s="3"/>
      <c r="W330" s="3"/>
      <c r="X330" s="3"/>
      <c r="Y330" s="3"/>
      <c r="Z330" s="3"/>
      <c r="AB330" s="3"/>
      <c r="AC330" s="3"/>
      <c r="AD330" s="3"/>
      <c r="AE330" s="3"/>
      <c r="AF330" s="3"/>
      <c r="AG330" s="3"/>
      <c r="AH330" s="3"/>
      <c r="AI330" s="3"/>
      <c r="AK330" s="3"/>
      <c r="AL330" s="3"/>
      <c r="AM330" s="3"/>
      <c r="AN330" s="3"/>
      <c r="AO330" s="3"/>
      <c r="AP330" s="3"/>
      <c r="AQ330" s="3"/>
      <c r="AR330" s="3"/>
    </row>
    <row r="331" spans="1:44" ht="16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S331" s="3"/>
      <c r="T331" s="3"/>
      <c r="U331" s="3"/>
      <c r="V331" s="3"/>
      <c r="W331" s="3"/>
      <c r="X331" s="3"/>
      <c r="Y331" s="3"/>
      <c r="Z331" s="3"/>
      <c r="AB331" s="3"/>
      <c r="AC331" s="3"/>
      <c r="AD331" s="3"/>
      <c r="AE331" s="3"/>
      <c r="AF331" s="3"/>
      <c r="AG331" s="3"/>
      <c r="AH331" s="3"/>
      <c r="AI331" s="3"/>
      <c r="AK331" s="3"/>
      <c r="AL331" s="3"/>
      <c r="AM331" s="3"/>
      <c r="AN331" s="3"/>
      <c r="AO331" s="3"/>
      <c r="AP331" s="3"/>
      <c r="AQ331" s="3"/>
      <c r="AR331" s="3"/>
    </row>
    <row r="332" spans="1:44" ht="16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S332" s="3"/>
      <c r="T332" s="3"/>
      <c r="U332" s="3"/>
      <c r="V332" s="3"/>
      <c r="W332" s="3"/>
      <c r="X332" s="3"/>
      <c r="Y332" s="3"/>
      <c r="Z332" s="3"/>
      <c r="AB332" s="3"/>
      <c r="AC332" s="3"/>
      <c r="AD332" s="3"/>
      <c r="AE332" s="3"/>
      <c r="AF332" s="3"/>
      <c r="AG332" s="3"/>
      <c r="AH332" s="3"/>
      <c r="AI332" s="3"/>
      <c r="AK332" s="3"/>
      <c r="AL332" s="3"/>
      <c r="AM332" s="3"/>
      <c r="AN332" s="3"/>
      <c r="AO332" s="3"/>
      <c r="AP332" s="3"/>
      <c r="AQ332" s="3"/>
      <c r="AR332" s="3"/>
    </row>
    <row r="333" spans="1:44" ht="16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S333" s="3"/>
      <c r="T333" s="3"/>
      <c r="U333" s="3"/>
      <c r="V333" s="3"/>
      <c r="W333" s="3"/>
      <c r="X333" s="3"/>
      <c r="Y333" s="3"/>
      <c r="Z333" s="3"/>
      <c r="AB333" s="3"/>
      <c r="AC333" s="3"/>
      <c r="AD333" s="3"/>
      <c r="AE333" s="3"/>
      <c r="AF333" s="3"/>
      <c r="AG333" s="3"/>
      <c r="AH333" s="3"/>
      <c r="AI333" s="3"/>
      <c r="AK333" s="3"/>
      <c r="AL333" s="3"/>
      <c r="AM333" s="3"/>
      <c r="AN333" s="3"/>
      <c r="AO333" s="3"/>
      <c r="AP333" s="3"/>
      <c r="AQ333" s="3"/>
      <c r="AR333" s="3"/>
    </row>
    <row r="334" spans="1:44" ht="16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S334" s="3"/>
      <c r="T334" s="3"/>
      <c r="U334" s="3"/>
      <c r="V334" s="3"/>
      <c r="W334" s="3"/>
      <c r="X334" s="3"/>
      <c r="Y334" s="3"/>
      <c r="Z334" s="3"/>
      <c r="AB334" s="3"/>
      <c r="AC334" s="3"/>
      <c r="AD334" s="3"/>
      <c r="AE334" s="3"/>
      <c r="AF334" s="3"/>
      <c r="AG334" s="3"/>
      <c r="AH334" s="3"/>
      <c r="AI334" s="3"/>
      <c r="AK334" s="3"/>
      <c r="AL334" s="3"/>
      <c r="AM334" s="3"/>
      <c r="AN334" s="3"/>
      <c r="AO334" s="3"/>
      <c r="AP334" s="3"/>
      <c r="AQ334" s="3"/>
      <c r="AR334" s="3"/>
    </row>
    <row r="335" spans="1:44" ht="16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S335" s="3"/>
      <c r="T335" s="3"/>
      <c r="U335" s="3"/>
      <c r="V335" s="3"/>
      <c r="W335" s="3"/>
      <c r="X335" s="3"/>
      <c r="Y335" s="3"/>
      <c r="Z335" s="3"/>
      <c r="AB335" s="3"/>
      <c r="AC335" s="3"/>
      <c r="AD335" s="3"/>
      <c r="AE335" s="3"/>
      <c r="AF335" s="3"/>
      <c r="AG335" s="3"/>
      <c r="AH335" s="3"/>
      <c r="AI335" s="3"/>
      <c r="AK335" s="3"/>
      <c r="AL335" s="3"/>
      <c r="AM335" s="3"/>
      <c r="AN335" s="3"/>
      <c r="AO335" s="3"/>
      <c r="AP335" s="3"/>
      <c r="AQ335" s="3"/>
      <c r="AR335" s="3"/>
    </row>
    <row r="336" spans="1:44" ht="16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S336" s="3"/>
      <c r="T336" s="3"/>
      <c r="U336" s="3"/>
      <c r="V336" s="3"/>
      <c r="W336" s="3"/>
      <c r="X336" s="3"/>
      <c r="Y336" s="3"/>
      <c r="Z336" s="3"/>
      <c r="AB336" s="3"/>
      <c r="AC336" s="3"/>
      <c r="AD336" s="3"/>
      <c r="AE336" s="3"/>
      <c r="AF336" s="3"/>
      <c r="AG336" s="3"/>
      <c r="AH336" s="3"/>
      <c r="AI336" s="3"/>
      <c r="AK336" s="3"/>
      <c r="AL336" s="3"/>
      <c r="AM336" s="3"/>
      <c r="AN336" s="3"/>
      <c r="AO336" s="3"/>
      <c r="AP336" s="3"/>
      <c r="AQ336" s="3"/>
      <c r="AR336" s="3"/>
    </row>
    <row r="337" spans="1:44" ht="16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S337" s="3"/>
      <c r="T337" s="3"/>
      <c r="U337" s="3"/>
      <c r="V337" s="3"/>
      <c r="W337" s="3"/>
      <c r="X337" s="3"/>
      <c r="Y337" s="3"/>
      <c r="Z337" s="3"/>
      <c r="AB337" s="3"/>
      <c r="AC337" s="3"/>
      <c r="AD337" s="3"/>
      <c r="AE337" s="3"/>
      <c r="AF337" s="3"/>
      <c r="AG337" s="3"/>
      <c r="AH337" s="3"/>
      <c r="AI337" s="3"/>
      <c r="AK337" s="3"/>
      <c r="AL337" s="3"/>
      <c r="AM337" s="3"/>
      <c r="AN337" s="3"/>
      <c r="AO337" s="3"/>
      <c r="AP337" s="3"/>
      <c r="AQ337" s="3"/>
      <c r="AR337" s="3"/>
    </row>
    <row r="338" spans="1:44" ht="16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S338" s="3"/>
      <c r="T338" s="3"/>
      <c r="U338" s="3"/>
      <c r="V338" s="3"/>
      <c r="W338" s="3"/>
      <c r="X338" s="3"/>
      <c r="Y338" s="3"/>
      <c r="Z338" s="3"/>
      <c r="AB338" s="3"/>
      <c r="AC338" s="3"/>
      <c r="AD338" s="3"/>
      <c r="AE338" s="3"/>
      <c r="AF338" s="3"/>
      <c r="AG338" s="3"/>
      <c r="AH338" s="3"/>
      <c r="AI338" s="3"/>
      <c r="AK338" s="3"/>
      <c r="AL338" s="3"/>
      <c r="AM338" s="3"/>
      <c r="AN338" s="3"/>
      <c r="AO338" s="3"/>
      <c r="AP338" s="3"/>
      <c r="AQ338" s="3"/>
      <c r="AR338" s="3"/>
    </row>
    <row r="339" spans="1:44" ht="16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S339" s="3"/>
      <c r="T339" s="3"/>
      <c r="U339" s="3"/>
      <c r="V339" s="3"/>
      <c r="W339" s="3"/>
      <c r="X339" s="3"/>
      <c r="Y339" s="3"/>
      <c r="Z339" s="3"/>
      <c r="AB339" s="3"/>
      <c r="AC339" s="3"/>
      <c r="AD339" s="3"/>
      <c r="AE339" s="3"/>
      <c r="AF339" s="3"/>
      <c r="AG339" s="3"/>
      <c r="AH339" s="3"/>
      <c r="AI339" s="3"/>
      <c r="AK339" s="3"/>
      <c r="AL339" s="3"/>
      <c r="AM339" s="3"/>
      <c r="AN339" s="3"/>
      <c r="AO339" s="3"/>
      <c r="AP339" s="3"/>
      <c r="AQ339" s="3"/>
      <c r="AR339" s="3"/>
    </row>
    <row r="340" spans="1:44" ht="16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S340" s="3"/>
      <c r="T340" s="3"/>
      <c r="U340" s="3"/>
      <c r="V340" s="3"/>
      <c r="W340" s="3"/>
      <c r="X340" s="3"/>
      <c r="Y340" s="3"/>
      <c r="Z340" s="3"/>
      <c r="AB340" s="3"/>
      <c r="AC340" s="3"/>
      <c r="AD340" s="3"/>
      <c r="AE340" s="3"/>
      <c r="AF340" s="3"/>
      <c r="AG340" s="3"/>
      <c r="AH340" s="3"/>
      <c r="AI340" s="3"/>
      <c r="AK340" s="3"/>
      <c r="AL340" s="3"/>
      <c r="AM340" s="3"/>
      <c r="AN340" s="3"/>
      <c r="AO340" s="3"/>
      <c r="AP340" s="3"/>
      <c r="AQ340" s="3"/>
      <c r="AR340" s="3"/>
    </row>
    <row r="341" spans="1:44" ht="16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S341" s="3"/>
      <c r="T341" s="3"/>
      <c r="U341" s="3"/>
      <c r="V341" s="3"/>
      <c r="W341" s="3"/>
      <c r="X341" s="3"/>
      <c r="Y341" s="3"/>
      <c r="Z341" s="3"/>
      <c r="AB341" s="3"/>
      <c r="AC341" s="3"/>
      <c r="AD341" s="3"/>
      <c r="AE341" s="3"/>
      <c r="AF341" s="3"/>
      <c r="AG341" s="3"/>
      <c r="AH341" s="3"/>
      <c r="AI341" s="3"/>
      <c r="AK341" s="3"/>
      <c r="AL341" s="3"/>
      <c r="AM341" s="3"/>
      <c r="AN341" s="3"/>
      <c r="AO341" s="3"/>
      <c r="AP341" s="3"/>
      <c r="AQ341" s="3"/>
      <c r="AR341" s="3"/>
    </row>
    <row r="342" spans="1:44" ht="16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S342" s="3"/>
      <c r="T342" s="3"/>
      <c r="U342" s="3"/>
      <c r="V342" s="3"/>
      <c r="W342" s="3"/>
      <c r="X342" s="3"/>
      <c r="Y342" s="3"/>
      <c r="Z342" s="3"/>
      <c r="AB342" s="3"/>
      <c r="AC342" s="3"/>
      <c r="AD342" s="3"/>
      <c r="AE342" s="3"/>
      <c r="AF342" s="3"/>
      <c r="AG342" s="3"/>
      <c r="AH342" s="3"/>
      <c r="AI342" s="3"/>
      <c r="AK342" s="3"/>
      <c r="AL342" s="3"/>
      <c r="AM342" s="3"/>
      <c r="AN342" s="3"/>
      <c r="AO342" s="3"/>
      <c r="AP342" s="3"/>
      <c r="AQ342" s="3"/>
      <c r="AR342" s="3"/>
    </row>
    <row r="343" spans="1:44" ht="16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S343" s="3"/>
      <c r="T343" s="3"/>
      <c r="U343" s="3"/>
      <c r="V343" s="3"/>
      <c r="W343" s="3"/>
      <c r="X343" s="3"/>
      <c r="Y343" s="3"/>
      <c r="Z343" s="3"/>
      <c r="AB343" s="3"/>
      <c r="AC343" s="3"/>
      <c r="AD343" s="3"/>
      <c r="AE343" s="3"/>
      <c r="AF343" s="3"/>
      <c r="AG343" s="3"/>
      <c r="AH343" s="3"/>
      <c r="AI343" s="3"/>
      <c r="AK343" s="3"/>
      <c r="AL343" s="3"/>
      <c r="AM343" s="3"/>
      <c r="AN343" s="3"/>
      <c r="AO343" s="3"/>
      <c r="AP343" s="3"/>
      <c r="AQ343" s="3"/>
      <c r="AR343" s="3"/>
    </row>
    <row r="344" spans="1:44" ht="16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S344" s="3"/>
      <c r="T344" s="3"/>
      <c r="U344" s="3"/>
      <c r="V344" s="3"/>
      <c r="W344" s="3"/>
      <c r="X344" s="3"/>
      <c r="Y344" s="3"/>
      <c r="Z344" s="3"/>
      <c r="AB344" s="3"/>
      <c r="AC344" s="3"/>
      <c r="AD344" s="3"/>
      <c r="AE344" s="3"/>
      <c r="AF344" s="3"/>
      <c r="AG344" s="3"/>
      <c r="AH344" s="3"/>
      <c r="AI344" s="3"/>
      <c r="AK344" s="3"/>
      <c r="AL344" s="3"/>
      <c r="AM344" s="3"/>
      <c r="AN344" s="3"/>
      <c r="AO344" s="3"/>
      <c r="AP344" s="3"/>
      <c r="AQ344" s="3"/>
      <c r="AR344" s="3"/>
    </row>
    <row r="345" spans="1:44" ht="16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S345" s="3"/>
      <c r="T345" s="3"/>
      <c r="U345" s="3"/>
      <c r="V345" s="3"/>
      <c r="W345" s="3"/>
      <c r="X345" s="3"/>
      <c r="Y345" s="3"/>
      <c r="Z345" s="3"/>
      <c r="AB345" s="3"/>
      <c r="AC345" s="3"/>
      <c r="AD345" s="3"/>
      <c r="AE345" s="3"/>
      <c r="AF345" s="3"/>
      <c r="AG345" s="3"/>
      <c r="AH345" s="3"/>
      <c r="AI345" s="3"/>
      <c r="AK345" s="3"/>
      <c r="AL345" s="3"/>
      <c r="AM345" s="3"/>
      <c r="AN345" s="3"/>
      <c r="AO345" s="3"/>
      <c r="AP345" s="3"/>
      <c r="AQ345" s="3"/>
      <c r="AR345" s="3"/>
    </row>
    <row r="346" spans="1:44" ht="16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S346" s="3"/>
      <c r="T346" s="3"/>
      <c r="U346" s="3"/>
      <c r="V346" s="3"/>
      <c r="W346" s="3"/>
      <c r="X346" s="3"/>
      <c r="Y346" s="3"/>
      <c r="Z346" s="3"/>
      <c r="AB346" s="3"/>
      <c r="AC346" s="3"/>
      <c r="AD346" s="3"/>
      <c r="AE346" s="3"/>
      <c r="AF346" s="3"/>
      <c r="AG346" s="3"/>
      <c r="AH346" s="3"/>
      <c r="AI346" s="3"/>
      <c r="AK346" s="3"/>
      <c r="AL346" s="3"/>
      <c r="AM346" s="3"/>
      <c r="AN346" s="3"/>
      <c r="AO346" s="3"/>
      <c r="AP346" s="3"/>
      <c r="AQ346" s="3"/>
      <c r="AR346" s="3"/>
    </row>
    <row r="347" spans="1:44" ht="16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S347" s="3"/>
      <c r="T347" s="3"/>
      <c r="U347" s="3"/>
      <c r="V347" s="3"/>
      <c r="W347" s="3"/>
      <c r="X347" s="3"/>
      <c r="Y347" s="3"/>
      <c r="Z347" s="3"/>
      <c r="AB347" s="3"/>
      <c r="AC347" s="3"/>
      <c r="AD347" s="3"/>
      <c r="AE347" s="3"/>
      <c r="AF347" s="3"/>
      <c r="AG347" s="3"/>
      <c r="AH347" s="3"/>
      <c r="AI347" s="3"/>
      <c r="AK347" s="3"/>
      <c r="AL347" s="3"/>
      <c r="AM347" s="3"/>
      <c r="AN347" s="3"/>
      <c r="AO347" s="3"/>
      <c r="AP347" s="3"/>
      <c r="AQ347" s="3"/>
      <c r="AR347" s="3"/>
    </row>
    <row r="348" spans="1:44" ht="16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S348" s="3"/>
      <c r="T348" s="3"/>
      <c r="U348" s="3"/>
      <c r="V348" s="3"/>
      <c r="W348" s="3"/>
      <c r="X348" s="3"/>
      <c r="Y348" s="3"/>
      <c r="Z348" s="3"/>
      <c r="AB348" s="3"/>
      <c r="AC348" s="3"/>
      <c r="AD348" s="3"/>
      <c r="AE348" s="3"/>
      <c r="AF348" s="3"/>
      <c r="AG348" s="3"/>
      <c r="AH348" s="3"/>
      <c r="AI348" s="3"/>
      <c r="AK348" s="3"/>
      <c r="AL348" s="3"/>
      <c r="AM348" s="3"/>
      <c r="AN348" s="3"/>
      <c r="AO348" s="3"/>
      <c r="AP348" s="3"/>
      <c r="AQ348" s="3"/>
      <c r="AR348" s="3"/>
    </row>
    <row r="349" spans="1:44" ht="16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S349" s="3"/>
      <c r="T349" s="3"/>
      <c r="U349" s="3"/>
      <c r="V349" s="3"/>
      <c r="W349" s="3"/>
      <c r="X349" s="3"/>
      <c r="Y349" s="3"/>
      <c r="Z349" s="3"/>
      <c r="AB349" s="3"/>
      <c r="AC349" s="3"/>
      <c r="AD349" s="3"/>
      <c r="AE349" s="3"/>
      <c r="AF349" s="3"/>
      <c r="AG349" s="3"/>
      <c r="AH349" s="3"/>
      <c r="AI349" s="3"/>
      <c r="AK349" s="3"/>
      <c r="AL349" s="3"/>
      <c r="AM349" s="3"/>
      <c r="AN349" s="3"/>
      <c r="AO349" s="3"/>
      <c r="AP349" s="3"/>
      <c r="AQ349" s="3"/>
      <c r="AR349" s="3"/>
    </row>
    <row r="350" spans="1:44" ht="16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S350" s="3"/>
      <c r="T350" s="3"/>
      <c r="U350" s="3"/>
      <c r="V350" s="3"/>
      <c r="W350" s="3"/>
      <c r="X350" s="3"/>
      <c r="Y350" s="3"/>
      <c r="Z350" s="3"/>
      <c r="AB350" s="3"/>
      <c r="AC350" s="3"/>
      <c r="AD350" s="3"/>
      <c r="AE350" s="3"/>
      <c r="AF350" s="3"/>
      <c r="AG350" s="3"/>
      <c r="AH350" s="3"/>
      <c r="AI350" s="3"/>
      <c r="AK350" s="3"/>
      <c r="AL350" s="3"/>
      <c r="AM350" s="3"/>
      <c r="AN350" s="3"/>
      <c r="AO350" s="3"/>
      <c r="AP350" s="3"/>
      <c r="AQ350" s="3"/>
      <c r="AR350" s="3"/>
    </row>
    <row r="351" spans="1:44" ht="16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S351" s="3"/>
      <c r="T351" s="3"/>
      <c r="U351" s="3"/>
      <c r="V351" s="3"/>
      <c r="W351" s="3"/>
      <c r="X351" s="3"/>
      <c r="Y351" s="3"/>
      <c r="Z351" s="3"/>
      <c r="AB351" s="3"/>
      <c r="AC351" s="3"/>
      <c r="AD351" s="3"/>
      <c r="AE351" s="3"/>
      <c r="AF351" s="3"/>
      <c r="AG351" s="3"/>
      <c r="AH351" s="3"/>
      <c r="AI351" s="3"/>
      <c r="AK351" s="3"/>
      <c r="AL351" s="3"/>
      <c r="AM351" s="3"/>
      <c r="AN351" s="3"/>
      <c r="AO351" s="3"/>
      <c r="AP351" s="3"/>
      <c r="AQ351" s="3"/>
      <c r="AR351" s="3"/>
    </row>
    <row r="352" spans="1:44" ht="16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S352" s="3"/>
      <c r="T352" s="3"/>
      <c r="U352" s="3"/>
      <c r="V352" s="3"/>
      <c r="W352" s="3"/>
      <c r="X352" s="3"/>
      <c r="Y352" s="3"/>
      <c r="Z352" s="3"/>
      <c r="AB352" s="3"/>
      <c r="AC352" s="3"/>
      <c r="AD352" s="3"/>
      <c r="AE352" s="3"/>
      <c r="AF352" s="3"/>
      <c r="AG352" s="3"/>
      <c r="AH352" s="3"/>
      <c r="AI352" s="3"/>
      <c r="AK352" s="3"/>
      <c r="AL352" s="3"/>
      <c r="AM352" s="3"/>
      <c r="AN352" s="3"/>
      <c r="AO352" s="3"/>
      <c r="AP352" s="3"/>
      <c r="AQ352" s="3"/>
      <c r="AR352" s="3"/>
    </row>
    <row r="353" spans="1:44" ht="16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S353" s="3"/>
      <c r="T353" s="3"/>
      <c r="U353" s="3"/>
      <c r="V353" s="3"/>
      <c r="W353" s="3"/>
      <c r="X353" s="3"/>
      <c r="Y353" s="3"/>
      <c r="Z353" s="3"/>
      <c r="AB353" s="3"/>
      <c r="AC353" s="3"/>
      <c r="AD353" s="3"/>
      <c r="AE353" s="3"/>
      <c r="AF353" s="3"/>
      <c r="AG353" s="3"/>
      <c r="AH353" s="3"/>
      <c r="AI353" s="3"/>
      <c r="AK353" s="3"/>
      <c r="AL353" s="3"/>
      <c r="AM353" s="3"/>
      <c r="AN353" s="3"/>
      <c r="AO353" s="3"/>
      <c r="AP353" s="3"/>
      <c r="AQ353" s="3"/>
      <c r="AR353" s="3"/>
    </row>
    <row r="354" spans="1:44" ht="16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S354" s="3"/>
      <c r="T354" s="3"/>
      <c r="U354" s="3"/>
      <c r="V354" s="3"/>
      <c r="W354" s="3"/>
      <c r="X354" s="3"/>
      <c r="Y354" s="3"/>
      <c r="Z354" s="3"/>
      <c r="AB354" s="3"/>
      <c r="AC354" s="3"/>
      <c r="AD354" s="3"/>
      <c r="AE354" s="3"/>
      <c r="AF354" s="3"/>
      <c r="AG354" s="3"/>
      <c r="AH354" s="3"/>
      <c r="AI354" s="3"/>
      <c r="AK354" s="3"/>
      <c r="AL354" s="3"/>
      <c r="AM354" s="3"/>
      <c r="AN354" s="3"/>
      <c r="AO354" s="3"/>
      <c r="AP354" s="3"/>
      <c r="AQ354" s="3"/>
      <c r="AR354" s="3"/>
    </row>
    <row r="355" spans="1:44" ht="16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S355" s="3"/>
      <c r="T355" s="3"/>
      <c r="U355" s="3"/>
      <c r="V355" s="3"/>
      <c r="W355" s="3"/>
      <c r="X355" s="3"/>
      <c r="Y355" s="3"/>
      <c r="Z355" s="3"/>
      <c r="AB355" s="3"/>
      <c r="AC355" s="3"/>
      <c r="AD355" s="3"/>
      <c r="AE355" s="3"/>
      <c r="AF355" s="3"/>
      <c r="AG355" s="3"/>
      <c r="AH355" s="3"/>
      <c r="AI355" s="3"/>
      <c r="AK355" s="3"/>
      <c r="AL355" s="3"/>
      <c r="AM355" s="3"/>
      <c r="AN355" s="3"/>
      <c r="AO355" s="3"/>
      <c r="AP355" s="3"/>
      <c r="AQ355" s="3"/>
      <c r="AR355" s="3"/>
    </row>
    <row r="356" spans="1:44" ht="16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S356" s="3"/>
      <c r="T356" s="3"/>
      <c r="U356" s="3"/>
      <c r="V356" s="3"/>
      <c r="W356" s="3"/>
      <c r="X356" s="3"/>
      <c r="Y356" s="3"/>
      <c r="Z356" s="3"/>
      <c r="AB356" s="3"/>
      <c r="AC356" s="3"/>
      <c r="AD356" s="3"/>
      <c r="AE356" s="3"/>
      <c r="AF356" s="3"/>
      <c r="AG356" s="3"/>
      <c r="AH356" s="3"/>
      <c r="AI356" s="3"/>
      <c r="AK356" s="3"/>
      <c r="AL356" s="3"/>
      <c r="AM356" s="3"/>
      <c r="AN356" s="3"/>
      <c r="AO356" s="3"/>
      <c r="AP356" s="3"/>
      <c r="AQ356" s="3"/>
      <c r="AR356" s="3"/>
    </row>
    <row r="357" spans="1:44" ht="16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S357" s="3"/>
      <c r="T357" s="3"/>
      <c r="U357" s="3"/>
      <c r="V357" s="3"/>
      <c r="W357" s="3"/>
      <c r="X357" s="3"/>
      <c r="Y357" s="3"/>
      <c r="Z357" s="3"/>
      <c r="AB357" s="3"/>
      <c r="AC357" s="3"/>
      <c r="AD357" s="3"/>
      <c r="AE357" s="3"/>
      <c r="AF357" s="3"/>
      <c r="AG357" s="3"/>
      <c r="AH357" s="3"/>
      <c r="AI357" s="3"/>
      <c r="AK357" s="3"/>
      <c r="AL357" s="3"/>
      <c r="AM357" s="3"/>
      <c r="AN357" s="3"/>
      <c r="AO357" s="3"/>
      <c r="AP357" s="3"/>
      <c r="AQ357" s="3"/>
      <c r="AR357" s="3"/>
    </row>
    <row r="358" spans="1:44" ht="16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S358" s="3"/>
      <c r="T358" s="3"/>
      <c r="U358" s="3"/>
      <c r="V358" s="3"/>
      <c r="W358" s="3"/>
      <c r="X358" s="3"/>
      <c r="Y358" s="3"/>
      <c r="Z358" s="3"/>
      <c r="AB358" s="3"/>
      <c r="AC358" s="3"/>
      <c r="AD358" s="3"/>
      <c r="AE358" s="3"/>
      <c r="AF358" s="3"/>
      <c r="AG358" s="3"/>
      <c r="AH358" s="3"/>
      <c r="AI358" s="3"/>
      <c r="AK358" s="3"/>
      <c r="AL358" s="3"/>
      <c r="AM358" s="3"/>
      <c r="AN358" s="3"/>
      <c r="AO358" s="3"/>
      <c r="AP358" s="3"/>
      <c r="AQ358" s="3"/>
      <c r="AR358" s="3"/>
    </row>
    <row r="359" spans="1:44" ht="16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S359" s="3"/>
      <c r="T359" s="3"/>
      <c r="U359" s="3"/>
      <c r="V359" s="3"/>
      <c r="W359" s="3"/>
      <c r="X359" s="3"/>
      <c r="Y359" s="3"/>
      <c r="Z359" s="3"/>
      <c r="AB359" s="3"/>
      <c r="AC359" s="3"/>
      <c r="AD359" s="3"/>
      <c r="AE359" s="3"/>
      <c r="AF359" s="3"/>
      <c r="AG359" s="3"/>
      <c r="AH359" s="3"/>
      <c r="AI359" s="3"/>
      <c r="AK359" s="3"/>
      <c r="AL359" s="3"/>
      <c r="AM359" s="3"/>
      <c r="AN359" s="3"/>
      <c r="AO359" s="3"/>
      <c r="AP359" s="3"/>
      <c r="AQ359" s="3"/>
      <c r="AR359" s="3"/>
    </row>
    <row r="360" spans="1:44" ht="16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S360" s="3"/>
      <c r="T360" s="3"/>
      <c r="U360" s="3"/>
      <c r="V360" s="3"/>
      <c r="W360" s="3"/>
      <c r="X360" s="3"/>
      <c r="Y360" s="3"/>
      <c r="Z360" s="3"/>
      <c r="AB360" s="3"/>
      <c r="AC360" s="3"/>
      <c r="AD360" s="3"/>
      <c r="AE360" s="3"/>
      <c r="AF360" s="3"/>
      <c r="AG360" s="3"/>
      <c r="AH360" s="3"/>
      <c r="AI360" s="3"/>
      <c r="AK360" s="3"/>
      <c r="AL360" s="3"/>
      <c r="AM360" s="3"/>
      <c r="AN360" s="3"/>
      <c r="AO360" s="3"/>
      <c r="AP360" s="3"/>
      <c r="AQ360" s="3"/>
      <c r="AR360" s="3"/>
    </row>
    <row r="361" spans="1:44" ht="16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S361" s="3"/>
      <c r="T361" s="3"/>
      <c r="U361" s="3"/>
      <c r="V361" s="3"/>
      <c r="W361" s="3"/>
      <c r="X361" s="3"/>
      <c r="Y361" s="3"/>
      <c r="Z361" s="3"/>
      <c r="AB361" s="3"/>
      <c r="AC361" s="3"/>
      <c r="AD361" s="3"/>
      <c r="AE361" s="3"/>
      <c r="AF361" s="3"/>
      <c r="AG361" s="3"/>
      <c r="AH361" s="3"/>
      <c r="AI361" s="3"/>
      <c r="AK361" s="3"/>
      <c r="AL361" s="3"/>
      <c r="AM361" s="3"/>
      <c r="AN361" s="3"/>
      <c r="AO361" s="3"/>
      <c r="AP361" s="3"/>
      <c r="AQ361" s="3"/>
      <c r="AR361" s="3"/>
    </row>
    <row r="362" spans="1:44" ht="16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S362" s="3"/>
      <c r="T362" s="3"/>
      <c r="U362" s="3"/>
      <c r="V362" s="3"/>
      <c r="W362" s="3"/>
      <c r="X362" s="3"/>
      <c r="Y362" s="3"/>
      <c r="Z362" s="3"/>
      <c r="AB362" s="3"/>
      <c r="AC362" s="3"/>
      <c r="AD362" s="3"/>
      <c r="AE362" s="3"/>
      <c r="AF362" s="3"/>
      <c r="AG362" s="3"/>
      <c r="AH362" s="3"/>
      <c r="AI362" s="3"/>
      <c r="AK362" s="3"/>
      <c r="AL362" s="3"/>
      <c r="AM362" s="3"/>
      <c r="AN362" s="3"/>
      <c r="AO362" s="3"/>
      <c r="AP362" s="3"/>
      <c r="AQ362" s="3"/>
      <c r="AR362" s="3"/>
    </row>
    <row r="363" spans="1:44" ht="16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S363" s="3"/>
      <c r="T363" s="3"/>
      <c r="U363" s="3"/>
      <c r="V363" s="3"/>
      <c r="W363" s="3"/>
      <c r="X363" s="3"/>
      <c r="Y363" s="3"/>
      <c r="Z363" s="3"/>
      <c r="AB363" s="3"/>
      <c r="AC363" s="3"/>
      <c r="AD363" s="3"/>
      <c r="AE363" s="3"/>
      <c r="AF363" s="3"/>
      <c r="AG363" s="3"/>
      <c r="AH363" s="3"/>
      <c r="AI363" s="3"/>
      <c r="AK363" s="3"/>
      <c r="AL363" s="3"/>
      <c r="AM363" s="3"/>
      <c r="AN363" s="3"/>
      <c r="AO363" s="3"/>
      <c r="AP363" s="3"/>
      <c r="AQ363" s="3"/>
      <c r="AR363" s="3"/>
    </row>
    <row r="364" spans="1:44" ht="16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S364" s="3"/>
      <c r="T364" s="3"/>
      <c r="U364" s="3"/>
      <c r="V364" s="3"/>
      <c r="W364" s="3"/>
      <c r="X364" s="3"/>
      <c r="Y364" s="3"/>
      <c r="Z364" s="3"/>
      <c r="AB364" s="3"/>
      <c r="AC364" s="3"/>
      <c r="AD364" s="3"/>
      <c r="AE364" s="3"/>
      <c r="AF364" s="3"/>
      <c r="AG364" s="3"/>
      <c r="AH364" s="3"/>
      <c r="AI364" s="3"/>
      <c r="AK364" s="3"/>
      <c r="AL364" s="3"/>
      <c r="AM364" s="3"/>
      <c r="AN364" s="3"/>
      <c r="AO364" s="3"/>
      <c r="AP364" s="3"/>
      <c r="AQ364" s="3"/>
      <c r="AR364" s="3"/>
    </row>
    <row r="365" spans="1:44" ht="16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S365" s="3"/>
      <c r="T365" s="3"/>
      <c r="U365" s="3"/>
      <c r="V365" s="3"/>
      <c r="W365" s="3"/>
      <c r="X365" s="3"/>
      <c r="Y365" s="3"/>
      <c r="Z365" s="3"/>
      <c r="AB365" s="3"/>
      <c r="AC365" s="3"/>
      <c r="AD365" s="3"/>
      <c r="AE365" s="3"/>
      <c r="AF365" s="3"/>
      <c r="AG365" s="3"/>
      <c r="AH365" s="3"/>
      <c r="AI365" s="3"/>
      <c r="AK365" s="3"/>
      <c r="AL365" s="3"/>
      <c r="AM365" s="3"/>
      <c r="AN365" s="3"/>
      <c r="AO365" s="3"/>
      <c r="AP365" s="3"/>
      <c r="AQ365" s="3"/>
      <c r="AR365" s="3"/>
    </row>
    <row r="366" spans="1:44" ht="16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S366" s="3"/>
      <c r="T366" s="3"/>
      <c r="U366" s="3"/>
      <c r="V366" s="3"/>
      <c r="W366" s="3"/>
      <c r="X366" s="3"/>
      <c r="Y366" s="3"/>
      <c r="Z366" s="3"/>
      <c r="AB366" s="3"/>
      <c r="AC366" s="3"/>
      <c r="AD366" s="3"/>
      <c r="AE366" s="3"/>
      <c r="AF366" s="3"/>
      <c r="AG366" s="3"/>
      <c r="AH366" s="3"/>
      <c r="AI366" s="3"/>
      <c r="AK366" s="3"/>
      <c r="AL366" s="3"/>
      <c r="AM366" s="3"/>
      <c r="AN366" s="3"/>
      <c r="AO366" s="3"/>
      <c r="AP366" s="3"/>
      <c r="AQ366" s="3"/>
      <c r="AR366" s="3"/>
    </row>
    <row r="367" spans="1:44" ht="16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S367" s="3"/>
      <c r="T367" s="3"/>
      <c r="U367" s="3"/>
      <c r="V367" s="3"/>
      <c r="W367" s="3"/>
      <c r="X367" s="3"/>
      <c r="Y367" s="3"/>
      <c r="Z367" s="3"/>
      <c r="AB367" s="3"/>
      <c r="AC367" s="3"/>
      <c r="AD367" s="3"/>
      <c r="AE367" s="3"/>
      <c r="AF367" s="3"/>
      <c r="AG367" s="3"/>
      <c r="AH367" s="3"/>
      <c r="AI367" s="3"/>
      <c r="AK367" s="3"/>
      <c r="AL367" s="3"/>
      <c r="AM367" s="3"/>
      <c r="AN367" s="3"/>
      <c r="AO367" s="3"/>
      <c r="AP367" s="3"/>
      <c r="AQ367" s="3"/>
      <c r="AR367" s="3"/>
    </row>
    <row r="368" spans="1:44" ht="16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S368" s="3"/>
      <c r="T368" s="3"/>
      <c r="U368" s="3"/>
      <c r="V368" s="3"/>
      <c r="W368" s="3"/>
      <c r="X368" s="3"/>
      <c r="Y368" s="3"/>
      <c r="Z368" s="3"/>
      <c r="AB368" s="3"/>
      <c r="AC368" s="3"/>
      <c r="AD368" s="3"/>
      <c r="AE368" s="3"/>
      <c r="AF368" s="3"/>
      <c r="AG368" s="3"/>
      <c r="AH368" s="3"/>
      <c r="AI368" s="3"/>
      <c r="AK368" s="3"/>
      <c r="AL368" s="3"/>
      <c r="AM368" s="3"/>
      <c r="AN368" s="3"/>
      <c r="AO368" s="3"/>
      <c r="AP368" s="3"/>
      <c r="AQ368" s="3"/>
      <c r="AR368" s="3"/>
    </row>
    <row r="369" spans="1:44" ht="16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S369" s="3"/>
      <c r="T369" s="3"/>
      <c r="U369" s="3"/>
      <c r="V369" s="3"/>
      <c r="W369" s="3"/>
      <c r="X369" s="3"/>
      <c r="Y369" s="3"/>
      <c r="Z369" s="3"/>
      <c r="AB369" s="3"/>
      <c r="AC369" s="3"/>
      <c r="AD369" s="3"/>
      <c r="AE369" s="3"/>
      <c r="AF369" s="3"/>
      <c r="AG369" s="3"/>
      <c r="AH369" s="3"/>
      <c r="AI369" s="3"/>
      <c r="AK369" s="3"/>
      <c r="AL369" s="3"/>
      <c r="AM369" s="3"/>
      <c r="AN369" s="3"/>
      <c r="AO369" s="3"/>
      <c r="AP369" s="3"/>
      <c r="AQ369" s="3"/>
      <c r="AR369" s="3"/>
    </row>
    <row r="370" spans="1:44" ht="16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S370" s="3"/>
      <c r="T370" s="3"/>
      <c r="U370" s="3"/>
      <c r="V370" s="3"/>
      <c r="W370" s="3"/>
      <c r="X370" s="3"/>
      <c r="Y370" s="3"/>
      <c r="Z370" s="3"/>
      <c r="AB370" s="3"/>
      <c r="AC370" s="3"/>
      <c r="AD370" s="3"/>
      <c r="AE370" s="3"/>
      <c r="AF370" s="3"/>
      <c r="AG370" s="3"/>
      <c r="AH370" s="3"/>
      <c r="AI370" s="3"/>
      <c r="AK370" s="3"/>
      <c r="AL370" s="3"/>
      <c r="AM370" s="3"/>
      <c r="AN370" s="3"/>
      <c r="AO370" s="3"/>
      <c r="AP370" s="3"/>
      <c r="AQ370" s="3"/>
      <c r="AR370" s="3"/>
    </row>
    <row r="371" spans="1:44" ht="16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S371" s="3"/>
      <c r="T371" s="3"/>
      <c r="U371" s="3"/>
      <c r="V371" s="3"/>
      <c r="W371" s="3"/>
      <c r="X371" s="3"/>
      <c r="Y371" s="3"/>
      <c r="Z371" s="3"/>
      <c r="AB371" s="3"/>
      <c r="AC371" s="3"/>
      <c r="AD371" s="3"/>
      <c r="AE371" s="3"/>
      <c r="AF371" s="3"/>
      <c r="AG371" s="3"/>
      <c r="AH371" s="3"/>
      <c r="AI371" s="3"/>
      <c r="AK371" s="3"/>
      <c r="AL371" s="3"/>
      <c r="AM371" s="3"/>
      <c r="AN371" s="3"/>
      <c r="AO371" s="3"/>
      <c r="AP371" s="3"/>
      <c r="AQ371" s="3"/>
      <c r="AR371" s="3"/>
    </row>
    <row r="372" spans="1:44" ht="16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S372" s="3"/>
      <c r="T372" s="3"/>
      <c r="U372" s="3"/>
      <c r="V372" s="3"/>
      <c r="W372" s="3"/>
      <c r="X372" s="3"/>
      <c r="Y372" s="3"/>
      <c r="Z372" s="3"/>
      <c r="AB372" s="3"/>
      <c r="AC372" s="3"/>
      <c r="AD372" s="3"/>
      <c r="AE372" s="3"/>
      <c r="AF372" s="3"/>
      <c r="AG372" s="3"/>
      <c r="AH372" s="3"/>
      <c r="AI372" s="3"/>
      <c r="AK372" s="3"/>
      <c r="AL372" s="3"/>
      <c r="AM372" s="3"/>
      <c r="AN372" s="3"/>
      <c r="AO372" s="3"/>
      <c r="AP372" s="3"/>
      <c r="AQ372" s="3"/>
      <c r="AR372" s="3"/>
    </row>
    <row r="373" spans="1:44" ht="16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S373" s="3"/>
      <c r="T373" s="3"/>
      <c r="U373" s="3"/>
      <c r="V373" s="3"/>
      <c r="W373" s="3"/>
      <c r="X373" s="3"/>
      <c r="Y373" s="3"/>
      <c r="Z373" s="3"/>
      <c r="AB373" s="3"/>
      <c r="AC373" s="3"/>
      <c r="AD373" s="3"/>
      <c r="AE373" s="3"/>
      <c r="AF373" s="3"/>
      <c r="AG373" s="3"/>
      <c r="AH373" s="3"/>
      <c r="AI373" s="3"/>
      <c r="AK373" s="3"/>
      <c r="AL373" s="3"/>
      <c r="AM373" s="3"/>
      <c r="AN373" s="3"/>
      <c r="AO373" s="3"/>
      <c r="AP373" s="3"/>
      <c r="AQ373" s="3"/>
      <c r="AR373" s="3"/>
    </row>
    <row r="374" spans="1:44" ht="16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S374" s="3"/>
      <c r="T374" s="3"/>
      <c r="U374" s="3"/>
      <c r="V374" s="3"/>
      <c r="W374" s="3"/>
      <c r="X374" s="3"/>
      <c r="Y374" s="3"/>
      <c r="Z374" s="3"/>
      <c r="AB374" s="3"/>
      <c r="AC374" s="3"/>
      <c r="AD374" s="3"/>
      <c r="AE374" s="3"/>
      <c r="AF374" s="3"/>
      <c r="AG374" s="3"/>
      <c r="AH374" s="3"/>
      <c r="AI374" s="3"/>
      <c r="AK374" s="3"/>
      <c r="AL374" s="3"/>
      <c r="AM374" s="3"/>
      <c r="AN374" s="3"/>
      <c r="AO374" s="3"/>
      <c r="AP374" s="3"/>
      <c r="AQ374" s="3"/>
      <c r="AR374" s="3"/>
    </row>
    <row r="375" spans="1:44" ht="16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S375" s="3"/>
      <c r="T375" s="3"/>
      <c r="U375" s="3"/>
      <c r="V375" s="3"/>
      <c r="W375" s="3"/>
      <c r="X375" s="3"/>
      <c r="Y375" s="3"/>
      <c r="Z375" s="3"/>
      <c r="AB375" s="3"/>
      <c r="AC375" s="3"/>
      <c r="AD375" s="3"/>
      <c r="AE375" s="3"/>
      <c r="AF375" s="3"/>
      <c r="AG375" s="3"/>
      <c r="AH375" s="3"/>
      <c r="AI375" s="3"/>
      <c r="AK375" s="3"/>
      <c r="AL375" s="3"/>
      <c r="AM375" s="3"/>
      <c r="AN375" s="3"/>
      <c r="AO375" s="3"/>
      <c r="AP375" s="3"/>
      <c r="AQ375" s="3"/>
      <c r="AR375" s="3"/>
    </row>
    <row r="376" spans="1:44" ht="16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S376" s="3"/>
      <c r="T376" s="3"/>
      <c r="U376" s="3"/>
      <c r="V376" s="3"/>
      <c r="W376" s="3"/>
      <c r="X376" s="3"/>
      <c r="Y376" s="3"/>
      <c r="Z376" s="3"/>
      <c r="AB376" s="3"/>
      <c r="AC376" s="3"/>
      <c r="AD376" s="3"/>
      <c r="AE376" s="3"/>
      <c r="AF376" s="3"/>
      <c r="AG376" s="3"/>
      <c r="AH376" s="3"/>
      <c r="AI376" s="3"/>
      <c r="AK376" s="3"/>
      <c r="AL376" s="3"/>
      <c r="AM376" s="3"/>
      <c r="AN376" s="3"/>
      <c r="AO376" s="3"/>
      <c r="AP376" s="3"/>
      <c r="AQ376" s="3"/>
      <c r="AR376" s="3"/>
    </row>
    <row r="377" spans="1:44" ht="16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S377" s="3"/>
      <c r="T377" s="3"/>
      <c r="U377" s="3"/>
      <c r="V377" s="3"/>
      <c r="W377" s="3"/>
      <c r="X377" s="3"/>
      <c r="Y377" s="3"/>
      <c r="Z377" s="3"/>
      <c r="AB377" s="3"/>
      <c r="AC377" s="3"/>
      <c r="AD377" s="3"/>
      <c r="AE377" s="3"/>
      <c r="AF377" s="3"/>
      <c r="AG377" s="3"/>
      <c r="AH377" s="3"/>
      <c r="AI377" s="3"/>
      <c r="AK377" s="3"/>
      <c r="AL377" s="3"/>
      <c r="AM377" s="3"/>
      <c r="AN377" s="3"/>
      <c r="AO377" s="3"/>
      <c r="AP377" s="3"/>
      <c r="AQ377" s="3"/>
      <c r="AR377" s="3"/>
    </row>
    <row r="378" spans="1:44" ht="16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S378" s="3"/>
      <c r="T378" s="3"/>
      <c r="U378" s="3"/>
      <c r="V378" s="3"/>
      <c r="W378" s="3"/>
      <c r="X378" s="3"/>
      <c r="Y378" s="3"/>
      <c r="Z378" s="3"/>
      <c r="AB378" s="3"/>
      <c r="AC378" s="3"/>
      <c r="AD378" s="3"/>
      <c r="AE378" s="3"/>
      <c r="AF378" s="3"/>
      <c r="AG378" s="3"/>
      <c r="AH378" s="3"/>
      <c r="AI378" s="3"/>
      <c r="AK378" s="3"/>
      <c r="AL378" s="3"/>
      <c r="AM378" s="3"/>
      <c r="AN378" s="3"/>
      <c r="AO378" s="3"/>
      <c r="AP378" s="3"/>
      <c r="AQ378" s="3"/>
      <c r="AR378" s="3"/>
    </row>
    <row r="379" spans="1:44" ht="16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S379" s="3"/>
      <c r="T379" s="3"/>
      <c r="U379" s="3"/>
      <c r="V379" s="3"/>
      <c r="W379" s="3"/>
      <c r="X379" s="3"/>
      <c r="Y379" s="3"/>
      <c r="Z379" s="3"/>
      <c r="AB379" s="3"/>
      <c r="AC379" s="3"/>
      <c r="AD379" s="3"/>
      <c r="AE379" s="3"/>
      <c r="AF379" s="3"/>
      <c r="AG379" s="3"/>
      <c r="AH379" s="3"/>
      <c r="AI379" s="3"/>
      <c r="AK379" s="3"/>
      <c r="AL379" s="3"/>
      <c r="AM379" s="3"/>
      <c r="AN379" s="3"/>
      <c r="AO379" s="3"/>
      <c r="AP379" s="3"/>
      <c r="AQ379" s="3"/>
      <c r="AR379" s="3"/>
    </row>
    <row r="380" spans="1:44" ht="16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S380" s="3"/>
      <c r="T380" s="3"/>
      <c r="U380" s="3"/>
      <c r="V380" s="3"/>
      <c r="W380" s="3"/>
      <c r="X380" s="3"/>
      <c r="Y380" s="3"/>
      <c r="Z380" s="3"/>
      <c r="AB380" s="3"/>
      <c r="AC380" s="3"/>
      <c r="AD380" s="3"/>
      <c r="AE380" s="3"/>
      <c r="AF380" s="3"/>
      <c r="AG380" s="3"/>
      <c r="AH380" s="3"/>
      <c r="AI380" s="3"/>
      <c r="AK380" s="3"/>
      <c r="AL380" s="3"/>
      <c r="AM380" s="3"/>
      <c r="AN380" s="3"/>
      <c r="AO380" s="3"/>
      <c r="AP380" s="3"/>
      <c r="AQ380" s="3"/>
      <c r="AR380" s="3"/>
    </row>
    <row r="381" spans="1:44" ht="16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S381" s="3"/>
      <c r="T381" s="3"/>
      <c r="U381" s="3"/>
      <c r="V381" s="3"/>
      <c r="W381" s="3"/>
      <c r="X381" s="3"/>
      <c r="Y381" s="3"/>
      <c r="Z381" s="3"/>
      <c r="AB381" s="3"/>
      <c r="AC381" s="3"/>
      <c r="AD381" s="3"/>
      <c r="AE381" s="3"/>
      <c r="AF381" s="3"/>
      <c r="AG381" s="3"/>
      <c r="AH381" s="3"/>
      <c r="AI381" s="3"/>
      <c r="AK381" s="3"/>
      <c r="AL381" s="3"/>
      <c r="AM381" s="3"/>
      <c r="AN381" s="3"/>
      <c r="AO381" s="3"/>
      <c r="AP381" s="3"/>
      <c r="AQ381" s="3"/>
      <c r="AR381" s="3"/>
    </row>
    <row r="382" spans="1:44" ht="16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S382" s="3"/>
      <c r="T382" s="3"/>
      <c r="U382" s="3"/>
      <c r="V382" s="3"/>
      <c r="W382" s="3"/>
      <c r="X382" s="3"/>
      <c r="Y382" s="3"/>
      <c r="Z382" s="3"/>
      <c r="AB382" s="3"/>
      <c r="AC382" s="3"/>
      <c r="AD382" s="3"/>
      <c r="AE382" s="3"/>
      <c r="AF382" s="3"/>
      <c r="AG382" s="3"/>
      <c r="AH382" s="3"/>
      <c r="AI382" s="3"/>
      <c r="AK382" s="3"/>
      <c r="AL382" s="3"/>
      <c r="AM382" s="3"/>
      <c r="AN382" s="3"/>
      <c r="AO382" s="3"/>
      <c r="AP382" s="3"/>
      <c r="AQ382" s="3"/>
      <c r="AR382" s="3"/>
    </row>
    <row r="383" spans="1:44" ht="16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S383" s="3"/>
      <c r="T383" s="3"/>
      <c r="U383" s="3"/>
      <c r="V383" s="3"/>
      <c r="W383" s="3"/>
      <c r="X383" s="3"/>
      <c r="Y383" s="3"/>
      <c r="Z383" s="3"/>
      <c r="AB383" s="3"/>
      <c r="AC383" s="3"/>
      <c r="AD383" s="3"/>
      <c r="AE383" s="3"/>
      <c r="AF383" s="3"/>
      <c r="AG383" s="3"/>
      <c r="AH383" s="3"/>
      <c r="AI383" s="3"/>
      <c r="AK383" s="3"/>
      <c r="AL383" s="3"/>
      <c r="AM383" s="3"/>
      <c r="AN383" s="3"/>
      <c r="AO383" s="3"/>
      <c r="AP383" s="3"/>
      <c r="AQ383" s="3"/>
      <c r="AR383" s="3"/>
    </row>
    <row r="384" spans="1:44" ht="16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S384" s="3"/>
      <c r="T384" s="3"/>
      <c r="U384" s="3"/>
      <c r="V384" s="3"/>
      <c r="W384" s="3"/>
      <c r="X384" s="3"/>
      <c r="Y384" s="3"/>
      <c r="Z384" s="3"/>
      <c r="AB384" s="3"/>
      <c r="AC384" s="3"/>
      <c r="AD384" s="3"/>
      <c r="AE384" s="3"/>
      <c r="AF384" s="3"/>
      <c r="AG384" s="3"/>
      <c r="AH384" s="3"/>
      <c r="AI384" s="3"/>
      <c r="AK384" s="3"/>
      <c r="AL384" s="3"/>
      <c r="AM384" s="3"/>
      <c r="AN384" s="3"/>
      <c r="AO384" s="3"/>
      <c r="AP384" s="3"/>
      <c r="AQ384" s="3"/>
      <c r="AR384" s="3"/>
    </row>
    <row r="385" spans="1:44" ht="16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S385" s="3"/>
      <c r="T385" s="3"/>
      <c r="U385" s="3"/>
      <c r="V385" s="3"/>
      <c r="W385" s="3"/>
      <c r="X385" s="3"/>
      <c r="Y385" s="3"/>
      <c r="Z385" s="3"/>
      <c r="AB385" s="3"/>
      <c r="AC385" s="3"/>
      <c r="AD385" s="3"/>
      <c r="AE385" s="3"/>
      <c r="AF385" s="3"/>
      <c r="AG385" s="3"/>
      <c r="AH385" s="3"/>
      <c r="AI385" s="3"/>
      <c r="AK385" s="3"/>
      <c r="AL385" s="3"/>
      <c r="AM385" s="3"/>
      <c r="AN385" s="3"/>
      <c r="AO385" s="3"/>
      <c r="AP385" s="3"/>
      <c r="AQ385" s="3"/>
      <c r="AR385" s="3"/>
    </row>
    <row r="386" spans="1:44" ht="16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S386" s="3"/>
      <c r="T386" s="3"/>
      <c r="U386" s="3"/>
      <c r="V386" s="3"/>
      <c r="W386" s="3"/>
      <c r="X386" s="3"/>
      <c r="Y386" s="3"/>
      <c r="Z386" s="3"/>
      <c r="AB386" s="3"/>
      <c r="AC386" s="3"/>
      <c r="AD386" s="3"/>
      <c r="AE386" s="3"/>
      <c r="AF386" s="3"/>
      <c r="AG386" s="3"/>
      <c r="AH386" s="3"/>
      <c r="AI386" s="3"/>
      <c r="AK386" s="3"/>
      <c r="AL386" s="3"/>
      <c r="AM386" s="3"/>
      <c r="AN386" s="3"/>
      <c r="AO386" s="3"/>
      <c r="AP386" s="3"/>
      <c r="AQ386" s="3"/>
      <c r="AR386" s="3"/>
    </row>
    <row r="387" spans="1:44" ht="16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S387" s="3"/>
      <c r="T387" s="3"/>
      <c r="U387" s="3"/>
      <c r="V387" s="3"/>
      <c r="W387" s="3"/>
      <c r="X387" s="3"/>
      <c r="Y387" s="3"/>
      <c r="Z387" s="3"/>
      <c r="AB387" s="3"/>
      <c r="AC387" s="3"/>
      <c r="AD387" s="3"/>
      <c r="AE387" s="3"/>
      <c r="AF387" s="3"/>
      <c r="AG387" s="3"/>
      <c r="AH387" s="3"/>
      <c r="AI387" s="3"/>
      <c r="AK387" s="3"/>
      <c r="AL387" s="3"/>
      <c r="AM387" s="3"/>
      <c r="AN387" s="3"/>
      <c r="AO387" s="3"/>
      <c r="AP387" s="3"/>
      <c r="AQ387" s="3"/>
      <c r="AR387" s="3"/>
    </row>
    <row r="388" spans="1:44" ht="16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S388" s="3"/>
      <c r="T388" s="3"/>
      <c r="U388" s="3"/>
      <c r="V388" s="3"/>
      <c r="W388" s="3"/>
      <c r="X388" s="3"/>
      <c r="Y388" s="3"/>
      <c r="Z388" s="3"/>
      <c r="AB388" s="3"/>
      <c r="AC388" s="3"/>
      <c r="AD388" s="3"/>
      <c r="AE388" s="3"/>
      <c r="AF388" s="3"/>
      <c r="AG388" s="3"/>
      <c r="AH388" s="3"/>
      <c r="AI388" s="3"/>
      <c r="AK388" s="3"/>
      <c r="AL388" s="3"/>
      <c r="AM388" s="3"/>
      <c r="AN388" s="3"/>
      <c r="AO388" s="3"/>
      <c r="AP388" s="3"/>
      <c r="AQ388" s="3"/>
      <c r="AR388" s="3"/>
    </row>
    <row r="389" spans="1:44" ht="16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S389" s="3"/>
      <c r="T389" s="3"/>
      <c r="U389" s="3"/>
      <c r="V389" s="3"/>
      <c r="W389" s="3"/>
      <c r="X389" s="3"/>
      <c r="Y389" s="3"/>
      <c r="Z389" s="3"/>
      <c r="AB389" s="3"/>
      <c r="AC389" s="3"/>
      <c r="AD389" s="3"/>
      <c r="AE389" s="3"/>
      <c r="AF389" s="3"/>
      <c r="AG389" s="3"/>
      <c r="AH389" s="3"/>
      <c r="AI389" s="3"/>
      <c r="AK389" s="3"/>
      <c r="AL389" s="3"/>
      <c r="AM389" s="3"/>
      <c r="AN389" s="3"/>
      <c r="AO389" s="3"/>
      <c r="AP389" s="3"/>
      <c r="AQ389" s="3"/>
      <c r="AR389" s="3"/>
    </row>
    <row r="390" spans="1:44" ht="16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S390" s="3"/>
      <c r="T390" s="3"/>
      <c r="U390" s="3"/>
      <c r="V390" s="3"/>
      <c r="W390" s="3"/>
      <c r="X390" s="3"/>
      <c r="Y390" s="3"/>
      <c r="Z390" s="3"/>
      <c r="AB390" s="3"/>
      <c r="AC390" s="3"/>
      <c r="AD390" s="3"/>
      <c r="AE390" s="3"/>
      <c r="AF390" s="3"/>
      <c r="AG390" s="3"/>
      <c r="AH390" s="3"/>
      <c r="AI390" s="3"/>
      <c r="AK390" s="3"/>
      <c r="AL390" s="3"/>
      <c r="AM390" s="3"/>
      <c r="AN390" s="3"/>
      <c r="AO390" s="3"/>
      <c r="AP390" s="3"/>
      <c r="AQ390" s="3"/>
      <c r="AR390" s="3"/>
    </row>
    <row r="391" spans="1:44" ht="16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S391" s="3"/>
      <c r="T391" s="3"/>
      <c r="U391" s="3"/>
      <c r="V391" s="3"/>
      <c r="W391" s="3"/>
      <c r="X391" s="3"/>
      <c r="Y391" s="3"/>
      <c r="Z391" s="3"/>
      <c r="AB391" s="3"/>
      <c r="AC391" s="3"/>
      <c r="AD391" s="3"/>
      <c r="AE391" s="3"/>
      <c r="AF391" s="3"/>
      <c r="AG391" s="3"/>
      <c r="AH391" s="3"/>
      <c r="AI391" s="3"/>
      <c r="AK391" s="3"/>
      <c r="AL391" s="3"/>
      <c r="AM391" s="3"/>
      <c r="AN391" s="3"/>
      <c r="AO391" s="3"/>
      <c r="AP391" s="3"/>
      <c r="AQ391" s="3"/>
      <c r="AR391" s="3"/>
    </row>
    <row r="392" spans="1:44" ht="16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S392" s="3"/>
      <c r="T392" s="3"/>
      <c r="U392" s="3"/>
      <c r="V392" s="3"/>
      <c r="W392" s="3"/>
      <c r="X392" s="3"/>
      <c r="Y392" s="3"/>
      <c r="Z392" s="3"/>
      <c r="AB392" s="3"/>
      <c r="AC392" s="3"/>
      <c r="AD392" s="3"/>
      <c r="AE392" s="3"/>
      <c r="AF392" s="3"/>
      <c r="AG392" s="3"/>
      <c r="AH392" s="3"/>
      <c r="AI392" s="3"/>
      <c r="AK392" s="3"/>
      <c r="AL392" s="3"/>
      <c r="AM392" s="3"/>
      <c r="AN392" s="3"/>
      <c r="AO392" s="3"/>
      <c r="AP392" s="3"/>
      <c r="AQ392" s="3"/>
      <c r="AR392" s="3"/>
    </row>
    <row r="393" spans="1:44" ht="16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S393" s="3"/>
      <c r="T393" s="3"/>
      <c r="U393" s="3"/>
      <c r="V393" s="3"/>
      <c r="W393" s="3"/>
      <c r="X393" s="3"/>
      <c r="Y393" s="3"/>
      <c r="Z393" s="3"/>
      <c r="AB393" s="3"/>
      <c r="AC393" s="3"/>
      <c r="AD393" s="3"/>
      <c r="AE393" s="3"/>
      <c r="AF393" s="3"/>
      <c r="AG393" s="3"/>
      <c r="AH393" s="3"/>
      <c r="AI393" s="3"/>
      <c r="AK393" s="3"/>
      <c r="AL393" s="3"/>
      <c r="AM393" s="3"/>
      <c r="AN393" s="3"/>
      <c r="AO393" s="3"/>
      <c r="AP393" s="3"/>
      <c r="AQ393" s="3"/>
      <c r="AR393" s="3"/>
    </row>
    <row r="394" spans="1:44" ht="16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S394" s="3"/>
      <c r="T394" s="3"/>
      <c r="U394" s="3"/>
      <c r="V394" s="3"/>
      <c r="W394" s="3"/>
      <c r="X394" s="3"/>
      <c r="Y394" s="3"/>
      <c r="Z394" s="3"/>
      <c r="AB394" s="3"/>
      <c r="AC394" s="3"/>
      <c r="AD394" s="3"/>
      <c r="AE394" s="3"/>
      <c r="AF394" s="3"/>
      <c r="AG394" s="3"/>
      <c r="AH394" s="3"/>
      <c r="AI394" s="3"/>
      <c r="AK394" s="3"/>
      <c r="AL394" s="3"/>
      <c r="AM394" s="3"/>
      <c r="AN394" s="3"/>
      <c r="AO394" s="3"/>
      <c r="AP394" s="3"/>
      <c r="AQ394" s="3"/>
      <c r="AR394" s="3"/>
    </row>
    <row r="395" spans="1:44" ht="16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S395" s="3"/>
      <c r="T395" s="3"/>
      <c r="U395" s="3"/>
      <c r="V395" s="3"/>
      <c r="W395" s="3"/>
      <c r="X395" s="3"/>
      <c r="Y395" s="3"/>
      <c r="Z395" s="3"/>
      <c r="AB395" s="3"/>
      <c r="AC395" s="3"/>
      <c r="AD395" s="3"/>
      <c r="AE395" s="3"/>
      <c r="AF395" s="3"/>
      <c r="AG395" s="3"/>
      <c r="AH395" s="3"/>
      <c r="AI395" s="3"/>
      <c r="AK395" s="3"/>
      <c r="AL395" s="3"/>
      <c r="AM395" s="3"/>
      <c r="AN395" s="3"/>
      <c r="AO395" s="3"/>
      <c r="AP395" s="3"/>
      <c r="AQ395" s="3"/>
      <c r="AR395" s="3"/>
    </row>
    <row r="396" spans="1:44" ht="16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S396" s="3"/>
      <c r="T396" s="3"/>
      <c r="U396" s="3"/>
      <c r="V396" s="3"/>
      <c r="W396" s="3"/>
      <c r="X396" s="3"/>
      <c r="Y396" s="3"/>
      <c r="Z396" s="3"/>
      <c r="AB396" s="3"/>
      <c r="AC396" s="3"/>
      <c r="AD396" s="3"/>
      <c r="AE396" s="3"/>
      <c r="AF396" s="3"/>
      <c r="AG396" s="3"/>
      <c r="AH396" s="3"/>
      <c r="AI396" s="3"/>
      <c r="AK396" s="3"/>
      <c r="AL396" s="3"/>
      <c r="AM396" s="3"/>
      <c r="AN396" s="3"/>
      <c r="AO396" s="3"/>
      <c r="AP396" s="3"/>
      <c r="AQ396" s="3"/>
      <c r="AR396" s="3"/>
    </row>
    <row r="397" spans="1:44" ht="16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S397" s="3"/>
      <c r="T397" s="3"/>
      <c r="U397" s="3"/>
      <c r="V397" s="3"/>
      <c r="W397" s="3"/>
      <c r="X397" s="3"/>
      <c r="Y397" s="3"/>
      <c r="Z397" s="3"/>
      <c r="AB397" s="3"/>
      <c r="AC397" s="3"/>
      <c r="AD397" s="3"/>
      <c r="AE397" s="3"/>
      <c r="AF397" s="3"/>
      <c r="AG397" s="3"/>
      <c r="AH397" s="3"/>
      <c r="AI397" s="3"/>
      <c r="AK397" s="3"/>
      <c r="AL397" s="3"/>
      <c r="AM397" s="3"/>
      <c r="AN397" s="3"/>
      <c r="AO397" s="3"/>
      <c r="AP397" s="3"/>
      <c r="AQ397" s="3"/>
      <c r="AR397" s="3"/>
    </row>
    <row r="398" spans="1:44" ht="16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S398" s="3"/>
      <c r="T398" s="3"/>
      <c r="U398" s="3"/>
      <c r="V398" s="3"/>
      <c r="W398" s="3"/>
      <c r="X398" s="3"/>
      <c r="Y398" s="3"/>
      <c r="Z398" s="3"/>
      <c r="AB398" s="3"/>
      <c r="AC398" s="3"/>
      <c r="AD398" s="3"/>
      <c r="AE398" s="3"/>
      <c r="AF398" s="3"/>
      <c r="AG398" s="3"/>
      <c r="AH398" s="3"/>
      <c r="AI398" s="3"/>
      <c r="AK398" s="3"/>
      <c r="AL398" s="3"/>
      <c r="AM398" s="3"/>
      <c r="AN398" s="3"/>
      <c r="AO398" s="3"/>
      <c r="AP398" s="3"/>
      <c r="AQ398" s="3"/>
      <c r="AR398" s="3"/>
    </row>
    <row r="399" spans="1:44" ht="16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S399" s="3"/>
      <c r="T399" s="3"/>
      <c r="U399" s="3"/>
      <c r="V399" s="3"/>
      <c r="W399" s="3"/>
      <c r="X399" s="3"/>
      <c r="Y399" s="3"/>
      <c r="Z399" s="3"/>
      <c r="AB399" s="3"/>
      <c r="AC399" s="3"/>
      <c r="AD399" s="3"/>
      <c r="AE399" s="3"/>
      <c r="AF399" s="3"/>
      <c r="AG399" s="3"/>
      <c r="AH399" s="3"/>
      <c r="AI399" s="3"/>
      <c r="AK399" s="3"/>
      <c r="AL399" s="3"/>
      <c r="AM399" s="3"/>
      <c r="AN399" s="3"/>
      <c r="AO399" s="3"/>
      <c r="AP399" s="3"/>
      <c r="AQ399" s="3"/>
      <c r="AR399" s="3"/>
    </row>
    <row r="400" spans="1:44" ht="16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S400" s="3"/>
      <c r="T400" s="3"/>
      <c r="U400" s="3"/>
      <c r="V400" s="3"/>
      <c r="W400" s="3"/>
      <c r="X400" s="3"/>
      <c r="Y400" s="3"/>
      <c r="Z400" s="3"/>
      <c r="AB400" s="3"/>
      <c r="AC400" s="3"/>
      <c r="AD400" s="3"/>
      <c r="AE400" s="3"/>
      <c r="AF400" s="3"/>
      <c r="AG400" s="3"/>
      <c r="AH400" s="3"/>
      <c r="AI400" s="3"/>
      <c r="AK400" s="3"/>
      <c r="AL400" s="3"/>
      <c r="AM400" s="3"/>
      <c r="AN400" s="3"/>
      <c r="AO400" s="3"/>
      <c r="AP400" s="3"/>
      <c r="AQ400" s="3"/>
      <c r="AR400" s="3"/>
    </row>
    <row r="401" spans="1:44" ht="16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S401" s="3"/>
      <c r="T401" s="3"/>
      <c r="U401" s="3"/>
      <c r="V401" s="3"/>
      <c r="W401" s="3"/>
      <c r="X401" s="3"/>
      <c r="Y401" s="3"/>
      <c r="Z401" s="3"/>
      <c r="AB401" s="3"/>
      <c r="AC401" s="3"/>
      <c r="AD401" s="3"/>
      <c r="AE401" s="3"/>
      <c r="AF401" s="3"/>
      <c r="AG401" s="3"/>
      <c r="AH401" s="3"/>
      <c r="AI401" s="3"/>
      <c r="AK401" s="3"/>
      <c r="AL401" s="3"/>
      <c r="AM401" s="3"/>
      <c r="AN401" s="3"/>
      <c r="AO401" s="3"/>
      <c r="AP401" s="3"/>
      <c r="AQ401" s="3"/>
      <c r="AR401" s="3"/>
    </row>
    <row r="402" spans="1:44" ht="16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S402" s="3"/>
      <c r="T402" s="3"/>
      <c r="U402" s="3"/>
      <c r="V402" s="3"/>
      <c r="W402" s="3"/>
      <c r="X402" s="3"/>
      <c r="Y402" s="3"/>
      <c r="Z402" s="3"/>
      <c r="AB402" s="3"/>
      <c r="AC402" s="3"/>
      <c r="AD402" s="3"/>
      <c r="AE402" s="3"/>
      <c r="AF402" s="3"/>
      <c r="AG402" s="3"/>
      <c r="AH402" s="3"/>
      <c r="AI402" s="3"/>
      <c r="AK402" s="3"/>
      <c r="AL402" s="3"/>
      <c r="AM402" s="3"/>
      <c r="AN402" s="3"/>
      <c r="AO402" s="3"/>
      <c r="AP402" s="3"/>
      <c r="AQ402" s="3"/>
      <c r="AR402" s="3"/>
    </row>
    <row r="403" spans="1:44" ht="16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S403" s="3"/>
      <c r="T403" s="3"/>
      <c r="U403" s="3"/>
      <c r="V403" s="3"/>
      <c r="W403" s="3"/>
      <c r="X403" s="3"/>
      <c r="Y403" s="3"/>
      <c r="Z403" s="3"/>
      <c r="AB403" s="3"/>
      <c r="AC403" s="3"/>
      <c r="AD403" s="3"/>
      <c r="AE403" s="3"/>
      <c r="AF403" s="3"/>
      <c r="AG403" s="3"/>
      <c r="AH403" s="3"/>
      <c r="AI403" s="3"/>
      <c r="AK403" s="3"/>
      <c r="AL403" s="3"/>
      <c r="AM403" s="3"/>
      <c r="AN403" s="3"/>
      <c r="AO403" s="3"/>
      <c r="AP403" s="3"/>
      <c r="AQ403" s="3"/>
      <c r="AR403" s="3"/>
    </row>
    <row r="404" spans="1:44" ht="16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S404" s="3"/>
      <c r="T404" s="3"/>
      <c r="U404" s="3"/>
      <c r="V404" s="3"/>
      <c r="W404" s="3"/>
      <c r="X404" s="3"/>
      <c r="Y404" s="3"/>
      <c r="Z404" s="3"/>
      <c r="AB404" s="3"/>
      <c r="AC404" s="3"/>
      <c r="AD404" s="3"/>
      <c r="AE404" s="3"/>
      <c r="AF404" s="3"/>
      <c r="AG404" s="3"/>
      <c r="AH404" s="3"/>
      <c r="AI404" s="3"/>
      <c r="AK404" s="3"/>
      <c r="AL404" s="3"/>
      <c r="AM404" s="3"/>
      <c r="AN404" s="3"/>
      <c r="AO404" s="3"/>
      <c r="AP404" s="3"/>
      <c r="AQ404" s="3"/>
      <c r="AR404" s="3"/>
    </row>
    <row r="405" spans="1:44" ht="16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S405" s="3"/>
      <c r="T405" s="3"/>
      <c r="U405" s="3"/>
      <c r="V405" s="3"/>
      <c r="W405" s="3"/>
      <c r="X405" s="3"/>
      <c r="Y405" s="3"/>
      <c r="Z405" s="3"/>
      <c r="AB405" s="3"/>
      <c r="AC405" s="3"/>
      <c r="AD405" s="3"/>
      <c r="AE405" s="3"/>
      <c r="AF405" s="3"/>
      <c r="AG405" s="3"/>
      <c r="AH405" s="3"/>
      <c r="AI405" s="3"/>
      <c r="AK405" s="3"/>
      <c r="AL405" s="3"/>
      <c r="AM405" s="3"/>
      <c r="AN405" s="3"/>
      <c r="AO405" s="3"/>
      <c r="AP405" s="3"/>
      <c r="AQ405" s="3"/>
      <c r="AR405" s="3"/>
    </row>
    <row r="406" spans="1:44" ht="16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S406" s="3"/>
      <c r="T406" s="3"/>
      <c r="U406" s="3"/>
      <c r="V406" s="3"/>
      <c r="W406" s="3"/>
      <c r="X406" s="3"/>
      <c r="Y406" s="3"/>
      <c r="Z406" s="3"/>
      <c r="AB406" s="3"/>
      <c r="AC406" s="3"/>
      <c r="AD406" s="3"/>
      <c r="AE406" s="3"/>
      <c r="AF406" s="3"/>
      <c r="AG406" s="3"/>
      <c r="AH406" s="3"/>
      <c r="AI406" s="3"/>
      <c r="AK406" s="3"/>
      <c r="AL406" s="3"/>
      <c r="AM406" s="3"/>
      <c r="AN406" s="3"/>
      <c r="AO406" s="3"/>
      <c r="AP406" s="3"/>
      <c r="AQ406" s="3"/>
      <c r="AR406" s="3"/>
    </row>
    <row r="407" spans="1:44" ht="16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S407" s="3"/>
      <c r="T407" s="3"/>
      <c r="U407" s="3"/>
      <c r="V407" s="3"/>
      <c r="W407" s="3"/>
      <c r="X407" s="3"/>
      <c r="Y407" s="3"/>
      <c r="Z407" s="3"/>
      <c r="AB407" s="3"/>
      <c r="AC407" s="3"/>
      <c r="AD407" s="3"/>
      <c r="AE407" s="3"/>
      <c r="AF407" s="3"/>
      <c r="AG407" s="3"/>
      <c r="AH407" s="3"/>
      <c r="AI407" s="3"/>
      <c r="AK407" s="3"/>
      <c r="AL407" s="3"/>
      <c r="AM407" s="3"/>
      <c r="AN407" s="3"/>
      <c r="AO407" s="3"/>
      <c r="AP407" s="3"/>
      <c r="AQ407" s="3"/>
      <c r="AR407" s="3"/>
    </row>
    <row r="408" spans="1:44" ht="16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S408" s="3"/>
      <c r="T408" s="3"/>
      <c r="U408" s="3"/>
      <c r="V408" s="3"/>
      <c r="W408" s="3"/>
      <c r="X408" s="3"/>
      <c r="Y408" s="3"/>
      <c r="Z408" s="3"/>
      <c r="AB408" s="3"/>
      <c r="AC408" s="3"/>
      <c r="AD408" s="3"/>
      <c r="AE408" s="3"/>
      <c r="AF408" s="3"/>
      <c r="AG408" s="3"/>
      <c r="AH408" s="3"/>
      <c r="AI408" s="3"/>
      <c r="AK408" s="3"/>
      <c r="AL408" s="3"/>
      <c r="AM408" s="3"/>
      <c r="AN408" s="3"/>
      <c r="AO408" s="3"/>
      <c r="AP408" s="3"/>
      <c r="AQ408" s="3"/>
      <c r="AR408" s="3"/>
    </row>
    <row r="409" spans="1:44" ht="16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S409" s="3"/>
      <c r="T409" s="3"/>
      <c r="U409" s="3"/>
      <c r="V409" s="3"/>
      <c r="W409" s="3"/>
      <c r="X409" s="3"/>
      <c r="Y409" s="3"/>
      <c r="Z409" s="3"/>
      <c r="AB409" s="3"/>
      <c r="AC409" s="3"/>
      <c r="AD409" s="3"/>
      <c r="AE409" s="3"/>
      <c r="AF409" s="3"/>
      <c r="AG409" s="3"/>
      <c r="AH409" s="3"/>
      <c r="AI409" s="3"/>
      <c r="AK409" s="3"/>
      <c r="AL409" s="3"/>
      <c r="AM409" s="3"/>
      <c r="AN409" s="3"/>
      <c r="AO409" s="3"/>
      <c r="AP409" s="3"/>
      <c r="AQ409" s="3"/>
      <c r="AR409" s="3"/>
    </row>
    <row r="410" spans="1:44" ht="16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S410" s="3"/>
      <c r="T410" s="3"/>
      <c r="U410" s="3"/>
      <c r="V410" s="3"/>
      <c r="W410" s="3"/>
      <c r="X410" s="3"/>
      <c r="Y410" s="3"/>
      <c r="Z410" s="3"/>
      <c r="AB410" s="3"/>
      <c r="AC410" s="3"/>
      <c r="AD410" s="3"/>
      <c r="AE410" s="3"/>
      <c r="AF410" s="3"/>
      <c r="AG410" s="3"/>
      <c r="AH410" s="3"/>
      <c r="AI410" s="3"/>
      <c r="AK410" s="3"/>
      <c r="AL410" s="3"/>
      <c r="AM410" s="3"/>
      <c r="AN410" s="3"/>
      <c r="AO410" s="3"/>
      <c r="AP410" s="3"/>
      <c r="AQ410" s="3"/>
      <c r="AR410" s="3"/>
    </row>
    <row r="411" spans="1:44" ht="16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S411" s="3"/>
      <c r="T411" s="3"/>
      <c r="U411" s="3"/>
      <c r="V411" s="3"/>
      <c r="W411" s="3"/>
      <c r="X411" s="3"/>
      <c r="Y411" s="3"/>
      <c r="Z411" s="3"/>
      <c r="AB411" s="3"/>
      <c r="AC411" s="3"/>
      <c r="AD411" s="3"/>
      <c r="AE411" s="3"/>
      <c r="AF411" s="3"/>
      <c r="AG411" s="3"/>
      <c r="AH411" s="3"/>
      <c r="AI411" s="3"/>
      <c r="AK411" s="3"/>
      <c r="AL411" s="3"/>
      <c r="AM411" s="3"/>
      <c r="AN411" s="3"/>
      <c r="AO411" s="3"/>
      <c r="AP411" s="3"/>
      <c r="AQ411" s="3"/>
      <c r="AR411" s="3"/>
    </row>
    <row r="412" spans="1:44" ht="16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S412" s="3"/>
      <c r="T412" s="3"/>
      <c r="U412" s="3"/>
      <c r="V412" s="3"/>
      <c r="W412" s="3"/>
      <c r="X412" s="3"/>
      <c r="Y412" s="3"/>
      <c r="Z412" s="3"/>
      <c r="AB412" s="3"/>
      <c r="AC412" s="3"/>
      <c r="AD412" s="3"/>
      <c r="AE412" s="3"/>
      <c r="AF412" s="3"/>
      <c r="AG412" s="3"/>
      <c r="AH412" s="3"/>
      <c r="AI412" s="3"/>
      <c r="AK412" s="3"/>
      <c r="AL412" s="3"/>
      <c r="AM412" s="3"/>
      <c r="AN412" s="3"/>
      <c r="AO412" s="3"/>
      <c r="AP412" s="3"/>
      <c r="AQ412" s="3"/>
      <c r="AR412" s="3"/>
    </row>
    <row r="413" spans="1:44" ht="16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S413" s="3"/>
      <c r="T413" s="3"/>
      <c r="U413" s="3"/>
      <c r="V413" s="3"/>
      <c r="W413" s="3"/>
      <c r="X413" s="3"/>
      <c r="Y413" s="3"/>
      <c r="Z413" s="3"/>
      <c r="AB413" s="3"/>
      <c r="AC413" s="3"/>
      <c r="AD413" s="3"/>
      <c r="AE413" s="3"/>
      <c r="AF413" s="3"/>
      <c r="AG413" s="3"/>
      <c r="AH413" s="3"/>
      <c r="AI413" s="3"/>
      <c r="AK413" s="3"/>
      <c r="AL413" s="3"/>
      <c r="AM413" s="3"/>
      <c r="AN413" s="3"/>
      <c r="AO413" s="3"/>
      <c r="AP413" s="3"/>
      <c r="AQ413" s="3"/>
      <c r="AR413" s="3"/>
    </row>
    <row r="414" spans="1:44" ht="16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S414" s="3"/>
      <c r="T414" s="3"/>
      <c r="U414" s="3"/>
      <c r="V414" s="3"/>
      <c r="W414" s="3"/>
      <c r="X414" s="3"/>
      <c r="Y414" s="3"/>
      <c r="Z414" s="3"/>
      <c r="AB414" s="3"/>
      <c r="AC414" s="3"/>
      <c r="AD414" s="3"/>
      <c r="AE414" s="3"/>
      <c r="AF414" s="3"/>
      <c r="AG414" s="3"/>
      <c r="AH414" s="3"/>
      <c r="AI414" s="3"/>
      <c r="AK414" s="3"/>
      <c r="AL414" s="3"/>
      <c r="AM414" s="3"/>
      <c r="AN414" s="3"/>
      <c r="AO414" s="3"/>
      <c r="AP414" s="3"/>
      <c r="AQ414" s="3"/>
      <c r="AR414" s="3"/>
    </row>
    <row r="415" spans="1:44" ht="16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S415" s="3"/>
      <c r="T415" s="3"/>
      <c r="U415" s="3"/>
      <c r="V415" s="3"/>
      <c r="W415" s="3"/>
      <c r="X415" s="3"/>
      <c r="Y415" s="3"/>
      <c r="Z415" s="3"/>
      <c r="AB415" s="3"/>
      <c r="AC415" s="3"/>
      <c r="AD415" s="3"/>
      <c r="AE415" s="3"/>
      <c r="AF415" s="3"/>
      <c r="AG415" s="3"/>
      <c r="AH415" s="3"/>
      <c r="AI415" s="3"/>
      <c r="AK415" s="3"/>
      <c r="AL415" s="3"/>
      <c r="AM415" s="3"/>
      <c r="AN415" s="3"/>
      <c r="AO415" s="3"/>
      <c r="AP415" s="3"/>
      <c r="AQ415" s="3"/>
      <c r="AR415" s="3"/>
    </row>
    <row r="416" spans="1:44" ht="16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S416" s="3"/>
      <c r="T416" s="3"/>
      <c r="U416" s="3"/>
      <c r="V416" s="3"/>
      <c r="W416" s="3"/>
      <c r="X416" s="3"/>
      <c r="Y416" s="3"/>
      <c r="Z416" s="3"/>
      <c r="AB416" s="3"/>
      <c r="AC416" s="3"/>
      <c r="AD416" s="3"/>
      <c r="AE416" s="3"/>
      <c r="AF416" s="3"/>
      <c r="AG416" s="3"/>
      <c r="AH416" s="3"/>
      <c r="AI416" s="3"/>
      <c r="AK416" s="3"/>
      <c r="AL416" s="3"/>
      <c r="AM416" s="3"/>
      <c r="AN416" s="3"/>
      <c r="AO416" s="3"/>
      <c r="AP416" s="3"/>
      <c r="AQ416" s="3"/>
      <c r="AR416" s="3"/>
    </row>
    <row r="417" spans="1:44" ht="16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S417" s="3"/>
      <c r="T417" s="3"/>
      <c r="U417" s="3"/>
      <c r="V417" s="3"/>
      <c r="W417" s="3"/>
      <c r="X417" s="3"/>
      <c r="Y417" s="3"/>
      <c r="Z417" s="3"/>
      <c r="AB417" s="3"/>
      <c r="AC417" s="3"/>
      <c r="AD417" s="3"/>
      <c r="AE417" s="3"/>
      <c r="AF417" s="3"/>
      <c r="AG417" s="3"/>
      <c r="AH417" s="3"/>
      <c r="AI417" s="3"/>
      <c r="AK417" s="3"/>
      <c r="AL417" s="3"/>
      <c r="AM417" s="3"/>
      <c r="AN417" s="3"/>
      <c r="AO417" s="3"/>
      <c r="AP417" s="3"/>
      <c r="AQ417" s="3"/>
      <c r="AR417" s="3"/>
    </row>
    <row r="418" spans="1:44" ht="16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S418" s="3"/>
      <c r="T418" s="3"/>
      <c r="U418" s="3"/>
      <c r="V418" s="3"/>
      <c r="W418" s="3"/>
      <c r="X418" s="3"/>
      <c r="Y418" s="3"/>
      <c r="Z418" s="3"/>
      <c r="AB418" s="3"/>
      <c r="AC418" s="3"/>
      <c r="AD418" s="3"/>
      <c r="AE418" s="3"/>
      <c r="AF418" s="3"/>
      <c r="AG418" s="3"/>
      <c r="AH418" s="3"/>
      <c r="AI418" s="3"/>
      <c r="AK418" s="3"/>
      <c r="AL418" s="3"/>
      <c r="AM418" s="3"/>
      <c r="AN418" s="3"/>
      <c r="AO418" s="3"/>
      <c r="AP418" s="3"/>
      <c r="AQ418" s="3"/>
      <c r="AR418" s="3"/>
    </row>
    <row r="419" spans="1:44" ht="16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S419" s="3"/>
      <c r="T419" s="3"/>
      <c r="U419" s="3"/>
      <c r="V419" s="3"/>
      <c r="W419" s="3"/>
      <c r="X419" s="3"/>
      <c r="Y419" s="3"/>
      <c r="Z419" s="3"/>
      <c r="AB419" s="3"/>
      <c r="AC419" s="3"/>
      <c r="AD419" s="3"/>
      <c r="AE419" s="3"/>
      <c r="AF419" s="3"/>
      <c r="AG419" s="3"/>
      <c r="AH419" s="3"/>
      <c r="AI419" s="3"/>
      <c r="AK419" s="3"/>
      <c r="AL419" s="3"/>
      <c r="AM419" s="3"/>
      <c r="AN419" s="3"/>
      <c r="AO419" s="3"/>
      <c r="AP419" s="3"/>
      <c r="AQ419" s="3"/>
      <c r="AR419" s="3"/>
    </row>
    <row r="420" spans="1:44" ht="16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S420" s="3"/>
      <c r="T420" s="3"/>
      <c r="U420" s="3"/>
      <c r="V420" s="3"/>
      <c r="W420" s="3"/>
      <c r="X420" s="3"/>
      <c r="Y420" s="3"/>
      <c r="Z420" s="3"/>
      <c r="AB420" s="3"/>
      <c r="AC420" s="3"/>
      <c r="AD420" s="3"/>
      <c r="AE420" s="3"/>
      <c r="AF420" s="3"/>
      <c r="AG420" s="3"/>
      <c r="AH420" s="3"/>
      <c r="AI420" s="3"/>
      <c r="AK420" s="3"/>
      <c r="AL420" s="3"/>
      <c r="AM420" s="3"/>
      <c r="AN420" s="3"/>
      <c r="AO420" s="3"/>
      <c r="AP420" s="3"/>
      <c r="AQ420" s="3"/>
      <c r="AR420" s="3"/>
    </row>
    <row r="421" spans="1:44" ht="16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S421" s="3"/>
      <c r="T421" s="3"/>
      <c r="U421" s="3"/>
      <c r="V421" s="3"/>
      <c r="W421" s="3"/>
      <c r="X421" s="3"/>
      <c r="Y421" s="3"/>
      <c r="Z421" s="3"/>
      <c r="AB421" s="3"/>
      <c r="AC421" s="3"/>
      <c r="AD421" s="3"/>
      <c r="AE421" s="3"/>
      <c r="AF421" s="3"/>
      <c r="AG421" s="3"/>
      <c r="AH421" s="3"/>
      <c r="AI421" s="3"/>
      <c r="AK421" s="3"/>
      <c r="AL421" s="3"/>
      <c r="AM421" s="3"/>
      <c r="AN421" s="3"/>
      <c r="AO421" s="3"/>
      <c r="AP421" s="3"/>
      <c r="AQ421" s="3"/>
      <c r="AR421" s="3"/>
    </row>
    <row r="422" spans="1:44" ht="16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S422" s="3"/>
      <c r="T422" s="3"/>
      <c r="U422" s="3"/>
      <c r="V422" s="3"/>
      <c r="W422" s="3"/>
      <c r="X422" s="3"/>
      <c r="Y422" s="3"/>
      <c r="Z422" s="3"/>
      <c r="AB422" s="3"/>
      <c r="AC422" s="3"/>
      <c r="AD422" s="3"/>
      <c r="AE422" s="3"/>
      <c r="AF422" s="3"/>
      <c r="AG422" s="3"/>
      <c r="AH422" s="3"/>
      <c r="AI422" s="3"/>
      <c r="AK422" s="3"/>
      <c r="AL422" s="3"/>
      <c r="AM422" s="3"/>
      <c r="AN422" s="3"/>
      <c r="AO422" s="3"/>
      <c r="AP422" s="3"/>
      <c r="AQ422" s="3"/>
      <c r="AR422" s="3"/>
    </row>
    <row r="423" spans="1:44" ht="16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S423" s="3"/>
      <c r="T423" s="3"/>
      <c r="U423" s="3"/>
      <c r="V423" s="3"/>
      <c r="W423" s="3"/>
      <c r="X423" s="3"/>
      <c r="Y423" s="3"/>
      <c r="Z423" s="3"/>
      <c r="AB423" s="3"/>
      <c r="AC423" s="3"/>
      <c r="AD423" s="3"/>
      <c r="AE423" s="3"/>
      <c r="AF423" s="3"/>
      <c r="AG423" s="3"/>
      <c r="AH423" s="3"/>
      <c r="AI423" s="3"/>
      <c r="AK423" s="3"/>
      <c r="AL423" s="3"/>
      <c r="AM423" s="3"/>
      <c r="AN423" s="3"/>
      <c r="AO423" s="3"/>
      <c r="AP423" s="3"/>
      <c r="AQ423" s="3"/>
      <c r="AR423" s="3"/>
    </row>
    <row r="424" spans="1:44" ht="16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S424" s="3"/>
      <c r="T424" s="3"/>
      <c r="U424" s="3"/>
      <c r="V424" s="3"/>
      <c r="W424" s="3"/>
      <c r="X424" s="3"/>
      <c r="Y424" s="3"/>
      <c r="Z424" s="3"/>
      <c r="AB424" s="3"/>
      <c r="AC424" s="3"/>
      <c r="AD424" s="3"/>
      <c r="AE424" s="3"/>
      <c r="AF424" s="3"/>
      <c r="AG424" s="3"/>
      <c r="AH424" s="3"/>
      <c r="AI424" s="3"/>
      <c r="AK424" s="3"/>
      <c r="AL424" s="3"/>
      <c r="AM424" s="3"/>
      <c r="AN424" s="3"/>
      <c r="AO424" s="3"/>
      <c r="AP424" s="3"/>
      <c r="AQ424" s="3"/>
      <c r="AR424" s="3"/>
    </row>
    <row r="425" spans="1:44" ht="16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S425" s="3"/>
      <c r="T425" s="3"/>
      <c r="U425" s="3"/>
      <c r="V425" s="3"/>
      <c r="W425" s="3"/>
      <c r="X425" s="3"/>
      <c r="Y425" s="3"/>
      <c r="Z425" s="3"/>
      <c r="AB425" s="3"/>
      <c r="AC425" s="3"/>
      <c r="AD425" s="3"/>
      <c r="AE425" s="3"/>
      <c r="AF425" s="3"/>
      <c r="AG425" s="3"/>
      <c r="AH425" s="3"/>
      <c r="AI425" s="3"/>
      <c r="AK425" s="3"/>
      <c r="AL425" s="3"/>
      <c r="AM425" s="3"/>
      <c r="AN425" s="3"/>
      <c r="AO425" s="3"/>
      <c r="AP425" s="3"/>
      <c r="AQ425" s="3"/>
      <c r="AR425" s="3"/>
    </row>
    <row r="426" spans="1:44" ht="16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S426" s="3"/>
      <c r="T426" s="3"/>
      <c r="U426" s="3"/>
      <c r="V426" s="3"/>
      <c r="W426" s="3"/>
      <c r="X426" s="3"/>
      <c r="Y426" s="3"/>
      <c r="Z426" s="3"/>
      <c r="AB426" s="3"/>
      <c r="AC426" s="3"/>
      <c r="AD426" s="3"/>
      <c r="AE426" s="3"/>
      <c r="AF426" s="3"/>
      <c r="AG426" s="3"/>
      <c r="AH426" s="3"/>
      <c r="AI426" s="3"/>
      <c r="AK426" s="3"/>
      <c r="AL426" s="3"/>
      <c r="AM426" s="3"/>
      <c r="AN426" s="3"/>
      <c r="AO426" s="3"/>
      <c r="AP426" s="3"/>
      <c r="AQ426" s="3"/>
      <c r="AR426" s="3"/>
    </row>
    <row r="427" spans="1:44" ht="16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S427" s="3"/>
      <c r="T427" s="3"/>
      <c r="U427" s="3"/>
      <c r="V427" s="3"/>
      <c r="W427" s="3"/>
      <c r="X427" s="3"/>
      <c r="Y427" s="3"/>
      <c r="Z427" s="3"/>
      <c r="AB427" s="3"/>
      <c r="AC427" s="3"/>
      <c r="AD427" s="3"/>
      <c r="AE427" s="3"/>
      <c r="AF427" s="3"/>
      <c r="AG427" s="3"/>
      <c r="AH427" s="3"/>
      <c r="AI427" s="3"/>
      <c r="AK427" s="3"/>
      <c r="AL427" s="3"/>
      <c r="AM427" s="3"/>
      <c r="AN427" s="3"/>
      <c r="AO427" s="3"/>
      <c r="AP427" s="3"/>
      <c r="AQ427" s="3"/>
      <c r="AR427" s="3"/>
    </row>
    <row r="428" spans="1:44" ht="16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S428" s="3"/>
      <c r="T428" s="3"/>
      <c r="U428" s="3"/>
      <c r="V428" s="3"/>
      <c r="W428" s="3"/>
      <c r="X428" s="3"/>
      <c r="Y428" s="3"/>
      <c r="Z428" s="3"/>
      <c r="AB428" s="3"/>
      <c r="AC428" s="3"/>
      <c r="AD428" s="3"/>
      <c r="AE428" s="3"/>
      <c r="AF428" s="3"/>
      <c r="AG428" s="3"/>
      <c r="AH428" s="3"/>
      <c r="AI428" s="3"/>
      <c r="AK428" s="3"/>
      <c r="AL428" s="3"/>
      <c r="AM428" s="3"/>
      <c r="AN428" s="3"/>
      <c r="AO428" s="3"/>
      <c r="AP428" s="3"/>
      <c r="AQ428" s="3"/>
      <c r="AR428" s="3"/>
    </row>
    <row r="429" spans="1:44" ht="16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S429" s="3"/>
      <c r="T429" s="3"/>
      <c r="U429" s="3"/>
      <c r="V429" s="3"/>
      <c r="W429" s="3"/>
      <c r="X429" s="3"/>
      <c r="Y429" s="3"/>
      <c r="Z429" s="3"/>
      <c r="AB429" s="3"/>
      <c r="AC429" s="3"/>
      <c r="AD429" s="3"/>
      <c r="AE429" s="3"/>
      <c r="AF429" s="3"/>
      <c r="AG429" s="3"/>
      <c r="AH429" s="3"/>
      <c r="AI429" s="3"/>
      <c r="AK429" s="3"/>
      <c r="AL429" s="3"/>
      <c r="AM429" s="3"/>
      <c r="AN429" s="3"/>
      <c r="AO429" s="3"/>
      <c r="AP429" s="3"/>
      <c r="AQ429" s="3"/>
      <c r="AR429" s="3"/>
    </row>
    <row r="430" spans="1:44" ht="16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S430" s="3"/>
      <c r="T430" s="3"/>
      <c r="U430" s="3"/>
      <c r="V430" s="3"/>
      <c r="W430" s="3"/>
      <c r="X430" s="3"/>
      <c r="Y430" s="3"/>
      <c r="Z430" s="3"/>
      <c r="AB430" s="3"/>
      <c r="AC430" s="3"/>
      <c r="AD430" s="3"/>
      <c r="AE430" s="3"/>
      <c r="AF430" s="3"/>
      <c r="AG430" s="3"/>
      <c r="AH430" s="3"/>
      <c r="AI430" s="3"/>
      <c r="AK430" s="3"/>
      <c r="AL430" s="3"/>
      <c r="AM430" s="3"/>
      <c r="AN430" s="3"/>
      <c r="AO430" s="3"/>
      <c r="AP430" s="3"/>
      <c r="AQ430" s="3"/>
      <c r="AR430" s="3"/>
    </row>
    <row r="431" spans="1:44" ht="16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S431" s="3"/>
      <c r="T431" s="3"/>
      <c r="U431" s="3"/>
      <c r="V431" s="3"/>
      <c r="W431" s="3"/>
      <c r="X431" s="3"/>
      <c r="Y431" s="3"/>
      <c r="Z431" s="3"/>
      <c r="AB431" s="3"/>
      <c r="AC431" s="3"/>
      <c r="AD431" s="3"/>
      <c r="AE431" s="3"/>
      <c r="AF431" s="3"/>
      <c r="AG431" s="3"/>
      <c r="AH431" s="3"/>
      <c r="AI431" s="3"/>
      <c r="AK431" s="3"/>
      <c r="AL431" s="3"/>
      <c r="AM431" s="3"/>
      <c r="AN431" s="3"/>
      <c r="AO431" s="3"/>
      <c r="AP431" s="3"/>
      <c r="AQ431" s="3"/>
      <c r="AR431" s="3"/>
    </row>
    <row r="432" spans="1:44" ht="16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S432" s="3"/>
      <c r="T432" s="3"/>
      <c r="U432" s="3"/>
      <c r="V432" s="3"/>
      <c r="W432" s="3"/>
      <c r="X432" s="3"/>
      <c r="Y432" s="3"/>
      <c r="Z432" s="3"/>
      <c r="AB432" s="3"/>
      <c r="AC432" s="3"/>
      <c r="AD432" s="3"/>
      <c r="AE432" s="3"/>
      <c r="AF432" s="3"/>
      <c r="AG432" s="3"/>
      <c r="AH432" s="3"/>
      <c r="AI432" s="3"/>
      <c r="AK432" s="3"/>
      <c r="AL432" s="3"/>
      <c r="AM432" s="3"/>
      <c r="AN432" s="3"/>
      <c r="AO432" s="3"/>
      <c r="AP432" s="3"/>
      <c r="AQ432" s="3"/>
      <c r="AR432" s="3"/>
    </row>
    <row r="433" spans="1:44" ht="16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S433" s="3"/>
      <c r="T433" s="3"/>
      <c r="U433" s="3"/>
      <c r="V433" s="3"/>
      <c r="W433" s="3"/>
      <c r="X433" s="3"/>
      <c r="Y433" s="3"/>
      <c r="Z433" s="3"/>
      <c r="AB433" s="3"/>
      <c r="AC433" s="3"/>
      <c r="AD433" s="3"/>
      <c r="AE433" s="3"/>
      <c r="AF433" s="3"/>
      <c r="AG433" s="3"/>
      <c r="AH433" s="3"/>
      <c r="AI433" s="3"/>
      <c r="AK433" s="3"/>
      <c r="AL433" s="3"/>
      <c r="AM433" s="3"/>
      <c r="AN433" s="3"/>
      <c r="AO433" s="3"/>
      <c r="AP433" s="3"/>
      <c r="AQ433" s="3"/>
      <c r="AR433" s="3"/>
    </row>
    <row r="434" spans="1:44" ht="16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S434" s="3"/>
      <c r="T434" s="3"/>
      <c r="U434" s="3"/>
      <c r="V434" s="3"/>
      <c r="W434" s="3"/>
      <c r="X434" s="3"/>
      <c r="Y434" s="3"/>
      <c r="Z434" s="3"/>
      <c r="AB434" s="3"/>
      <c r="AC434" s="3"/>
      <c r="AD434" s="3"/>
      <c r="AE434" s="3"/>
      <c r="AF434" s="3"/>
      <c r="AG434" s="3"/>
      <c r="AH434" s="3"/>
      <c r="AI434" s="3"/>
      <c r="AK434" s="3"/>
      <c r="AL434" s="3"/>
      <c r="AM434" s="3"/>
      <c r="AN434" s="3"/>
      <c r="AO434" s="3"/>
      <c r="AP434" s="3"/>
      <c r="AQ434" s="3"/>
      <c r="AR434" s="3"/>
    </row>
    <row r="435" spans="1:44" ht="16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S435" s="3"/>
      <c r="T435" s="3"/>
      <c r="U435" s="3"/>
      <c r="V435" s="3"/>
      <c r="W435" s="3"/>
      <c r="X435" s="3"/>
      <c r="Y435" s="3"/>
      <c r="Z435" s="3"/>
      <c r="AB435" s="3"/>
      <c r="AC435" s="3"/>
      <c r="AD435" s="3"/>
      <c r="AE435" s="3"/>
      <c r="AF435" s="3"/>
      <c r="AG435" s="3"/>
      <c r="AH435" s="3"/>
      <c r="AI435" s="3"/>
      <c r="AK435" s="3"/>
      <c r="AL435" s="3"/>
      <c r="AM435" s="3"/>
      <c r="AN435" s="3"/>
      <c r="AO435" s="3"/>
      <c r="AP435" s="3"/>
      <c r="AQ435" s="3"/>
      <c r="AR435" s="3"/>
    </row>
    <row r="436" spans="1:44" ht="16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S436" s="3"/>
      <c r="T436" s="3"/>
      <c r="U436" s="3"/>
      <c r="V436" s="3"/>
      <c r="W436" s="3"/>
      <c r="X436" s="3"/>
      <c r="Y436" s="3"/>
      <c r="Z436" s="3"/>
      <c r="AB436" s="3"/>
      <c r="AC436" s="3"/>
      <c r="AD436" s="3"/>
      <c r="AE436" s="3"/>
      <c r="AF436" s="3"/>
      <c r="AG436" s="3"/>
      <c r="AH436" s="3"/>
      <c r="AI436" s="3"/>
      <c r="AK436" s="3"/>
      <c r="AL436" s="3"/>
      <c r="AM436" s="3"/>
      <c r="AN436" s="3"/>
      <c r="AO436" s="3"/>
      <c r="AP436" s="3"/>
      <c r="AQ436" s="3"/>
      <c r="AR436" s="3"/>
    </row>
    <row r="437" spans="1:44" ht="16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S437" s="3"/>
      <c r="T437" s="3"/>
      <c r="U437" s="3"/>
      <c r="V437" s="3"/>
      <c r="W437" s="3"/>
      <c r="X437" s="3"/>
      <c r="Y437" s="3"/>
      <c r="Z437" s="3"/>
      <c r="AB437" s="3"/>
      <c r="AC437" s="3"/>
      <c r="AD437" s="3"/>
      <c r="AE437" s="3"/>
      <c r="AF437" s="3"/>
      <c r="AG437" s="3"/>
      <c r="AH437" s="3"/>
      <c r="AI437" s="3"/>
      <c r="AK437" s="3"/>
      <c r="AL437" s="3"/>
      <c r="AM437" s="3"/>
      <c r="AN437" s="3"/>
      <c r="AO437" s="3"/>
      <c r="AP437" s="3"/>
      <c r="AQ437" s="3"/>
      <c r="AR437" s="3"/>
    </row>
    <row r="438" spans="1:44" ht="16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S438" s="3"/>
      <c r="T438" s="3"/>
      <c r="U438" s="3"/>
      <c r="V438" s="3"/>
      <c r="W438" s="3"/>
      <c r="X438" s="3"/>
      <c r="Y438" s="3"/>
      <c r="Z438" s="3"/>
      <c r="AB438" s="3"/>
      <c r="AC438" s="3"/>
      <c r="AD438" s="3"/>
      <c r="AE438" s="3"/>
      <c r="AF438" s="3"/>
      <c r="AG438" s="3"/>
      <c r="AH438" s="3"/>
      <c r="AI438" s="3"/>
      <c r="AK438" s="3"/>
      <c r="AL438" s="3"/>
      <c r="AM438" s="3"/>
      <c r="AN438" s="3"/>
      <c r="AO438" s="3"/>
      <c r="AP438" s="3"/>
      <c r="AQ438" s="3"/>
      <c r="AR438" s="3"/>
    </row>
    <row r="439" spans="1:44" ht="16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S439" s="3"/>
      <c r="T439" s="3"/>
      <c r="U439" s="3"/>
      <c r="V439" s="3"/>
      <c r="W439" s="3"/>
      <c r="X439" s="3"/>
      <c r="Y439" s="3"/>
      <c r="Z439" s="3"/>
      <c r="AB439" s="3"/>
      <c r="AC439" s="3"/>
      <c r="AD439" s="3"/>
      <c r="AE439" s="3"/>
      <c r="AF439" s="3"/>
      <c r="AG439" s="3"/>
      <c r="AH439" s="3"/>
      <c r="AI439" s="3"/>
      <c r="AK439" s="3"/>
      <c r="AL439" s="3"/>
      <c r="AM439" s="3"/>
      <c r="AN439" s="3"/>
      <c r="AO439" s="3"/>
      <c r="AP439" s="3"/>
      <c r="AQ439" s="3"/>
      <c r="AR439" s="3"/>
    </row>
    <row r="440" spans="1:44" ht="16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S440" s="3"/>
      <c r="T440" s="3"/>
      <c r="U440" s="3"/>
      <c r="V440" s="3"/>
      <c r="W440" s="3"/>
      <c r="X440" s="3"/>
      <c r="Y440" s="3"/>
      <c r="Z440" s="3"/>
      <c r="AB440" s="3"/>
      <c r="AC440" s="3"/>
      <c r="AD440" s="3"/>
      <c r="AE440" s="3"/>
      <c r="AF440" s="3"/>
      <c r="AG440" s="3"/>
      <c r="AH440" s="3"/>
      <c r="AI440" s="3"/>
      <c r="AK440" s="3"/>
      <c r="AL440" s="3"/>
      <c r="AM440" s="3"/>
      <c r="AN440" s="3"/>
      <c r="AO440" s="3"/>
      <c r="AP440" s="3"/>
      <c r="AQ440" s="3"/>
      <c r="AR440" s="3"/>
    </row>
    <row r="441" spans="1:44" ht="16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S441" s="3"/>
      <c r="T441" s="3"/>
      <c r="U441" s="3"/>
      <c r="V441" s="3"/>
      <c r="W441" s="3"/>
      <c r="X441" s="3"/>
      <c r="Y441" s="3"/>
      <c r="Z441" s="3"/>
      <c r="AB441" s="3"/>
      <c r="AC441" s="3"/>
      <c r="AD441" s="3"/>
      <c r="AE441" s="3"/>
      <c r="AF441" s="3"/>
      <c r="AG441" s="3"/>
      <c r="AH441" s="3"/>
      <c r="AI441" s="3"/>
      <c r="AK441" s="3"/>
      <c r="AL441" s="3"/>
      <c r="AM441" s="3"/>
      <c r="AN441" s="3"/>
      <c r="AO441" s="3"/>
      <c r="AP441" s="3"/>
      <c r="AQ441" s="3"/>
      <c r="AR441" s="3"/>
    </row>
    <row r="442" spans="1:44" ht="16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S442" s="3"/>
      <c r="T442" s="3"/>
      <c r="U442" s="3"/>
      <c r="V442" s="3"/>
      <c r="W442" s="3"/>
      <c r="X442" s="3"/>
      <c r="Y442" s="3"/>
      <c r="Z442" s="3"/>
      <c r="AB442" s="3"/>
      <c r="AC442" s="3"/>
      <c r="AD442" s="3"/>
      <c r="AE442" s="3"/>
      <c r="AF442" s="3"/>
      <c r="AG442" s="3"/>
      <c r="AH442" s="3"/>
      <c r="AI442" s="3"/>
      <c r="AK442" s="3"/>
      <c r="AL442" s="3"/>
      <c r="AM442" s="3"/>
      <c r="AN442" s="3"/>
      <c r="AO442" s="3"/>
      <c r="AP442" s="3"/>
      <c r="AQ442" s="3"/>
      <c r="AR442" s="3"/>
    </row>
    <row r="443" spans="1:44" ht="16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S443" s="3"/>
      <c r="T443" s="3"/>
      <c r="U443" s="3"/>
      <c r="V443" s="3"/>
      <c r="W443" s="3"/>
      <c r="X443" s="3"/>
      <c r="Y443" s="3"/>
      <c r="Z443" s="3"/>
      <c r="AB443" s="3"/>
      <c r="AC443" s="3"/>
      <c r="AD443" s="3"/>
      <c r="AE443" s="3"/>
      <c r="AF443" s="3"/>
      <c r="AG443" s="3"/>
      <c r="AH443" s="3"/>
      <c r="AI443" s="3"/>
      <c r="AK443" s="3"/>
      <c r="AL443" s="3"/>
      <c r="AM443" s="3"/>
      <c r="AN443" s="3"/>
      <c r="AO443" s="3"/>
      <c r="AP443" s="3"/>
      <c r="AQ443" s="3"/>
      <c r="AR443" s="3"/>
    </row>
    <row r="444" spans="1:44" ht="16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S444" s="3"/>
      <c r="T444" s="3"/>
      <c r="U444" s="3"/>
      <c r="V444" s="3"/>
      <c r="W444" s="3"/>
      <c r="X444" s="3"/>
      <c r="Y444" s="3"/>
      <c r="Z444" s="3"/>
      <c r="AB444" s="3"/>
      <c r="AC444" s="3"/>
      <c r="AD444" s="3"/>
      <c r="AE444" s="3"/>
      <c r="AF444" s="3"/>
      <c r="AG444" s="3"/>
      <c r="AH444" s="3"/>
      <c r="AI444" s="3"/>
      <c r="AK444" s="3"/>
      <c r="AL444" s="3"/>
      <c r="AM444" s="3"/>
      <c r="AN444" s="3"/>
      <c r="AO444" s="3"/>
      <c r="AP444" s="3"/>
      <c r="AQ444" s="3"/>
      <c r="AR444" s="3"/>
    </row>
    <row r="445" spans="1:44" ht="16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S445" s="3"/>
      <c r="T445" s="3"/>
      <c r="U445" s="3"/>
      <c r="V445" s="3"/>
      <c r="W445" s="3"/>
      <c r="X445" s="3"/>
      <c r="Y445" s="3"/>
      <c r="Z445" s="3"/>
      <c r="AB445" s="3"/>
      <c r="AC445" s="3"/>
      <c r="AD445" s="3"/>
      <c r="AE445" s="3"/>
      <c r="AF445" s="3"/>
      <c r="AG445" s="3"/>
      <c r="AH445" s="3"/>
      <c r="AI445" s="3"/>
      <c r="AK445" s="3"/>
      <c r="AL445" s="3"/>
      <c r="AM445" s="3"/>
      <c r="AN445" s="3"/>
      <c r="AO445" s="3"/>
      <c r="AP445" s="3"/>
      <c r="AQ445" s="3"/>
      <c r="AR445" s="3"/>
    </row>
    <row r="446" spans="1:44" ht="16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S446" s="3"/>
      <c r="T446" s="3"/>
      <c r="U446" s="3"/>
      <c r="V446" s="3"/>
      <c r="W446" s="3"/>
      <c r="X446" s="3"/>
      <c r="Y446" s="3"/>
      <c r="Z446" s="3"/>
      <c r="AB446" s="3"/>
      <c r="AC446" s="3"/>
      <c r="AD446" s="3"/>
      <c r="AE446" s="3"/>
      <c r="AF446" s="3"/>
      <c r="AG446" s="3"/>
      <c r="AH446" s="3"/>
      <c r="AI446" s="3"/>
      <c r="AK446" s="3"/>
      <c r="AL446" s="3"/>
      <c r="AM446" s="3"/>
      <c r="AN446" s="3"/>
      <c r="AO446" s="3"/>
      <c r="AP446" s="3"/>
      <c r="AQ446" s="3"/>
      <c r="AR446" s="3"/>
    </row>
    <row r="447" spans="1:44" ht="16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S447" s="3"/>
      <c r="T447" s="3"/>
      <c r="U447" s="3"/>
      <c r="V447" s="3"/>
      <c r="W447" s="3"/>
      <c r="X447" s="3"/>
      <c r="Y447" s="3"/>
      <c r="Z447" s="3"/>
      <c r="AB447" s="3"/>
      <c r="AC447" s="3"/>
      <c r="AD447" s="3"/>
      <c r="AE447" s="3"/>
      <c r="AF447" s="3"/>
      <c r="AG447" s="3"/>
      <c r="AH447" s="3"/>
      <c r="AI447" s="3"/>
      <c r="AK447" s="3"/>
      <c r="AL447" s="3"/>
      <c r="AM447" s="3"/>
      <c r="AN447" s="3"/>
      <c r="AO447" s="3"/>
      <c r="AP447" s="3"/>
      <c r="AQ447" s="3"/>
      <c r="AR447" s="3"/>
    </row>
    <row r="448" spans="1:44" ht="16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S448" s="3"/>
      <c r="T448" s="3"/>
      <c r="U448" s="3"/>
      <c r="V448" s="3"/>
      <c r="W448" s="3"/>
      <c r="X448" s="3"/>
      <c r="Y448" s="3"/>
      <c r="Z448" s="3"/>
      <c r="AB448" s="3"/>
      <c r="AC448" s="3"/>
      <c r="AD448" s="3"/>
      <c r="AE448" s="3"/>
      <c r="AF448" s="3"/>
      <c r="AG448" s="3"/>
      <c r="AH448" s="3"/>
      <c r="AI448" s="3"/>
      <c r="AK448" s="3"/>
      <c r="AL448" s="3"/>
      <c r="AM448" s="3"/>
      <c r="AN448" s="3"/>
      <c r="AO448" s="3"/>
      <c r="AP448" s="3"/>
      <c r="AQ448" s="3"/>
      <c r="AR448" s="3"/>
    </row>
    <row r="449" spans="1:44" ht="16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S449" s="3"/>
      <c r="T449" s="3"/>
      <c r="U449" s="3"/>
      <c r="V449" s="3"/>
      <c r="W449" s="3"/>
      <c r="X449" s="3"/>
      <c r="Y449" s="3"/>
      <c r="Z449" s="3"/>
      <c r="AB449" s="3"/>
      <c r="AC449" s="3"/>
      <c r="AD449" s="3"/>
      <c r="AE449" s="3"/>
      <c r="AF449" s="3"/>
      <c r="AG449" s="3"/>
      <c r="AH449" s="3"/>
      <c r="AI449" s="3"/>
      <c r="AK449" s="3"/>
      <c r="AL449" s="3"/>
      <c r="AM449" s="3"/>
      <c r="AN449" s="3"/>
      <c r="AO449" s="3"/>
      <c r="AP449" s="3"/>
      <c r="AQ449" s="3"/>
      <c r="AR449" s="3"/>
    </row>
    <row r="450" spans="1:44" ht="16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S450" s="3"/>
      <c r="T450" s="3"/>
      <c r="U450" s="3"/>
      <c r="V450" s="3"/>
      <c r="W450" s="3"/>
      <c r="X450" s="3"/>
      <c r="Y450" s="3"/>
      <c r="Z450" s="3"/>
      <c r="AB450" s="3"/>
      <c r="AC450" s="3"/>
      <c r="AD450" s="3"/>
      <c r="AE450" s="3"/>
      <c r="AF450" s="3"/>
      <c r="AG450" s="3"/>
      <c r="AH450" s="3"/>
      <c r="AI450" s="3"/>
      <c r="AK450" s="3"/>
      <c r="AL450" s="3"/>
      <c r="AM450" s="3"/>
      <c r="AN450" s="3"/>
      <c r="AO450" s="3"/>
      <c r="AP450" s="3"/>
      <c r="AQ450" s="3"/>
      <c r="AR450" s="3"/>
    </row>
    <row r="451" spans="1:44" ht="16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S451" s="3"/>
      <c r="T451" s="3"/>
      <c r="U451" s="3"/>
      <c r="V451" s="3"/>
      <c r="W451" s="3"/>
      <c r="X451" s="3"/>
      <c r="Y451" s="3"/>
      <c r="Z451" s="3"/>
      <c r="AB451" s="3"/>
      <c r="AC451" s="3"/>
      <c r="AD451" s="3"/>
      <c r="AE451" s="3"/>
      <c r="AF451" s="3"/>
      <c r="AG451" s="3"/>
      <c r="AH451" s="3"/>
      <c r="AI451" s="3"/>
      <c r="AK451" s="3"/>
      <c r="AL451" s="3"/>
      <c r="AM451" s="3"/>
      <c r="AN451" s="3"/>
      <c r="AO451" s="3"/>
      <c r="AP451" s="3"/>
      <c r="AQ451" s="3"/>
      <c r="AR451" s="3"/>
    </row>
    <row r="452" spans="1:44" ht="16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S452" s="3"/>
      <c r="T452" s="3"/>
      <c r="U452" s="3"/>
      <c r="V452" s="3"/>
      <c r="W452" s="3"/>
      <c r="X452" s="3"/>
      <c r="Y452" s="3"/>
      <c r="Z452" s="3"/>
      <c r="AB452" s="3"/>
      <c r="AC452" s="3"/>
      <c r="AD452" s="3"/>
      <c r="AE452" s="3"/>
      <c r="AF452" s="3"/>
      <c r="AG452" s="3"/>
      <c r="AH452" s="3"/>
      <c r="AI452" s="3"/>
      <c r="AK452" s="3"/>
      <c r="AL452" s="3"/>
      <c r="AM452" s="3"/>
      <c r="AN452" s="3"/>
      <c r="AO452" s="3"/>
      <c r="AP452" s="3"/>
      <c r="AQ452" s="3"/>
      <c r="AR452" s="3"/>
    </row>
    <row r="453" spans="1:44" ht="16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S453" s="3"/>
      <c r="T453" s="3"/>
      <c r="U453" s="3"/>
      <c r="V453" s="3"/>
      <c r="W453" s="3"/>
      <c r="X453" s="3"/>
      <c r="Y453" s="3"/>
      <c r="Z453" s="3"/>
      <c r="AB453" s="3"/>
      <c r="AC453" s="3"/>
      <c r="AD453" s="3"/>
      <c r="AE453" s="3"/>
      <c r="AF453" s="3"/>
      <c r="AG453" s="3"/>
      <c r="AH453" s="3"/>
      <c r="AI453" s="3"/>
      <c r="AK453" s="3"/>
      <c r="AL453" s="3"/>
      <c r="AM453" s="3"/>
      <c r="AN453" s="3"/>
      <c r="AO453" s="3"/>
      <c r="AP453" s="3"/>
      <c r="AQ453" s="3"/>
      <c r="AR453" s="3"/>
    </row>
    <row r="454" spans="1:44" ht="16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S454" s="3"/>
      <c r="T454" s="3"/>
      <c r="U454" s="3"/>
      <c r="V454" s="3"/>
      <c r="W454" s="3"/>
      <c r="X454" s="3"/>
      <c r="Y454" s="3"/>
      <c r="Z454" s="3"/>
      <c r="AB454" s="3"/>
      <c r="AC454" s="3"/>
      <c r="AD454" s="3"/>
      <c r="AE454" s="3"/>
      <c r="AF454" s="3"/>
      <c r="AG454" s="3"/>
      <c r="AH454" s="3"/>
      <c r="AI454" s="3"/>
      <c r="AK454" s="3"/>
      <c r="AL454" s="3"/>
      <c r="AM454" s="3"/>
      <c r="AN454" s="3"/>
      <c r="AO454" s="3"/>
      <c r="AP454" s="3"/>
      <c r="AQ454" s="3"/>
      <c r="AR454" s="3"/>
    </row>
    <row r="455" spans="1:44" ht="16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S455" s="3"/>
      <c r="T455" s="3"/>
      <c r="U455" s="3"/>
      <c r="V455" s="3"/>
      <c r="W455" s="3"/>
      <c r="X455" s="3"/>
      <c r="Y455" s="3"/>
      <c r="Z455" s="3"/>
      <c r="AB455" s="3"/>
      <c r="AC455" s="3"/>
      <c r="AD455" s="3"/>
      <c r="AE455" s="3"/>
      <c r="AF455" s="3"/>
      <c r="AG455" s="3"/>
      <c r="AH455" s="3"/>
      <c r="AI455" s="3"/>
      <c r="AK455" s="3"/>
      <c r="AL455" s="3"/>
      <c r="AM455" s="3"/>
      <c r="AN455" s="3"/>
      <c r="AO455" s="3"/>
      <c r="AP455" s="3"/>
      <c r="AQ455" s="3"/>
      <c r="AR455" s="3"/>
    </row>
    <row r="456" spans="1:44" ht="16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S456" s="3"/>
      <c r="T456" s="3"/>
      <c r="U456" s="3"/>
      <c r="V456" s="3"/>
      <c r="W456" s="3"/>
      <c r="X456" s="3"/>
      <c r="Y456" s="3"/>
      <c r="Z456" s="3"/>
      <c r="AB456" s="3"/>
      <c r="AC456" s="3"/>
      <c r="AD456" s="3"/>
      <c r="AE456" s="3"/>
      <c r="AF456" s="3"/>
      <c r="AG456" s="3"/>
      <c r="AH456" s="3"/>
      <c r="AI456" s="3"/>
      <c r="AK456" s="3"/>
      <c r="AL456" s="3"/>
      <c r="AM456" s="3"/>
      <c r="AN456" s="3"/>
      <c r="AO456" s="3"/>
      <c r="AP456" s="3"/>
      <c r="AQ456" s="3"/>
      <c r="AR456" s="3"/>
    </row>
    <row r="457" spans="1:44" ht="16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S457" s="3"/>
      <c r="T457" s="3"/>
      <c r="U457" s="3"/>
      <c r="V457" s="3"/>
      <c r="W457" s="3"/>
      <c r="X457" s="3"/>
      <c r="Y457" s="3"/>
      <c r="Z457" s="3"/>
      <c r="AB457" s="3"/>
      <c r="AC457" s="3"/>
      <c r="AD457" s="3"/>
      <c r="AE457" s="3"/>
      <c r="AF457" s="3"/>
      <c r="AG457" s="3"/>
      <c r="AH457" s="3"/>
      <c r="AI457" s="3"/>
      <c r="AK457" s="3"/>
      <c r="AL457" s="3"/>
      <c r="AM457" s="3"/>
      <c r="AN457" s="3"/>
      <c r="AO457" s="3"/>
      <c r="AP457" s="3"/>
      <c r="AQ457" s="3"/>
      <c r="AR457" s="3"/>
    </row>
    <row r="458" spans="1:44" ht="16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S458" s="3"/>
      <c r="T458" s="3"/>
      <c r="U458" s="3"/>
      <c r="V458" s="3"/>
      <c r="W458" s="3"/>
      <c r="X458" s="3"/>
      <c r="Y458" s="3"/>
      <c r="Z458" s="3"/>
      <c r="AB458" s="3"/>
      <c r="AC458" s="3"/>
      <c r="AD458" s="3"/>
      <c r="AE458" s="3"/>
      <c r="AF458" s="3"/>
      <c r="AG458" s="3"/>
      <c r="AH458" s="3"/>
      <c r="AI458" s="3"/>
      <c r="AK458" s="3"/>
      <c r="AL458" s="3"/>
      <c r="AM458" s="3"/>
      <c r="AN458" s="3"/>
      <c r="AO458" s="3"/>
      <c r="AP458" s="3"/>
      <c r="AQ458" s="3"/>
      <c r="AR458" s="3"/>
    </row>
    <row r="459" spans="1:44" ht="16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S459" s="3"/>
      <c r="T459" s="3"/>
      <c r="U459" s="3"/>
      <c r="V459" s="3"/>
      <c r="W459" s="3"/>
      <c r="X459" s="3"/>
      <c r="Y459" s="3"/>
      <c r="Z459" s="3"/>
      <c r="AB459" s="3"/>
      <c r="AC459" s="3"/>
      <c r="AD459" s="3"/>
      <c r="AE459" s="3"/>
      <c r="AF459" s="3"/>
      <c r="AG459" s="3"/>
      <c r="AH459" s="3"/>
      <c r="AI459" s="3"/>
      <c r="AK459" s="3"/>
      <c r="AL459" s="3"/>
      <c r="AM459" s="3"/>
      <c r="AN459" s="3"/>
      <c r="AO459" s="3"/>
      <c r="AP459" s="3"/>
      <c r="AQ459" s="3"/>
      <c r="AR459" s="3"/>
    </row>
    <row r="460" spans="1:44" ht="16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S460" s="3"/>
      <c r="T460" s="3"/>
      <c r="U460" s="3"/>
      <c r="V460" s="3"/>
      <c r="W460" s="3"/>
      <c r="X460" s="3"/>
      <c r="Y460" s="3"/>
      <c r="Z460" s="3"/>
      <c r="AB460" s="3"/>
      <c r="AC460" s="3"/>
      <c r="AD460" s="3"/>
      <c r="AE460" s="3"/>
      <c r="AF460" s="3"/>
      <c r="AG460" s="3"/>
      <c r="AH460" s="3"/>
      <c r="AI460" s="3"/>
      <c r="AK460" s="3"/>
      <c r="AL460" s="3"/>
      <c r="AM460" s="3"/>
      <c r="AN460" s="3"/>
      <c r="AO460" s="3"/>
      <c r="AP460" s="3"/>
      <c r="AQ460" s="3"/>
      <c r="AR460" s="3"/>
    </row>
    <row r="461" spans="1:44" ht="16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S461" s="3"/>
      <c r="T461" s="3"/>
      <c r="U461" s="3"/>
      <c r="V461" s="3"/>
      <c r="W461" s="3"/>
      <c r="X461" s="3"/>
      <c r="Y461" s="3"/>
      <c r="Z461" s="3"/>
      <c r="AB461" s="3"/>
      <c r="AC461" s="3"/>
      <c r="AD461" s="3"/>
      <c r="AE461" s="3"/>
      <c r="AF461" s="3"/>
      <c r="AG461" s="3"/>
      <c r="AH461" s="3"/>
      <c r="AI461" s="3"/>
      <c r="AK461" s="3"/>
      <c r="AL461" s="3"/>
      <c r="AM461" s="3"/>
      <c r="AN461" s="3"/>
      <c r="AO461" s="3"/>
      <c r="AP461" s="3"/>
      <c r="AQ461" s="3"/>
      <c r="AR461" s="3"/>
    </row>
    <row r="462" spans="1:44" ht="16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S462" s="3"/>
      <c r="T462" s="3"/>
      <c r="U462" s="3"/>
      <c r="V462" s="3"/>
      <c r="W462" s="3"/>
      <c r="X462" s="3"/>
      <c r="Y462" s="3"/>
      <c r="Z462" s="3"/>
      <c r="AB462" s="3"/>
      <c r="AC462" s="3"/>
      <c r="AD462" s="3"/>
      <c r="AE462" s="3"/>
      <c r="AF462" s="3"/>
      <c r="AG462" s="3"/>
      <c r="AH462" s="3"/>
      <c r="AI462" s="3"/>
      <c r="AK462" s="3"/>
      <c r="AL462" s="3"/>
      <c r="AM462" s="3"/>
      <c r="AN462" s="3"/>
      <c r="AO462" s="3"/>
      <c r="AP462" s="3"/>
      <c r="AQ462" s="3"/>
      <c r="AR462" s="3"/>
    </row>
    <row r="463" spans="1:44" ht="16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S463" s="3"/>
      <c r="T463" s="3"/>
      <c r="U463" s="3"/>
      <c r="V463" s="3"/>
      <c r="W463" s="3"/>
      <c r="X463" s="3"/>
      <c r="Y463" s="3"/>
      <c r="Z463" s="3"/>
      <c r="AB463" s="3"/>
      <c r="AC463" s="3"/>
      <c r="AD463" s="3"/>
      <c r="AE463" s="3"/>
      <c r="AF463" s="3"/>
      <c r="AG463" s="3"/>
      <c r="AH463" s="3"/>
      <c r="AI463" s="3"/>
      <c r="AK463" s="3"/>
      <c r="AL463" s="3"/>
      <c r="AM463" s="3"/>
      <c r="AN463" s="3"/>
      <c r="AO463" s="3"/>
      <c r="AP463" s="3"/>
      <c r="AQ463" s="3"/>
      <c r="AR463" s="3"/>
    </row>
    <row r="464" spans="1:44" ht="16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S464" s="3"/>
      <c r="T464" s="3"/>
      <c r="U464" s="3"/>
      <c r="V464" s="3"/>
      <c r="W464" s="3"/>
      <c r="X464" s="3"/>
      <c r="Y464" s="3"/>
      <c r="Z464" s="3"/>
      <c r="AB464" s="3"/>
      <c r="AC464" s="3"/>
      <c r="AD464" s="3"/>
      <c r="AE464" s="3"/>
      <c r="AF464" s="3"/>
      <c r="AG464" s="3"/>
      <c r="AH464" s="3"/>
      <c r="AI464" s="3"/>
      <c r="AK464" s="3"/>
      <c r="AL464" s="3"/>
      <c r="AM464" s="3"/>
      <c r="AN464" s="3"/>
      <c r="AO464" s="3"/>
      <c r="AP464" s="3"/>
      <c r="AQ464" s="3"/>
      <c r="AR464" s="3"/>
    </row>
    <row r="465" spans="1:44" ht="16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S465" s="3"/>
      <c r="T465" s="3"/>
      <c r="U465" s="3"/>
      <c r="V465" s="3"/>
      <c r="W465" s="3"/>
      <c r="X465" s="3"/>
      <c r="Y465" s="3"/>
      <c r="Z465" s="3"/>
      <c r="AB465" s="3"/>
      <c r="AC465" s="3"/>
      <c r="AD465" s="3"/>
      <c r="AE465" s="3"/>
      <c r="AF465" s="3"/>
      <c r="AG465" s="3"/>
      <c r="AH465" s="3"/>
      <c r="AI465" s="3"/>
      <c r="AK465" s="3"/>
      <c r="AL465" s="3"/>
      <c r="AM465" s="3"/>
      <c r="AN465" s="3"/>
      <c r="AO465" s="3"/>
      <c r="AP465" s="3"/>
      <c r="AQ465" s="3"/>
      <c r="AR465" s="3"/>
    </row>
    <row r="466" spans="1:44" ht="16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S466" s="3"/>
      <c r="T466" s="3"/>
      <c r="U466" s="3"/>
      <c r="V466" s="3"/>
      <c r="W466" s="3"/>
      <c r="X466" s="3"/>
      <c r="Y466" s="3"/>
      <c r="Z466" s="3"/>
      <c r="AB466" s="3"/>
      <c r="AC466" s="3"/>
      <c r="AD466" s="3"/>
      <c r="AE466" s="3"/>
      <c r="AF466" s="3"/>
      <c r="AG466" s="3"/>
      <c r="AH466" s="3"/>
      <c r="AI466" s="3"/>
      <c r="AK466" s="3"/>
      <c r="AL466" s="3"/>
      <c r="AM466" s="3"/>
      <c r="AN466" s="3"/>
      <c r="AO466" s="3"/>
      <c r="AP466" s="3"/>
      <c r="AQ466" s="3"/>
      <c r="AR466" s="3"/>
    </row>
    <row r="467" spans="1:44" ht="16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S467" s="3"/>
      <c r="T467" s="3"/>
      <c r="U467" s="3"/>
      <c r="V467" s="3"/>
      <c r="W467" s="3"/>
      <c r="X467" s="3"/>
      <c r="Y467" s="3"/>
      <c r="Z467" s="3"/>
      <c r="AB467" s="3"/>
      <c r="AC467" s="3"/>
      <c r="AD467" s="3"/>
      <c r="AE467" s="3"/>
      <c r="AF467" s="3"/>
      <c r="AG467" s="3"/>
      <c r="AH467" s="3"/>
      <c r="AI467" s="3"/>
      <c r="AK467" s="3"/>
      <c r="AL467" s="3"/>
      <c r="AM467" s="3"/>
      <c r="AN467" s="3"/>
      <c r="AO467" s="3"/>
      <c r="AP467" s="3"/>
      <c r="AQ467" s="3"/>
      <c r="AR467" s="3"/>
    </row>
    <row r="468" spans="1:44" ht="16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S468" s="3"/>
      <c r="T468" s="3"/>
      <c r="U468" s="3"/>
      <c r="V468" s="3"/>
      <c r="W468" s="3"/>
      <c r="X468" s="3"/>
      <c r="Y468" s="3"/>
      <c r="Z468" s="3"/>
      <c r="AB468" s="3"/>
      <c r="AC468" s="3"/>
      <c r="AD468" s="3"/>
      <c r="AE468" s="3"/>
      <c r="AF468" s="3"/>
      <c r="AG468" s="3"/>
      <c r="AH468" s="3"/>
      <c r="AI468" s="3"/>
      <c r="AK468" s="3"/>
      <c r="AL468" s="3"/>
      <c r="AM468" s="3"/>
      <c r="AN468" s="3"/>
      <c r="AO468" s="3"/>
      <c r="AP468" s="3"/>
      <c r="AQ468" s="3"/>
      <c r="AR468" s="3"/>
    </row>
    <row r="469" spans="1:44" ht="16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S469" s="3"/>
      <c r="T469" s="3"/>
      <c r="U469" s="3"/>
      <c r="V469" s="3"/>
      <c r="W469" s="3"/>
      <c r="X469" s="3"/>
      <c r="Y469" s="3"/>
      <c r="Z469" s="3"/>
      <c r="AB469" s="3"/>
      <c r="AC469" s="3"/>
      <c r="AD469" s="3"/>
      <c r="AE469" s="3"/>
      <c r="AF469" s="3"/>
      <c r="AG469" s="3"/>
      <c r="AH469" s="3"/>
      <c r="AI469" s="3"/>
      <c r="AK469" s="3"/>
      <c r="AL469" s="3"/>
      <c r="AM469" s="3"/>
      <c r="AN469" s="3"/>
      <c r="AO469" s="3"/>
      <c r="AP469" s="3"/>
      <c r="AQ469" s="3"/>
      <c r="AR469" s="3"/>
    </row>
    <row r="470" spans="1:44" ht="16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S470" s="3"/>
      <c r="T470" s="3"/>
      <c r="U470" s="3"/>
      <c r="V470" s="3"/>
      <c r="W470" s="3"/>
      <c r="X470" s="3"/>
      <c r="Y470" s="3"/>
      <c r="Z470" s="3"/>
      <c r="AB470" s="3"/>
      <c r="AC470" s="3"/>
      <c r="AD470" s="3"/>
      <c r="AE470" s="3"/>
      <c r="AF470" s="3"/>
      <c r="AG470" s="3"/>
      <c r="AH470" s="3"/>
      <c r="AI470" s="3"/>
      <c r="AK470" s="3"/>
      <c r="AL470" s="3"/>
      <c r="AM470" s="3"/>
      <c r="AN470" s="3"/>
      <c r="AO470" s="3"/>
      <c r="AP470" s="3"/>
      <c r="AQ470" s="3"/>
      <c r="AR470" s="3"/>
    </row>
    <row r="471" spans="1:44" ht="16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S471" s="3"/>
      <c r="T471" s="3"/>
      <c r="U471" s="3"/>
      <c r="V471" s="3"/>
      <c r="W471" s="3"/>
      <c r="X471" s="3"/>
      <c r="Y471" s="3"/>
      <c r="Z471" s="3"/>
      <c r="AB471" s="3"/>
      <c r="AC471" s="3"/>
      <c r="AD471" s="3"/>
      <c r="AE471" s="3"/>
      <c r="AF471" s="3"/>
      <c r="AG471" s="3"/>
      <c r="AH471" s="3"/>
      <c r="AI471" s="3"/>
      <c r="AK471" s="3"/>
      <c r="AL471" s="3"/>
      <c r="AM471" s="3"/>
      <c r="AN471" s="3"/>
      <c r="AO471" s="3"/>
      <c r="AP471" s="3"/>
      <c r="AQ471" s="3"/>
      <c r="AR471" s="3"/>
    </row>
    <row r="472" spans="1:44" ht="16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S472" s="3"/>
      <c r="T472" s="3"/>
      <c r="U472" s="3"/>
      <c r="V472" s="3"/>
      <c r="W472" s="3"/>
      <c r="X472" s="3"/>
      <c r="Y472" s="3"/>
      <c r="Z472" s="3"/>
      <c r="AB472" s="3"/>
      <c r="AC472" s="3"/>
      <c r="AD472" s="3"/>
      <c r="AE472" s="3"/>
      <c r="AF472" s="3"/>
      <c r="AG472" s="3"/>
      <c r="AH472" s="3"/>
      <c r="AI472" s="3"/>
      <c r="AK472" s="3"/>
      <c r="AL472" s="3"/>
      <c r="AM472" s="3"/>
      <c r="AN472" s="3"/>
      <c r="AO472" s="3"/>
      <c r="AP472" s="3"/>
      <c r="AQ472" s="3"/>
      <c r="AR472" s="3"/>
    </row>
    <row r="473" spans="1:44" ht="16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S473" s="3"/>
      <c r="T473" s="3"/>
      <c r="U473" s="3"/>
      <c r="V473" s="3"/>
      <c r="W473" s="3"/>
      <c r="X473" s="3"/>
      <c r="Y473" s="3"/>
      <c r="Z473" s="3"/>
      <c r="AB473" s="3"/>
      <c r="AC473" s="3"/>
      <c r="AD473" s="3"/>
      <c r="AE473" s="3"/>
      <c r="AF473" s="3"/>
      <c r="AG473" s="3"/>
      <c r="AH473" s="3"/>
      <c r="AI473" s="3"/>
      <c r="AK473" s="3"/>
      <c r="AL473" s="3"/>
      <c r="AM473" s="3"/>
      <c r="AN473" s="3"/>
      <c r="AO473" s="3"/>
      <c r="AP473" s="3"/>
      <c r="AQ473" s="3"/>
      <c r="AR473" s="3"/>
    </row>
    <row r="474" spans="1:44" ht="16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S474" s="3"/>
      <c r="T474" s="3"/>
      <c r="U474" s="3"/>
      <c r="V474" s="3"/>
      <c r="W474" s="3"/>
      <c r="X474" s="3"/>
      <c r="Y474" s="3"/>
      <c r="Z474" s="3"/>
      <c r="AB474" s="3"/>
      <c r="AC474" s="3"/>
      <c r="AD474" s="3"/>
      <c r="AE474" s="3"/>
      <c r="AF474" s="3"/>
      <c r="AG474" s="3"/>
      <c r="AH474" s="3"/>
      <c r="AI474" s="3"/>
      <c r="AK474" s="3"/>
      <c r="AL474" s="3"/>
      <c r="AM474" s="3"/>
      <c r="AN474" s="3"/>
      <c r="AO474" s="3"/>
      <c r="AP474" s="3"/>
      <c r="AQ474" s="3"/>
      <c r="AR474" s="3"/>
    </row>
    <row r="475" spans="1:44" ht="16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S475" s="3"/>
      <c r="T475" s="3"/>
      <c r="U475" s="3"/>
      <c r="V475" s="3"/>
      <c r="W475" s="3"/>
      <c r="X475" s="3"/>
      <c r="Y475" s="3"/>
      <c r="Z475" s="3"/>
      <c r="AB475" s="3"/>
      <c r="AC475" s="3"/>
      <c r="AD475" s="3"/>
      <c r="AE475" s="3"/>
      <c r="AF475" s="3"/>
      <c r="AG475" s="3"/>
      <c r="AH475" s="3"/>
      <c r="AI475" s="3"/>
      <c r="AK475" s="3"/>
      <c r="AL475" s="3"/>
      <c r="AM475" s="3"/>
      <c r="AN475" s="3"/>
      <c r="AO475" s="3"/>
      <c r="AP475" s="3"/>
      <c r="AQ475" s="3"/>
      <c r="AR475" s="3"/>
    </row>
    <row r="476" spans="1:44" ht="16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S476" s="3"/>
      <c r="T476" s="3"/>
      <c r="U476" s="3"/>
      <c r="V476" s="3"/>
      <c r="W476" s="3"/>
      <c r="X476" s="3"/>
      <c r="Y476" s="3"/>
      <c r="Z476" s="3"/>
      <c r="AB476" s="3"/>
      <c r="AC476" s="3"/>
      <c r="AD476" s="3"/>
      <c r="AE476" s="3"/>
      <c r="AF476" s="3"/>
      <c r="AG476" s="3"/>
      <c r="AH476" s="3"/>
      <c r="AI476" s="3"/>
      <c r="AK476" s="3"/>
      <c r="AL476" s="3"/>
      <c r="AM476" s="3"/>
      <c r="AN476" s="3"/>
      <c r="AO476" s="3"/>
      <c r="AP476" s="3"/>
      <c r="AQ476" s="3"/>
      <c r="AR476" s="3"/>
    </row>
    <row r="477" spans="1:44" ht="16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S477" s="3"/>
      <c r="T477" s="3"/>
      <c r="U477" s="3"/>
      <c r="V477" s="3"/>
      <c r="W477" s="3"/>
      <c r="X477" s="3"/>
      <c r="Y477" s="3"/>
      <c r="Z477" s="3"/>
      <c r="AB477" s="3"/>
      <c r="AC477" s="3"/>
      <c r="AD477" s="3"/>
      <c r="AE477" s="3"/>
      <c r="AF477" s="3"/>
      <c r="AG477" s="3"/>
      <c r="AH477" s="3"/>
      <c r="AI477" s="3"/>
      <c r="AK477" s="3"/>
      <c r="AL477" s="3"/>
      <c r="AM477" s="3"/>
      <c r="AN477" s="3"/>
      <c r="AO477" s="3"/>
      <c r="AP477" s="3"/>
      <c r="AQ477" s="3"/>
      <c r="AR477" s="3"/>
    </row>
    <row r="478" spans="1:44" ht="16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S478" s="3"/>
      <c r="T478" s="3"/>
      <c r="U478" s="3"/>
      <c r="V478" s="3"/>
      <c r="W478" s="3"/>
      <c r="X478" s="3"/>
      <c r="Y478" s="3"/>
      <c r="Z478" s="3"/>
      <c r="AB478" s="3"/>
      <c r="AC478" s="3"/>
      <c r="AD478" s="3"/>
      <c r="AE478" s="3"/>
      <c r="AF478" s="3"/>
      <c r="AG478" s="3"/>
      <c r="AH478" s="3"/>
      <c r="AI478" s="3"/>
      <c r="AK478" s="3"/>
      <c r="AL478" s="3"/>
      <c r="AM478" s="3"/>
      <c r="AN478" s="3"/>
      <c r="AO478" s="3"/>
      <c r="AP478" s="3"/>
      <c r="AQ478" s="3"/>
      <c r="AR478" s="3"/>
    </row>
    <row r="479" spans="1:44" ht="16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S479" s="3"/>
      <c r="T479" s="3"/>
      <c r="U479" s="3"/>
      <c r="V479" s="3"/>
      <c r="W479" s="3"/>
      <c r="X479" s="3"/>
      <c r="Y479" s="3"/>
      <c r="Z479" s="3"/>
      <c r="AB479" s="3"/>
      <c r="AC479" s="3"/>
      <c r="AD479" s="3"/>
      <c r="AE479" s="3"/>
      <c r="AF479" s="3"/>
      <c r="AG479" s="3"/>
      <c r="AH479" s="3"/>
      <c r="AI479" s="3"/>
      <c r="AK479" s="3"/>
      <c r="AL479" s="3"/>
      <c r="AM479" s="3"/>
      <c r="AN479" s="3"/>
      <c r="AO479" s="3"/>
      <c r="AP479" s="3"/>
      <c r="AQ479" s="3"/>
      <c r="AR479" s="3"/>
    </row>
    <row r="480" spans="1:44" ht="16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S480" s="3"/>
      <c r="T480" s="3"/>
      <c r="U480" s="3"/>
      <c r="V480" s="3"/>
      <c r="W480" s="3"/>
      <c r="X480" s="3"/>
      <c r="Y480" s="3"/>
      <c r="Z480" s="3"/>
      <c r="AB480" s="3"/>
      <c r="AC480" s="3"/>
      <c r="AD480" s="3"/>
      <c r="AE480" s="3"/>
      <c r="AF480" s="3"/>
      <c r="AG480" s="3"/>
      <c r="AH480" s="3"/>
      <c r="AI480" s="3"/>
      <c r="AK480" s="3"/>
      <c r="AL480" s="3"/>
      <c r="AM480" s="3"/>
      <c r="AN480" s="3"/>
      <c r="AO480" s="3"/>
      <c r="AP480" s="3"/>
      <c r="AQ480" s="3"/>
      <c r="AR480" s="3"/>
    </row>
    <row r="481" spans="1:44" ht="16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S481" s="3"/>
      <c r="T481" s="3"/>
      <c r="U481" s="3"/>
      <c r="V481" s="3"/>
      <c r="W481" s="3"/>
      <c r="X481" s="3"/>
      <c r="Y481" s="3"/>
      <c r="Z481" s="3"/>
      <c r="AB481" s="3"/>
      <c r="AC481" s="3"/>
      <c r="AD481" s="3"/>
      <c r="AE481" s="3"/>
      <c r="AF481" s="3"/>
      <c r="AG481" s="3"/>
      <c r="AH481" s="3"/>
      <c r="AI481" s="3"/>
      <c r="AK481" s="3"/>
      <c r="AL481" s="3"/>
      <c r="AM481" s="3"/>
      <c r="AN481" s="3"/>
      <c r="AO481" s="3"/>
      <c r="AP481" s="3"/>
      <c r="AQ481" s="3"/>
      <c r="AR481" s="3"/>
    </row>
    <row r="482" spans="1:44" ht="16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S482" s="3"/>
      <c r="T482" s="3"/>
      <c r="U482" s="3"/>
      <c r="V482" s="3"/>
      <c r="W482" s="3"/>
      <c r="X482" s="3"/>
      <c r="Y482" s="3"/>
      <c r="Z482" s="3"/>
      <c r="AB482" s="3"/>
      <c r="AC482" s="3"/>
      <c r="AD482" s="3"/>
      <c r="AE482" s="3"/>
      <c r="AF482" s="3"/>
      <c r="AG482" s="3"/>
      <c r="AH482" s="3"/>
      <c r="AI482" s="3"/>
      <c r="AK482" s="3"/>
      <c r="AL482" s="3"/>
      <c r="AM482" s="3"/>
      <c r="AN482" s="3"/>
      <c r="AO482" s="3"/>
      <c r="AP482" s="3"/>
      <c r="AQ482" s="3"/>
      <c r="AR482" s="3"/>
    </row>
    <row r="483" spans="1:44" ht="16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S483" s="3"/>
      <c r="T483" s="3"/>
      <c r="U483" s="3"/>
      <c r="V483" s="3"/>
      <c r="W483" s="3"/>
      <c r="X483" s="3"/>
      <c r="Y483" s="3"/>
      <c r="Z483" s="3"/>
      <c r="AB483" s="3"/>
      <c r="AC483" s="3"/>
      <c r="AD483" s="3"/>
      <c r="AE483" s="3"/>
      <c r="AF483" s="3"/>
      <c r="AG483" s="3"/>
      <c r="AH483" s="3"/>
      <c r="AI483" s="3"/>
      <c r="AK483" s="3"/>
      <c r="AL483" s="3"/>
      <c r="AM483" s="3"/>
      <c r="AN483" s="3"/>
      <c r="AO483" s="3"/>
      <c r="AP483" s="3"/>
      <c r="AQ483" s="3"/>
      <c r="AR483" s="3"/>
    </row>
    <row r="484" spans="1:44" ht="16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S484" s="3"/>
      <c r="T484" s="3"/>
      <c r="U484" s="3"/>
      <c r="V484" s="3"/>
      <c r="W484" s="3"/>
      <c r="X484" s="3"/>
      <c r="Y484" s="3"/>
      <c r="Z484" s="3"/>
      <c r="AB484" s="3"/>
      <c r="AC484" s="3"/>
      <c r="AD484" s="3"/>
      <c r="AE484" s="3"/>
      <c r="AF484" s="3"/>
      <c r="AG484" s="3"/>
      <c r="AH484" s="3"/>
      <c r="AI484" s="3"/>
      <c r="AK484" s="3"/>
      <c r="AL484" s="3"/>
      <c r="AM484" s="3"/>
      <c r="AN484" s="3"/>
      <c r="AO484" s="3"/>
      <c r="AP484" s="3"/>
      <c r="AQ484" s="3"/>
      <c r="AR484" s="3"/>
    </row>
    <row r="485" spans="1:44" ht="16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S485" s="3"/>
      <c r="T485" s="3"/>
      <c r="U485" s="3"/>
      <c r="V485" s="3"/>
      <c r="W485" s="3"/>
      <c r="X485" s="3"/>
      <c r="Y485" s="3"/>
      <c r="Z485" s="3"/>
      <c r="AB485" s="3"/>
      <c r="AC485" s="3"/>
      <c r="AD485" s="3"/>
      <c r="AE485" s="3"/>
      <c r="AF485" s="3"/>
      <c r="AG485" s="3"/>
      <c r="AH485" s="3"/>
      <c r="AI485" s="3"/>
      <c r="AK485" s="3"/>
      <c r="AL485" s="3"/>
      <c r="AM485" s="3"/>
      <c r="AN485" s="3"/>
      <c r="AO485" s="3"/>
      <c r="AP485" s="3"/>
      <c r="AQ485" s="3"/>
      <c r="AR485" s="3"/>
    </row>
    <row r="486" spans="1:44" ht="16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S486" s="3"/>
      <c r="T486" s="3"/>
      <c r="U486" s="3"/>
      <c r="V486" s="3"/>
      <c r="W486" s="3"/>
      <c r="X486" s="3"/>
      <c r="Y486" s="3"/>
      <c r="Z486" s="3"/>
      <c r="AB486" s="3"/>
      <c r="AC486" s="3"/>
      <c r="AD486" s="3"/>
      <c r="AE486" s="3"/>
      <c r="AF486" s="3"/>
      <c r="AG486" s="3"/>
      <c r="AH486" s="3"/>
      <c r="AI486" s="3"/>
      <c r="AK486" s="3"/>
      <c r="AL486" s="3"/>
      <c r="AM486" s="3"/>
      <c r="AN486" s="3"/>
      <c r="AO486" s="3"/>
      <c r="AP486" s="3"/>
      <c r="AQ486" s="3"/>
      <c r="AR486" s="3"/>
    </row>
    <row r="487" spans="1:44" ht="16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S487" s="3"/>
      <c r="T487" s="3"/>
      <c r="U487" s="3"/>
      <c r="V487" s="3"/>
      <c r="W487" s="3"/>
      <c r="X487" s="3"/>
      <c r="Y487" s="3"/>
      <c r="Z487" s="3"/>
      <c r="AB487" s="3"/>
      <c r="AC487" s="3"/>
      <c r="AD487" s="3"/>
      <c r="AE487" s="3"/>
      <c r="AF487" s="3"/>
      <c r="AG487" s="3"/>
      <c r="AH487" s="3"/>
      <c r="AI487" s="3"/>
      <c r="AK487" s="3"/>
      <c r="AL487" s="3"/>
      <c r="AM487" s="3"/>
      <c r="AN487" s="3"/>
      <c r="AO487" s="3"/>
      <c r="AP487" s="3"/>
      <c r="AQ487" s="3"/>
      <c r="AR487" s="3"/>
    </row>
    <row r="488" spans="1:44" ht="16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S488" s="3"/>
      <c r="T488" s="3"/>
      <c r="U488" s="3"/>
      <c r="V488" s="3"/>
      <c r="W488" s="3"/>
      <c r="X488" s="3"/>
      <c r="Y488" s="3"/>
      <c r="Z488" s="3"/>
      <c r="AB488" s="3"/>
      <c r="AC488" s="3"/>
      <c r="AD488" s="3"/>
      <c r="AE488" s="3"/>
      <c r="AF488" s="3"/>
      <c r="AG488" s="3"/>
      <c r="AH488" s="3"/>
      <c r="AI488" s="3"/>
      <c r="AK488" s="3"/>
      <c r="AL488" s="3"/>
      <c r="AM488" s="3"/>
      <c r="AN488" s="3"/>
      <c r="AO488" s="3"/>
      <c r="AP488" s="3"/>
      <c r="AQ488" s="3"/>
      <c r="AR488" s="3"/>
    </row>
    <row r="489" spans="1:44" ht="16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S489" s="3"/>
      <c r="T489" s="3"/>
      <c r="U489" s="3"/>
      <c r="V489" s="3"/>
      <c r="W489" s="3"/>
      <c r="X489" s="3"/>
      <c r="Y489" s="3"/>
      <c r="Z489" s="3"/>
      <c r="AB489" s="3"/>
      <c r="AC489" s="3"/>
      <c r="AD489" s="3"/>
      <c r="AE489" s="3"/>
      <c r="AF489" s="3"/>
      <c r="AG489" s="3"/>
      <c r="AH489" s="3"/>
      <c r="AI489" s="3"/>
      <c r="AK489" s="3"/>
      <c r="AL489" s="3"/>
      <c r="AM489" s="3"/>
      <c r="AN489" s="3"/>
      <c r="AO489" s="3"/>
      <c r="AP489" s="3"/>
      <c r="AQ489" s="3"/>
      <c r="AR489" s="3"/>
    </row>
    <row r="490" spans="1:44" ht="16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S490" s="3"/>
      <c r="T490" s="3"/>
      <c r="U490" s="3"/>
      <c r="V490" s="3"/>
      <c r="W490" s="3"/>
      <c r="X490" s="3"/>
      <c r="Y490" s="3"/>
      <c r="Z490" s="3"/>
      <c r="AB490" s="3"/>
      <c r="AC490" s="3"/>
      <c r="AD490" s="3"/>
      <c r="AE490" s="3"/>
      <c r="AF490" s="3"/>
      <c r="AG490" s="3"/>
      <c r="AH490" s="3"/>
      <c r="AI490" s="3"/>
      <c r="AK490" s="3"/>
      <c r="AL490" s="3"/>
      <c r="AM490" s="3"/>
      <c r="AN490" s="3"/>
      <c r="AO490" s="3"/>
      <c r="AP490" s="3"/>
      <c r="AQ490" s="3"/>
      <c r="AR490" s="3"/>
    </row>
    <row r="491" spans="1:44" ht="16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S491" s="3"/>
      <c r="T491" s="3"/>
      <c r="U491" s="3"/>
      <c r="V491" s="3"/>
      <c r="W491" s="3"/>
      <c r="X491" s="3"/>
      <c r="Y491" s="3"/>
      <c r="Z491" s="3"/>
      <c r="AB491" s="3"/>
      <c r="AC491" s="3"/>
      <c r="AD491" s="3"/>
      <c r="AE491" s="3"/>
      <c r="AF491" s="3"/>
      <c r="AG491" s="3"/>
      <c r="AH491" s="3"/>
      <c r="AI491" s="3"/>
      <c r="AK491" s="3"/>
      <c r="AL491" s="3"/>
      <c r="AM491" s="3"/>
      <c r="AN491" s="3"/>
      <c r="AO491" s="3"/>
      <c r="AP491" s="3"/>
      <c r="AQ491" s="3"/>
      <c r="AR491" s="3"/>
    </row>
    <row r="492" spans="1:44" ht="16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S492" s="3"/>
      <c r="T492" s="3"/>
      <c r="U492" s="3"/>
      <c r="V492" s="3"/>
      <c r="W492" s="3"/>
      <c r="X492" s="3"/>
      <c r="Y492" s="3"/>
      <c r="Z492" s="3"/>
      <c r="AB492" s="3"/>
      <c r="AC492" s="3"/>
      <c r="AD492" s="3"/>
      <c r="AE492" s="3"/>
      <c r="AF492" s="3"/>
      <c r="AG492" s="3"/>
      <c r="AH492" s="3"/>
      <c r="AI492" s="3"/>
      <c r="AK492" s="3"/>
      <c r="AL492" s="3"/>
      <c r="AM492" s="3"/>
      <c r="AN492" s="3"/>
      <c r="AO492" s="3"/>
      <c r="AP492" s="3"/>
      <c r="AQ492" s="3"/>
      <c r="AR492" s="3"/>
    </row>
    <row r="493" spans="1:44" ht="16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S493" s="3"/>
      <c r="T493" s="3"/>
      <c r="U493" s="3"/>
      <c r="V493" s="3"/>
      <c r="W493" s="3"/>
      <c r="X493" s="3"/>
      <c r="Y493" s="3"/>
      <c r="Z493" s="3"/>
      <c r="AB493" s="3"/>
      <c r="AC493" s="3"/>
      <c r="AD493" s="3"/>
      <c r="AE493" s="3"/>
      <c r="AF493" s="3"/>
      <c r="AG493" s="3"/>
      <c r="AH493" s="3"/>
      <c r="AI493" s="3"/>
      <c r="AK493" s="3"/>
      <c r="AL493" s="3"/>
      <c r="AM493" s="3"/>
      <c r="AN493" s="3"/>
      <c r="AO493" s="3"/>
      <c r="AP493" s="3"/>
      <c r="AQ493" s="3"/>
      <c r="AR493" s="3"/>
    </row>
    <row r="494" spans="1:44" ht="16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S494" s="3"/>
      <c r="T494" s="3"/>
      <c r="U494" s="3"/>
      <c r="V494" s="3"/>
      <c r="W494" s="3"/>
      <c r="X494" s="3"/>
      <c r="Y494" s="3"/>
      <c r="Z494" s="3"/>
      <c r="AB494" s="3"/>
      <c r="AC494" s="3"/>
      <c r="AD494" s="3"/>
      <c r="AE494" s="3"/>
      <c r="AF494" s="3"/>
      <c r="AG494" s="3"/>
      <c r="AH494" s="3"/>
      <c r="AI494" s="3"/>
      <c r="AK494" s="3"/>
      <c r="AL494" s="3"/>
      <c r="AM494" s="3"/>
      <c r="AN494" s="3"/>
      <c r="AO494" s="3"/>
      <c r="AP494" s="3"/>
      <c r="AQ494" s="3"/>
      <c r="AR494" s="3"/>
    </row>
    <row r="495" spans="1:44" ht="16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S495" s="3"/>
      <c r="T495" s="3"/>
      <c r="U495" s="3"/>
      <c r="V495" s="3"/>
      <c r="W495" s="3"/>
      <c r="X495" s="3"/>
      <c r="Y495" s="3"/>
      <c r="Z495" s="3"/>
      <c r="AB495" s="3"/>
      <c r="AC495" s="3"/>
      <c r="AD495" s="3"/>
      <c r="AE495" s="3"/>
      <c r="AF495" s="3"/>
      <c r="AG495" s="3"/>
      <c r="AH495" s="3"/>
      <c r="AI495" s="3"/>
      <c r="AK495" s="3"/>
      <c r="AL495" s="3"/>
      <c r="AM495" s="3"/>
      <c r="AN495" s="3"/>
      <c r="AO495" s="3"/>
      <c r="AP495" s="3"/>
      <c r="AQ495" s="3"/>
      <c r="AR495" s="3"/>
    </row>
    <row r="496" spans="1:44" ht="16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S496" s="3"/>
      <c r="T496" s="3"/>
      <c r="U496" s="3"/>
      <c r="V496" s="3"/>
      <c r="W496" s="3"/>
      <c r="X496" s="3"/>
      <c r="Y496" s="3"/>
      <c r="Z496" s="3"/>
      <c r="AB496" s="3"/>
      <c r="AC496" s="3"/>
      <c r="AD496" s="3"/>
      <c r="AE496" s="3"/>
      <c r="AF496" s="3"/>
      <c r="AG496" s="3"/>
      <c r="AH496" s="3"/>
      <c r="AI496" s="3"/>
      <c r="AK496" s="3"/>
      <c r="AL496" s="3"/>
      <c r="AM496" s="3"/>
      <c r="AN496" s="3"/>
      <c r="AO496" s="3"/>
      <c r="AP496" s="3"/>
      <c r="AQ496" s="3"/>
      <c r="AR496" s="3"/>
    </row>
    <row r="497" spans="1:44" ht="16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S497" s="3"/>
      <c r="T497" s="3"/>
      <c r="U497" s="3"/>
      <c r="V497" s="3"/>
      <c r="W497" s="3"/>
      <c r="X497" s="3"/>
      <c r="Y497" s="3"/>
      <c r="Z497" s="3"/>
      <c r="AB497" s="3"/>
      <c r="AC497" s="3"/>
      <c r="AD497" s="3"/>
      <c r="AE497" s="3"/>
      <c r="AF497" s="3"/>
      <c r="AG497" s="3"/>
      <c r="AH497" s="3"/>
      <c r="AI497" s="3"/>
      <c r="AK497" s="3"/>
      <c r="AL497" s="3"/>
      <c r="AM497" s="3"/>
      <c r="AN497" s="3"/>
      <c r="AO497" s="3"/>
      <c r="AP497" s="3"/>
      <c r="AQ497" s="3"/>
      <c r="AR497" s="3"/>
    </row>
    <row r="498" spans="1:44" ht="16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S498" s="3"/>
      <c r="T498" s="3"/>
      <c r="U498" s="3"/>
      <c r="V498" s="3"/>
      <c r="W498" s="3"/>
      <c r="X498" s="3"/>
      <c r="Y498" s="3"/>
      <c r="Z498" s="3"/>
      <c r="AB498" s="3"/>
      <c r="AC498" s="3"/>
      <c r="AD498" s="3"/>
      <c r="AE498" s="3"/>
      <c r="AF498" s="3"/>
      <c r="AG498" s="3"/>
      <c r="AH498" s="3"/>
      <c r="AI498" s="3"/>
      <c r="AK498" s="3"/>
      <c r="AL498" s="3"/>
      <c r="AM498" s="3"/>
      <c r="AN498" s="3"/>
      <c r="AO498" s="3"/>
      <c r="AP498" s="3"/>
      <c r="AQ498" s="3"/>
      <c r="AR498" s="3"/>
    </row>
    <row r="499" spans="1:44" ht="16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S499" s="3"/>
      <c r="T499" s="3"/>
      <c r="U499" s="3"/>
      <c r="V499" s="3"/>
      <c r="W499" s="3"/>
      <c r="X499" s="3"/>
      <c r="Y499" s="3"/>
      <c r="Z499" s="3"/>
      <c r="AB499" s="3"/>
      <c r="AC499" s="3"/>
      <c r="AD499" s="3"/>
      <c r="AE499" s="3"/>
      <c r="AF499" s="3"/>
      <c r="AG499" s="3"/>
      <c r="AH499" s="3"/>
      <c r="AI499" s="3"/>
      <c r="AK499" s="3"/>
      <c r="AL499" s="3"/>
      <c r="AM499" s="3"/>
      <c r="AN499" s="3"/>
      <c r="AO499" s="3"/>
      <c r="AP499" s="3"/>
      <c r="AQ499" s="3"/>
      <c r="AR499" s="3"/>
    </row>
    <row r="500" spans="1:44" ht="16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S500" s="3"/>
      <c r="T500" s="3"/>
      <c r="U500" s="3"/>
      <c r="V500" s="3"/>
      <c r="W500" s="3"/>
      <c r="X500" s="3"/>
      <c r="Y500" s="3"/>
      <c r="Z500" s="3"/>
      <c r="AB500" s="3"/>
      <c r="AC500" s="3"/>
      <c r="AD500" s="3"/>
      <c r="AE500" s="3"/>
      <c r="AF500" s="3"/>
      <c r="AG500" s="3"/>
      <c r="AH500" s="3"/>
      <c r="AI500" s="3"/>
      <c r="AK500" s="3"/>
      <c r="AL500" s="3"/>
      <c r="AM500" s="3"/>
      <c r="AN500" s="3"/>
      <c r="AO500" s="3"/>
      <c r="AP500" s="3"/>
      <c r="AQ500" s="3"/>
      <c r="AR500" s="3"/>
    </row>
    <row r="501" spans="1:44" ht="16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S501" s="3"/>
      <c r="T501" s="3"/>
      <c r="U501" s="3"/>
      <c r="V501" s="3"/>
      <c r="W501" s="3"/>
      <c r="X501" s="3"/>
      <c r="Y501" s="3"/>
      <c r="Z501" s="3"/>
      <c r="AB501" s="3"/>
      <c r="AC501" s="3"/>
      <c r="AD501" s="3"/>
      <c r="AE501" s="3"/>
      <c r="AF501" s="3"/>
      <c r="AG501" s="3"/>
      <c r="AH501" s="3"/>
      <c r="AI501" s="3"/>
      <c r="AK501" s="3"/>
      <c r="AL501" s="3"/>
      <c r="AM501" s="3"/>
      <c r="AN501" s="3"/>
      <c r="AO501" s="3"/>
      <c r="AP501" s="3"/>
      <c r="AQ501" s="3"/>
      <c r="AR501" s="3"/>
    </row>
    <row r="502" spans="1:44" ht="16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S502" s="3"/>
      <c r="T502" s="3"/>
      <c r="U502" s="3"/>
      <c r="V502" s="3"/>
      <c r="W502" s="3"/>
      <c r="X502" s="3"/>
      <c r="Y502" s="3"/>
      <c r="Z502" s="3"/>
      <c r="AB502" s="3"/>
      <c r="AC502" s="3"/>
      <c r="AD502" s="3"/>
      <c r="AE502" s="3"/>
      <c r="AF502" s="3"/>
      <c r="AG502" s="3"/>
      <c r="AH502" s="3"/>
      <c r="AI502" s="3"/>
      <c r="AK502" s="3"/>
      <c r="AL502" s="3"/>
      <c r="AM502" s="3"/>
      <c r="AN502" s="3"/>
      <c r="AO502" s="3"/>
      <c r="AP502" s="3"/>
      <c r="AQ502" s="3"/>
      <c r="AR502" s="3"/>
    </row>
    <row r="503" spans="1:44" ht="16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S503" s="3"/>
      <c r="T503" s="3"/>
      <c r="U503" s="3"/>
      <c r="V503" s="3"/>
      <c r="W503" s="3"/>
      <c r="X503" s="3"/>
      <c r="Y503" s="3"/>
      <c r="Z503" s="3"/>
      <c r="AB503" s="3"/>
      <c r="AC503" s="3"/>
      <c r="AD503" s="3"/>
      <c r="AE503" s="3"/>
      <c r="AF503" s="3"/>
      <c r="AG503" s="3"/>
      <c r="AH503" s="3"/>
      <c r="AI503" s="3"/>
      <c r="AK503" s="3"/>
      <c r="AL503" s="3"/>
      <c r="AM503" s="3"/>
      <c r="AN503" s="3"/>
      <c r="AO503" s="3"/>
      <c r="AP503" s="3"/>
      <c r="AQ503" s="3"/>
      <c r="AR503" s="3"/>
    </row>
    <row r="504" spans="1:44" ht="16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S504" s="3"/>
      <c r="T504" s="3"/>
      <c r="U504" s="3"/>
      <c r="V504" s="3"/>
      <c r="W504" s="3"/>
      <c r="X504" s="3"/>
      <c r="Y504" s="3"/>
      <c r="Z504" s="3"/>
      <c r="AB504" s="3"/>
      <c r="AC504" s="3"/>
      <c r="AD504" s="3"/>
      <c r="AE504" s="3"/>
      <c r="AF504" s="3"/>
      <c r="AG504" s="3"/>
      <c r="AH504" s="3"/>
      <c r="AI504" s="3"/>
      <c r="AK504" s="3"/>
      <c r="AL504" s="3"/>
      <c r="AM504" s="3"/>
      <c r="AN504" s="3"/>
      <c r="AO504" s="3"/>
      <c r="AP504" s="3"/>
      <c r="AQ504" s="3"/>
      <c r="AR504" s="3"/>
    </row>
    <row r="505" spans="1:44" ht="16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S505" s="3"/>
      <c r="T505" s="3"/>
      <c r="U505" s="3"/>
      <c r="V505" s="3"/>
      <c r="W505" s="3"/>
      <c r="X505" s="3"/>
      <c r="Y505" s="3"/>
      <c r="Z505" s="3"/>
      <c r="AB505" s="3"/>
      <c r="AC505" s="3"/>
      <c r="AD505" s="3"/>
      <c r="AE505" s="3"/>
      <c r="AF505" s="3"/>
      <c r="AG505" s="3"/>
      <c r="AH505" s="3"/>
      <c r="AI505" s="3"/>
      <c r="AK505" s="3"/>
      <c r="AL505" s="3"/>
      <c r="AM505" s="3"/>
      <c r="AN505" s="3"/>
      <c r="AO505" s="3"/>
      <c r="AP505" s="3"/>
      <c r="AQ505" s="3"/>
      <c r="AR505" s="3"/>
    </row>
    <row r="506" spans="1:44" ht="16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S506" s="3"/>
      <c r="T506" s="3"/>
      <c r="U506" s="3"/>
      <c r="V506" s="3"/>
      <c r="W506" s="3"/>
      <c r="X506" s="3"/>
      <c r="Y506" s="3"/>
      <c r="Z506" s="3"/>
      <c r="AB506" s="3"/>
      <c r="AC506" s="3"/>
      <c r="AD506" s="3"/>
      <c r="AE506" s="3"/>
      <c r="AF506" s="3"/>
      <c r="AG506" s="3"/>
      <c r="AH506" s="3"/>
      <c r="AI506" s="3"/>
      <c r="AK506" s="3"/>
      <c r="AL506" s="3"/>
      <c r="AM506" s="3"/>
      <c r="AN506" s="3"/>
      <c r="AO506" s="3"/>
      <c r="AP506" s="3"/>
      <c r="AQ506" s="3"/>
      <c r="AR506" s="3"/>
    </row>
    <row r="507" spans="1:44" ht="16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S507" s="3"/>
      <c r="T507" s="3"/>
      <c r="U507" s="3"/>
      <c r="V507" s="3"/>
      <c r="W507" s="3"/>
      <c r="X507" s="3"/>
      <c r="Y507" s="3"/>
      <c r="Z507" s="3"/>
      <c r="AB507" s="3"/>
      <c r="AC507" s="3"/>
      <c r="AD507" s="3"/>
      <c r="AE507" s="3"/>
      <c r="AF507" s="3"/>
      <c r="AG507" s="3"/>
      <c r="AH507" s="3"/>
      <c r="AI507" s="3"/>
      <c r="AK507" s="3"/>
      <c r="AL507" s="3"/>
      <c r="AM507" s="3"/>
      <c r="AN507" s="3"/>
      <c r="AO507" s="3"/>
      <c r="AP507" s="3"/>
      <c r="AQ507" s="3"/>
      <c r="AR507" s="3"/>
    </row>
    <row r="508" spans="1:44" ht="16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S508" s="3"/>
      <c r="T508" s="3"/>
      <c r="U508" s="3"/>
      <c r="V508" s="3"/>
      <c r="W508" s="3"/>
      <c r="X508" s="3"/>
      <c r="Y508" s="3"/>
      <c r="Z508" s="3"/>
      <c r="AB508" s="3"/>
      <c r="AC508" s="3"/>
      <c r="AD508" s="3"/>
      <c r="AE508" s="3"/>
      <c r="AF508" s="3"/>
      <c r="AG508" s="3"/>
      <c r="AH508" s="3"/>
      <c r="AI508" s="3"/>
      <c r="AK508" s="3"/>
      <c r="AL508" s="3"/>
      <c r="AM508" s="3"/>
      <c r="AN508" s="3"/>
      <c r="AO508" s="3"/>
      <c r="AP508" s="3"/>
      <c r="AQ508" s="3"/>
      <c r="AR508" s="3"/>
    </row>
    <row r="509" spans="1:44" ht="16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S509" s="3"/>
      <c r="T509" s="3"/>
      <c r="U509" s="3"/>
      <c r="V509" s="3"/>
      <c r="W509" s="3"/>
      <c r="X509" s="3"/>
      <c r="Y509" s="3"/>
      <c r="Z509" s="3"/>
      <c r="AB509" s="3"/>
      <c r="AC509" s="3"/>
      <c r="AD509" s="3"/>
      <c r="AE509" s="3"/>
      <c r="AF509" s="3"/>
      <c r="AG509" s="3"/>
      <c r="AH509" s="3"/>
      <c r="AI509" s="3"/>
      <c r="AK509" s="3"/>
      <c r="AL509" s="3"/>
      <c r="AM509" s="3"/>
      <c r="AN509" s="3"/>
      <c r="AO509" s="3"/>
      <c r="AP509" s="3"/>
      <c r="AQ509" s="3"/>
      <c r="AR509" s="3"/>
    </row>
    <row r="510" spans="1:44" ht="16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S510" s="3"/>
      <c r="T510" s="3"/>
      <c r="U510" s="3"/>
      <c r="V510" s="3"/>
      <c r="W510" s="3"/>
      <c r="X510" s="3"/>
      <c r="Y510" s="3"/>
      <c r="Z510" s="3"/>
      <c r="AB510" s="3"/>
      <c r="AC510" s="3"/>
      <c r="AD510" s="3"/>
      <c r="AE510" s="3"/>
      <c r="AF510" s="3"/>
      <c r="AG510" s="3"/>
      <c r="AH510" s="3"/>
      <c r="AI510" s="3"/>
      <c r="AK510" s="3"/>
      <c r="AL510" s="3"/>
      <c r="AM510" s="3"/>
      <c r="AN510" s="3"/>
      <c r="AO510" s="3"/>
      <c r="AP510" s="3"/>
      <c r="AQ510" s="3"/>
      <c r="AR510" s="3"/>
    </row>
    <row r="511" spans="1:44" ht="16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S511" s="3"/>
      <c r="T511" s="3"/>
      <c r="U511" s="3"/>
      <c r="V511" s="3"/>
      <c r="W511" s="3"/>
      <c r="X511" s="3"/>
      <c r="Y511" s="3"/>
      <c r="Z511" s="3"/>
      <c r="AB511" s="3"/>
      <c r="AC511" s="3"/>
      <c r="AD511" s="3"/>
      <c r="AE511" s="3"/>
      <c r="AF511" s="3"/>
      <c r="AG511" s="3"/>
      <c r="AH511" s="3"/>
      <c r="AI511" s="3"/>
      <c r="AK511" s="3"/>
      <c r="AL511" s="3"/>
      <c r="AM511" s="3"/>
      <c r="AN511" s="3"/>
      <c r="AO511" s="3"/>
      <c r="AP511" s="3"/>
      <c r="AQ511" s="3"/>
      <c r="AR511" s="3"/>
    </row>
    <row r="512" spans="1:44" ht="16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S512" s="3"/>
      <c r="T512" s="3"/>
      <c r="U512" s="3"/>
      <c r="V512" s="3"/>
      <c r="W512" s="3"/>
      <c r="X512" s="3"/>
      <c r="Y512" s="3"/>
      <c r="Z512" s="3"/>
      <c r="AB512" s="3"/>
      <c r="AC512" s="3"/>
      <c r="AD512" s="3"/>
      <c r="AE512" s="3"/>
      <c r="AF512" s="3"/>
      <c r="AG512" s="3"/>
      <c r="AH512" s="3"/>
      <c r="AI512" s="3"/>
      <c r="AK512" s="3"/>
      <c r="AL512" s="3"/>
      <c r="AM512" s="3"/>
      <c r="AN512" s="3"/>
      <c r="AO512" s="3"/>
      <c r="AP512" s="3"/>
      <c r="AQ512" s="3"/>
      <c r="AR512" s="3"/>
    </row>
    <row r="513" spans="1:44" ht="16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S513" s="3"/>
      <c r="T513" s="3"/>
      <c r="U513" s="3"/>
      <c r="V513" s="3"/>
      <c r="W513" s="3"/>
      <c r="X513" s="3"/>
      <c r="Y513" s="3"/>
      <c r="Z513" s="3"/>
      <c r="AB513" s="3"/>
      <c r="AC513" s="3"/>
      <c r="AD513" s="3"/>
      <c r="AE513" s="3"/>
      <c r="AF513" s="3"/>
      <c r="AG513" s="3"/>
      <c r="AH513" s="3"/>
      <c r="AI513" s="3"/>
      <c r="AK513" s="3"/>
      <c r="AL513" s="3"/>
      <c r="AM513" s="3"/>
      <c r="AN513" s="3"/>
      <c r="AO513" s="3"/>
      <c r="AP513" s="3"/>
      <c r="AQ513" s="3"/>
      <c r="AR513" s="3"/>
    </row>
    <row r="514" spans="1:44" ht="16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S514" s="3"/>
      <c r="T514" s="3"/>
      <c r="U514" s="3"/>
      <c r="V514" s="3"/>
      <c r="W514" s="3"/>
      <c r="X514" s="3"/>
      <c r="Y514" s="3"/>
      <c r="Z514" s="3"/>
      <c r="AB514" s="3"/>
      <c r="AC514" s="3"/>
      <c r="AD514" s="3"/>
      <c r="AE514" s="3"/>
      <c r="AF514" s="3"/>
      <c r="AG514" s="3"/>
      <c r="AH514" s="3"/>
      <c r="AI514" s="3"/>
      <c r="AK514" s="3"/>
      <c r="AL514" s="3"/>
      <c r="AM514" s="3"/>
      <c r="AN514" s="3"/>
      <c r="AO514" s="3"/>
      <c r="AP514" s="3"/>
      <c r="AQ514" s="3"/>
      <c r="AR514" s="3"/>
    </row>
    <row r="515" spans="1:44" ht="16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S515" s="3"/>
      <c r="T515" s="3"/>
      <c r="U515" s="3"/>
      <c r="V515" s="3"/>
      <c r="W515" s="3"/>
      <c r="X515" s="3"/>
      <c r="Y515" s="3"/>
      <c r="Z515" s="3"/>
      <c r="AB515" s="3"/>
      <c r="AC515" s="3"/>
      <c r="AD515" s="3"/>
      <c r="AE515" s="3"/>
      <c r="AF515" s="3"/>
      <c r="AG515" s="3"/>
      <c r="AH515" s="3"/>
      <c r="AI515" s="3"/>
      <c r="AK515" s="3"/>
      <c r="AL515" s="3"/>
      <c r="AM515" s="3"/>
      <c r="AN515" s="3"/>
      <c r="AO515" s="3"/>
      <c r="AP515" s="3"/>
      <c r="AQ515" s="3"/>
      <c r="AR515" s="3"/>
    </row>
    <row r="516" spans="1:44" ht="16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S516" s="3"/>
      <c r="T516" s="3"/>
      <c r="U516" s="3"/>
      <c r="V516" s="3"/>
      <c r="W516" s="3"/>
      <c r="X516" s="3"/>
      <c r="Y516" s="3"/>
      <c r="Z516" s="3"/>
      <c r="AB516" s="3"/>
      <c r="AC516" s="3"/>
      <c r="AD516" s="3"/>
      <c r="AE516" s="3"/>
      <c r="AF516" s="3"/>
      <c r="AG516" s="3"/>
      <c r="AH516" s="3"/>
      <c r="AI516" s="3"/>
      <c r="AK516" s="3"/>
      <c r="AL516" s="3"/>
      <c r="AM516" s="3"/>
      <c r="AN516" s="3"/>
      <c r="AO516" s="3"/>
      <c r="AP516" s="3"/>
      <c r="AQ516" s="3"/>
      <c r="AR516" s="3"/>
    </row>
    <row r="517" spans="1:44" ht="16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S517" s="3"/>
      <c r="T517" s="3"/>
      <c r="U517" s="3"/>
      <c r="V517" s="3"/>
      <c r="W517" s="3"/>
      <c r="X517" s="3"/>
      <c r="Y517" s="3"/>
      <c r="Z517" s="3"/>
      <c r="AB517" s="3"/>
      <c r="AC517" s="3"/>
      <c r="AD517" s="3"/>
      <c r="AE517" s="3"/>
      <c r="AF517" s="3"/>
      <c r="AG517" s="3"/>
      <c r="AH517" s="3"/>
      <c r="AI517" s="3"/>
      <c r="AK517" s="3"/>
      <c r="AL517" s="3"/>
      <c r="AM517" s="3"/>
      <c r="AN517" s="3"/>
      <c r="AO517" s="3"/>
      <c r="AP517" s="3"/>
      <c r="AQ517" s="3"/>
      <c r="AR517" s="3"/>
    </row>
    <row r="518" spans="1:44" ht="16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S518" s="3"/>
      <c r="T518" s="3"/>
      <c r="U518" s="3"/>
      <c r="V518" s="3"/>
      <c r="W518" s="3"/>
      <c r="X518" s="3"/>
      <c r="Y518" s="3"/>
      <c r="Z518" s="3"/>
      <c r="AB518" s="3"/>
      <c r="AC518" s="3"/>
      <c r="AD518" s="3"/>
      <c r="AE518" s="3"/>
      <c r="AF518" s="3"/>
      <c r="AG518" s="3"/>
      <c r="AH518" s="3"/>
      <c r="AI518" s="3"/>
      <c r="AK518" s="3"/>
      <c r="AL518" s="3"/>
      <c r="AM518" s="3"/>
      <c r="AN518" s="3"/>
      <c r="AO518" s="3"/>
      <c r="AP518" s="3"/>
      <c r="AQ518" s="3"/>
      <c r="AR518" s="3"/>
    </row>
    <row r="519" spans="1:44" ht="16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S519" s="3"/>
      <c r="T519" s="3"/>
      <c r="U519" s="3"/>
      <c r="V519" s="3"/>
      <c r="W519" s="3"/>
      <c r="X519" s="3"/>
      <c r="Y519" s="3"/>
      <c r="Z519" s="3"/>
      <c r="AB519" s="3"/>
      <c r="AC519" s="3"/>
      <c r="AD519" s="3"/>
      <c r="AE519" s="3"/>
      <c r="AF519" s="3"/>
      <c r="AG519" s="3"/>
      <c r="AH519" s="3"/>
      <c r="AI519" s="3"/>
      <c r="AK519" s="3"/>
      <c r="AL519" s="3"/>
      <c r="AM519" s="3"/>
      <c r="AN519" s="3"/>
      <c r="AO519" s="3"/>
      <c r="AP519" s="3"/>
      <c r="AQ519" s="3"/>
      <c r="AR519" s="3"/>
    </row>
    <row r="520" spans="1:44" ht="16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S520" s="3"/>
      <c r="T520" s="3"/>
      <c r="U520" s="3"/>
      <c r="V520" s="3"/>
      <c r="W520" s="3"/>
      <c r="X520" s="3"/>
      <c r="Y520" s="3"/>
      <c r="Z520" s="3"/>
      <c r="AB520" s="3"/>
      <c r="AC520" s="3"/>
      <c r="AD520" s="3"/>
      <c r="AE520" s="3"/>
      <c r="AF520" s="3"/>
      <c r="AG520" s="3"/>
      <c r="AH520" s="3"/>
      <c r="AI520" s="3"/>
      <c r="AK520" s="3"/>
      <c r="AL520" s="3"/>
      <c r="AM520" s="3"/>
      <c r="AN520" s="3"/>
      <c r="AO520" s="3"/>
      <c r="AP520" s="3"/>
      <c r="AQ520" s="3"/>
      <c r="AR520" s="3"/>
    </row>
    <row r="521" spans="1:44" ht="16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S521" s="3"/>
      <c r="T521" s="3"/>
      <c r="U521" s="3"/>
      <c r="V521" s="3"/>
      <c r="W521" s="3"/>
      <c r="X521" s="3"/>
      <c r="Y521" s="3"/>
      <c r="Z521" s="3"/>
      <c r="AB521" s="3"/>
      <c r="AC521" s="3"/>
      <c r="AD521" s="3"/>
      <c r="AE521" s="3"/>
      <c r="AF521" s="3"/>
      <c r="AG521" s="3"/>
      <c r="AH521" s="3"/>
      <c r="AI521" s="3"/>
      <c r="AK521" s="3"/>
      <c r="AL521" s="3"/>
      <c r="AM521" s="3"/>
      <c r="AN521" s="3"/>
      <c r="AO521" s="3"/>
      <c r="AP521" s="3"/>
      <c r="AQ521" s="3"/>
      <c r="AR521" s="3"/>
    </row>
    <row r="522" spans="1:44" ht="16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S522" s="3"/>
      <c r="T522" s="3"/>
      <c r="U522" s="3"/>
      <c r="V522" s="3"/>
      <c r="W522" s="3"/>
      <c r="X522" s="3"/>
      <c r="Y522" s="3"/>
      <c r="Z522" s="3"/>
      <c r="AB522" s="3"/>
      <c r="AC522" s="3"/>
      <c r="AD522" s="3"/>
      <c r="AE522" s="3"/>
      <c r="AF522" s="3"/>
      <c r="AG522" s="3"/>
      <c r="AH522" s="3"/>
      <c r="AI522" s="3"/>
      <c r="AK522" s="3"/>
      <c r="AL522" s="3"/>
      <c r="AM522" s="3"/>
      <c r="AN522" s="3"/>
      <c r="AO522" s="3"/>
      <c r="AP522" s="3"/>
      <c r="AQ522" s="3"/>
      <c r="AR522" s="3"/>
    </row>
    <row r="523" spans="1:44" ht="16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S523" s="3"/>
      <c r="T523" s="3"/>
      <c r="U523" s="3"/>
      <c r="V523" s="3"/>
      <c r="W523" s="3"/>
      <c r="X523" s="3"/>
      <c r="Y523" s="3"/>
      <c r="Z523" s="3"/>
      <c r="AB523" s="3"/>
      <c r="AC523" s="3"/>
      <c r="AD523" s="3"/>
      <c r="AE523" s="3"/>
      <c r="AF523" s="3"/>
      <c r="AG523" s="3"/>
      <c r="AH523" s="3"/>
      <c r="AI523" s="3"/>
      <c r="AK523" s="3"/>
      <c r="AL523" s="3"/>
      <c r="AM523" s="3"/>
      <c r="AN523" s="3"/>
      <c r="AO523" s="3"/>
      <c r="AP523" s="3"/>
      <c r="AQ523" s="3"/>
      <c r="AR523" s="3"/>
    </row>
    <row r="524" spans="1:44" ht="16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S524" s="3"/>
      <c r="T524" s="3"/>
      <c r="U524" s="3"/>
      <c r="V524" s="3"/>
      <c r="W524" s="3"/>
      <c r="X524" s="3"/>
      <c r="Y524" s="3"/>
      <c r="Z524" s="3"/>
      <c r="AB524" s="3"/>
      <c r="AC524" s="3"/>
      <c r="AD524" s="3"/>
      <c r="AE524" s="3"/>
      <c r="AF524" s="3"/>
      <c r="AG524" s="3"/>
      <c r="AH524" s="3"/>
      <c r="AI524" s="3"/>
      <c r="AK524" s="3"/>
      <c r="AL524" s="3"/>
      <c r="AM524" s="3"/>
      <c r="AN524" s="3"/>
      <c r="AO524" s="3"/>
      <c r="AP524" s="3"/>
      <c r="AQ524" s="3"/>
      <c r="AR524" s="3"/>
    </row>
    <row r="525" spans="1:44" ht="16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S525" s="3"/>
      <c r="T525" s="3"/>
      <c r="U525" s="3"/>
      <c r="V525" s="3"/>
      <c r="W525" s="3"/>
      <c r="X525" s="3"/>
      <c r="Y525" s="3"/>
      <c r="Z525" s="3"/>
      <c r="AB525" s="3"/>
      <c r="AC525" s="3"/>
      <c r="AD525" s="3"/>
      <c r="AE525" s="3"/>
      <c r="AF525" s="3"/>
      <c r="AG525" s="3"/>
      <c r="AH525" s="3"/>
      <c r="AI525" s="3"/>
      <c r="AK525" s="3"/>
      <c r="AL525" s="3"/>
      <c r="AM525" s="3"/>
      <c r="AN525" s="3"/>
      <c r="AO525" s="3"/>
      <c r="AP525" s="3"/>
      <c r="AQ525" s="3"/>
      <c r="AR525" s="3"/>
    </row>
    <row r="526" spans="1:44" ht="16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S526" s="3"/>
      <c r="T526" s="3"/>
      <c r="U526" s="3"/>
      <c r="V526" s="3"/>
      <c r="W526" s="3"/>
      <c r="X526" s="3"/>
      <c r="Y526" s="3"/>
      <c r="Z526" s="3"/>
      <c r="AB526" s="3"/>
      <c r="AC526" s="3"/>
      <c r="AD526" s="3"/>
      <c r="AE526" s="3"/>
      <c r="AF526" s="3"/>
      <c r="AG526" s="3"/>
      <c r="AH526" s="3"/>
      <c r="AI526" s="3"/>
      <c r="AK526" s="3"/>
      <c r="AL526" s="3"/>
      <c r="AM526" s="3"/>
      <c r="AN526" s="3"/>
      <c r="AO526" s="3"/>
      <c r="AP526" s="3"/>
      <c r="AQ526" s="3"/>
      <c r="AR526" s="3"/>
    </row>
    <row r="527" spans="1:44" ht="16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S527" s="3"/>
      <c r="T527" s="3"/>
      <c r="U527" s="3"/>
      <c r="V527" s="3"/>
      <c r="W527" s="3"/>
      <c r="X527" s="3"/>
      <c r="Y527" s="3"/>
      <c r="Z527" s="3"/>
      <c r="AB527" s="3"/>
      <c r="AC527" s="3"/>
      <c r="AD527" s="3"/>
      <c r="AE527" s="3"/>
      <c r="AF527" s="3"/>
      <c r="AG527" s="3"/>
      <c r="AH527" s="3"/>
      <c r="AI527" s="3"/>
      <c r="AK527" s="3"/>
      <c r="AL527" s="3"/>
      <c r="AM527" s="3"/>
      <c r="AN527" s="3"/>
      <c r="AO527" s="3"/>
      <c r="AP527" s="3"/>
      <c r="AQ527" s="3"/>
      <c r="AR527" s="3"/>
    </row>
    <row r="528" spans="1:44" ht="16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S528" s="3"/>
      <c r="T528" s="3"/>
      <c r="U528" s="3"/>
      <c r="V528" s="3"/>
      <c r="W528" s="3"/>
      <c r="X528" s="3"/>
      <c r="Y528" s="3"/>
      <c r="Z528" s="3"/>
      <c r="AB528" s="3"/>
      <c r="AC528" s="3"/>
      <c r="AD528" s="3"/>
      <c r="AE528" s="3"/>
      <c r="AF528" s="3"/>
      <c r="AG528" s="3"/>
      <c r="AH528" s="3"/>
      <c r="AI528" s="3"/>
      <c r="AK528" s="3"/>
      <c r="AL528" s="3"/>
      <c r="AM528" s="3"/>
      <c r="AN528" s="3"/>
      <c r="AO528" s="3"/>
      <c r="AP528" s="3"/>
      <c r="AQ528" s="3"/>
      <c r="AR528" s="3"/>
    </row>
    <row r="529" spans="1:44" ht="16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S529" s="3"/>
      <c r="T529" s="3"/>
      <c r="U529" s="3"/>
      <c r="V529" s="3"/>
      <c r="W529" s="3"/>
      <c r="X529" s="3"/>
      <c r="Y529" s="3"/>
      <c r="Z529" s="3"/>
      <c r="AB529" s="3"/>
      <c r="AC529" s="3"/>
      <c r="AD529" s="3"/>
      <c r="AE529" s="3"/>
      <c r="AF529" s="3"/>
      <c r="AG529" s="3"/>
      <c r="AH529" s="3"/>
      <c r="AI529" s="3"/>
      <c r="AK529" s="3"/>
      <c r="AL529" s="3"/>
      <c r="AM529" s="3"/>
      <c r="AN529" s="3"/>
      <c r="AO529" s="3"/>
      <c r="AP529" s="3"/>
      <c r="AQ529" s="3"/>
      <c r="AR529" s="3"/>
    </row>
    <row r="530" spans="1:44" ht="16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S530" s="3"/>
      <c r="T530" s="3"/>
      <c r="U530" s="3"/>
      <c r="V530" s="3"/>
      <c r="W530" s="3"/>
      <c r="X530" s="3"/>
      <c r="Y530" s="3"/>
      <c r="Z530" s="3"/>
      <c r="AB530" s="3"/>
      <c r="AC530" s="3"/>
      <c r="AD530" s="3"/>
      <c r="AE530" s="3"/>
      <c r="AF530" s="3"/>
      <c r="AG530" s="3"/>
      <c r="AH530" s="3"/>
      <c r="AI530" s="3"/>
      <c r="AK530" s="3"/>
      <c r="AL530" s="3"/>
      <c r="AM530" s="3"/>
      <c r="AN530" s="3"/>
      <c r="AO530" s="3"/>
      <c r="AP530" s="3"/>
      <c r="AQ530" s="3"/>
      <c r="AR530" s="3"/>
    </row>
    <row r="531" spans="1:44" ht="16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S531" s="3"/>
      <c r="T531" s="3"/>
      <c r="U531" s="3"/>
      <c r="V531" s="3"/>
      <c r="W531" s="3"/>
      <c r="X531" s="3"/>
      <c r="Y531" s="3"/>
      <c r="Z531" s="3"/>
      <c r="AB531" s="3"/>
      <c r="AC531" s="3"/>
      <c r="AD531" s="3"/>
      <c r="AE531" s="3"/>
      <c r="AF531" s="3"/>
      <c r="AG531" s="3"/>
      <c r="AH531" s="3"/>
      <c r="AI531" s="3"/>
      <c r="AK531" s="3"/>
      <c r="AL531" s="3"/>
      <c r="AM531" s="3"/>
      <c r="AN531" s="3"/>
      <c r="AO531" s="3"/>
      <c r="AP531" s="3"/>
      <c r="AQ531" s="3"/>
      <c r="AR531" s="3"/>
    </row>
    <row r="532" spans="1:44" ht="16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S532" s="3"/>
      <c r="T532" s="3"/>
      <c r="U532" s="3"/>
      <c r="V532" s="3"/>
      <c r="W532" s="3"/>
      <c r="X532" s="3"/>
      <c r="Y532" s="3"/>
      <c r="Z532" s="3"/>
      <c r="AB532" s="3"/>
      <c r="AC532" s="3"/>
      <c r="AD532" s="3"/>
      <c r="AE532" s="3"/>
      <c r="AF532" s="3"/>
      <c r="AG532" s="3"/>
      <c r="AH532" s="3"/>
      <c r="AI532" s="3"/>
      <c r="AK532" s="3"/>
      <c r="AL532" s="3"/>
      <c r="AM532" s="3"/>
      <c r="AN532" s="3"/>
      <c r="AO532" s="3"/>
      <c r="AP532" s="3"/>
      <c r="AQ532" s="3"/>
      <c r="AR532" s="3"/>
    </row>
    <row r="533" spans="1:44" ht="16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S533" s="3"/>
      <c r="T533" s="3"/>
      <c r="U533" s="3"/>
      <c r="V533" s="3"/>
      <c r="W533" s="3"/>
      <c r="X533" s="3"/>
      <c r="Y533" s="3"/>
      <c r="Z533" s="3"/>
      <c r="AB533" s="3"/>
      <c r="AC533" s="3"/>
      <c r="AD533" s="3"/>
      <c r="AE533" s="3"/>
      <c r="AF533" s="3"/>
      <c r="AG533" s="3"/>
      <c r="AH533" s="3"/>
      <c r="AI533" s="3"/>
      <c r="AK533" s="3"/>
      <c r="AL533" s="3"/>
      <c r="AM533" s="3"/>
      <c r="AN533" s="3"/>
      <c r="AO533" s="3"/>
      <c r="AP533" s="3"/>
      <c r="AQ533" s="3"/>
      <c r="AR533" s="3"/>
    </row>
    <row r="534" spans="1:44" ht="16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S534" s="3"/>
      <c r="T534" s="3"/>
      <c r="U534" s="3"/>
      <c r="V534" s="3"/>
      <c r="W534" s="3"/>
      <c r="X534" s="3"/>
      <c r="Y534" s="3"/>
      <c r="Z534" s="3"/>
      <c r="AB534" s="3"/>
      <c r="AC534" s="3"/>
      <c r="AD534" s="3"/>
      <c r="AE534" s="3"/>
      <c r="AF534" s="3"/>
      <c r="AG534" s="3"/>
      <c r="AH534" s="3"/>
      <c r="AI534" s="3"/>
      <c r="AK534" s="3"/>
      <c r="AL534" s="3"/>
      <c r="AM534" s="3"/>
      <c r="AN534" s="3"/>
      <c r="AO534" s="3"/>
      <c r="AP534" s="3"/>
      <c r="AQ534" s="3"/>
      <c r="AR534" s="3"/>
    </row>
    <row r="535" spans="1:44" ht="16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S535" s="3"/>
      <c r="T535" s="3"/>
      <c r="U535" s="3"/>
      <c r="V535" s="3"/>
      <c r="W535" s="3"/>
      <c r="X535" s="3"/>
      <c r="Y535" s="3"/>
      <c r="Z535" s="3"/>
      <c r="AB535" s="3"/>
      <c r="AC535" s="3"/>
      <c r="AD535" s="3"/>
      <c r="AE535" s="3"/>
      <c r="AF535" s="3"/>
      <c r="AG535" s="3"/>
      <c r="AH535" s="3"/>
      <c r="AI535" s="3"/>
      <c r="AK535" s="3"/>
      <c r="AL535" s="3"/>
      <c r="AM535" s="3"/>
      <c r="AN535" s="3"/>
      <c r="AO535" s="3"/>
      <c r="AP535" s="3"/>
      <c r="AQ535" s="3"/>
      <c r="AR535" s="3"/>
    </row>
    <row r="536" spans="1:44" ht="16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S536" s="3"/>
      <c r="T536" s="3"/>
      <c r="U536" s="3"/>
      <c r="V536" s="3"/>
      <c r="W536" s="3"/>
      <c r="X536" s="3"/>
      <c r="Y536" s="3"/>
      <c r="Z536" s="3"/>
      <c r="AB536" s="3"/>
      <c r="AC536" s="3"/>
      <c r="AD536" s="3"/>
      <c r="AE536" s="3"/>
      <c r="AF536" s="3"/>
      <c r="AG536" s="3"/>
      <c r="AH536" s="3"/>
      <c r="AI536" s="3"/>
      <c r="AK536" s="3"/>
      <c r="AL536" s="3"/>
      <c r="AM536" s="3"/>
      <c r="AN536" s="3"/>
      <c r="AO536" s="3"/>
      <c r="AP536" s="3"/>
      <c r="AQ536" s="3"/>
      <c r="AR536" s="3"/>
    </row>
    <row r="537" spans="1:44" ht="16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S537" s="3"/>
      <c r="T537" s="3"/>
      <c r="U537" s="3"/>
      <c r="V537" s="3"/>
      <c r="W537" s="3"/>
      <c r="X537" s="3"/>
      <c r="Y537" s="3"/>
      <c r="Z537" s="3"/>
      <c r="AB537" s="3"/>
      <c r="AC537" s="3"/>
      <c r="AD537" s="3"/>
      <c r="AE537" s="3"/>
      <c r="AF537" s="3"/>
      <c r="AG537" s="3"/>
      <c r="AH537" s="3"/>
      <c r="AI537" s="3"/>
      <c r="AK537" s="3"/>
      <c r="AL537" s="3"/>
      <c r="AM537" s="3"/>
      <c r="AN537" s="3"/>
      <c r="AO537" s="3"/>
      <c r="AP537" s="3"/>
      <c r="AQ537" s="3"/>
      <c r="AR537" s="3"/>
    </row>
    <row r="538" spans="1:44" ht="16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S538" s="3"/>
      <c r="T538" s="3"/>
      <c r="U538" s="3"/>
      <c r="V538" s="3"/>
      <c r="W538" s="3"/>
      <c r="X538" s="3"/>
      <c r="Y538" s="3"/>
      <c r="Z538" s="3"/>
      <c r="AB538" s="3"/>
      <c r="AC538" s="3"/>
      <c r="AD538" s="3"/>
      <c r="AE538" s="3"/>
      <c r="AF538" s="3"/>
      <c r="AG538" s="3"/>
      <c r="AH538" s="3"/>
      <c r="AI538" s="3"/>
      <c r="AK538" s="3"/>
      <c r="AL538" s="3"/>
      <c r="AM538" s="3"/>
      <c r="AN538" s="3"/>
      <c r="AO538" s="3"/>
      <c r="AP538" s="3"/>
      <c r="AQ538" s="3"/>
      <c r="AR538" s="3"/>
    </row>
    <row r="539" spans="1:44" ht="16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S539" s="3"/>
      <c r="T539" s="3"/>
      <c r="U539" s="3"/>
      <c r="V539" s="3"/>
      <c r="W539" s="3"/>
      <c r="X539" s="3"/>
      <c r="Y539" s="3"/>
      <c r="Z539" s="3"/>
      <c r="AB539" s="3"/>
      <c r="AC539" s="3"/>
      <c r="AD539" s="3"/>
      <c r="AE539" s="3"/>
      <c r="AF539" s="3"/>
      <c r="AG539" s="3"/>
      <c r="AH539" s="3"/>
      <c r="AI539" s="3"/>
      <c r="AK539" s="3"/>
      <c r="AL539" s="3"/>
      <c r="AM539" s="3"/>
      <c r="AN539" s="3"/>
      <c r="AO539" s="3"/>
      <c r="AP539" s="3"/>
      <c r="AQ539" s="3"/>
      <c r="AR539" s="3"/>
    </row>
    <row r="540" spans="1:44" ht="16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S540" s="3"/>
      <c r="T540" s="3"/>
      <c r="U540" s="3"/>
      <c r="V540" s="3"/>
      <c r="W540" s="3"/>
      <c r="X540" s="3"/>
      <c r="Y540" s="3"/>
      <c r="Z540" s="3"/>
      <c r="AB540" s="3"/>
      <c r="AC540" s="3"/>
      <c r="AD540" s="3"/>
      <c r="AE540" s="3"/>
      <c r="AF540" s="3"/>
      <c r="AG540" s="3"/>
      <c r="AH540" s="3"/>
      <c r="AI540" s="3"/>
      <c r="AK540" s="3"/>
      <c r="AL540" s="3"/>
      <c r="AM540" s="3"/>
      <c r="AN540" s="3"/>
      <c r="AO540" s="3"/>
      <c r="AP540" s="3"/>
      <c r="AQ540" s="3"/>
      <c r="AR540" s="3"/>
    </row>
    <row r="541" spans="1:44" ht="16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S541" s="3"/>
      <c r="T541" s="3"/>
      <c r="U541" s="3"/>
      <c r="V541" s="3"/>
      <c r="W541" s="3"/>
      <c r="X541" s="3"/>
      <c r="Y541" s="3"/>
      <c r="Z541" s="3"/>
      <c r="AB541" s="3"/>
      <c r="AC541" s="3"/>
      <c r="AD541" s="3"/>
      <c r="AE541" s="3"/>
      <c r="AF541" s="3"/>
      <c r="AG541" s="3"/>
      <c r="AH541" s="3"/>
      <c r="AI541" s="3"/>
      <c r="AK541" s="3"/>
      <c r="AL541" s="3"/>
      <c r="AM541" s="3"/>
      <c r="AN541" s="3"/>
      <c r="AO541" s="3"/>
      <c r="AP541" s="3"/>
      <c r="AQ541" s="3"/>
      <c r="AR541" s="3"/>
    </row>
    <row r="542" spans="1:44" ht="16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S542" s="3"/>
      <c r="T542" s="3"/>
      <c r="U542" s="3"/>
      <c r="V542" s="3"/>
      <c r="W542" s="3"/>
      <c r="X542" s="3"/>
      <c r="Y542" s="3"/>
      <c r="Z542" s="3"/>
      <c r="AB542" s="3"/>
      <c r="AC542" s="3"/>
      <c r="AD542" s="3"/>
      <c r="AE542" s="3"/>
      <c r="AF542" s="3"/>
      <c r="AG542" s="3"/>
      <c r="AH542" s="3"/>
      <c r="AI542" s="3"/>
      <c r="AK542" s="3"/>
      <c r="AL542" s="3"/>
      <c r="AM542" s="3"/>
      <c r="AN542" s="3"/>
      <c r="AO542" s="3"/>
      <c r="AP542" s="3"/>
      <c r="AQ542" s="3"/>
      <c r="AR542" s="3"/>
    </row>
    <row r="543" spans="1:44" ht="16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S543" s="3"/>
      <c r="T543" s="3"/>
      <c r="U543" s="3"/>
      <c r="V543" s="3"/>
      <c r="W543" s="3"/>
      <c r="X543" s="3"/>
      <c r="Y543" s="3"/>
      <c r="Z543" s="3"/>
      <c r="AB543" s="3"/>
      <c r="AC543" s="3"/>
      <c r="AD543" s="3"/>
      <c r="AE543" s="3"/>
      <c r="AF543" s="3"/>
      <c r="AG543" s="3"/>
      <c r="AH543" s="3"/>
      <c r="AI543" s="3"/>
      <c r="AK543" s="3"/>
      <c r="AL543" s="3"/>
      <c r="AM543" s="3"/>
      <c r="AN543" s="3"/>
      <c r="AO543" s="3"/>
      <c r="AP543" s="3"/>
      <c r="AQ543" s="3"/>
      <c r="AR543" s="3"/>
    </row>
    <row r="544" spans="1:44" ht="16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S544" s="3"/>
      <c r="T544" s="3"/>
      <c r="U544" s="3"/>
      <c r="V544" s="3"/>
      <c r="W544" s="3"/>
      <c r="X544" s="3"/>
      <c r="Y544" s="3"/>
      <c r="Z544" s="3"/>
      <c r="AB544" s="3"/>
      <c r="AC544" s="3"/>
      <c r="AD544" s="3"/>
      <c r="AE544" s="3"/>
      <c r="AF544" s="3"/>
      <c r="AG544" s="3"/>
      <c r="AH544" s="3"/>
      <c r="AI544" s="3"/>
      <c r="AK544" s="3"/>
      <c r="AL544" s="3"/>
      <c r="AM544" s="3"/>
      <c r="AN544" s="3"/>
      <c r="AO544" s="3"/>
      <c r="AP544" s="3"/>
      <c r="AQ544" s="3"/>
      <c r="AR544" s="3"/>
    </row>
    <row r="545" spans="1:44" ht="16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S545" s="3"/>
      <c r="T545" s="3"/>
      <c r="U545" s="3"/>
      <c r="V545" s="3"/>
      <c r="W545" s="3"/>
      <c r="X545" s="3"/>
      <c r="Y545" s="3"/>
      <c r="Z545" s="3"/>
      <c r="AB545" s="3"/>
      <c r="AC545" s="3"/>
      <c r="AD545" s="3"/>
      <c r="AE545" s="3"/>
      <c r="AF545" s="3"/>
      <c r="AG545" s="3"/>
      <c r="AH545" s="3"/>
      <c r="AI545" s="3"/>
      <c r="AK545" s="3"/>
      <c r="AL545" s="3"/>
      <c r="AM545" s="3"/>
      <c r="AN545" s="3"/>
      <c r="AO545" s="3"/>
      <c r="AP545" s="3"/>
      <c r="AQ545" s="3"/>
      <c r="AR545" s="3"/>
    </row>
    <row r="546" spans="1:44" ht="16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S546" s="3"/>
      <c r="T546" s="3"/>
      <c r="U546" s="3"/>
      <c r="V546" s="3"/>
      <c r="W546" s="3"/>
      <c r="X546" s="3"/>
      <c r="Y546" s="3"/>
      <c r="Z546" s="3"/>
      <c r="AB546" s="3"/>
      <c r="AC546" s="3"/>
      <c r="AD546" s="3"/>
      <c r="AE546" s="3"/>
      <c r="AF546" s="3"/>
      <c r="AG546" s="3"/>
      <c r="AH546" s="3"/>
      <c r="AI546" s="3"/>
      <c r="AK546" s="3"/>
      <c r="AL546" s="3"/>
      <c r="AM546" s="3"/>
      <c r="AN546" s="3"/>
      <c r="AO546" s="3"/>
      <c r="AP546" s="3"/>
      <c r="AQ546" s="3"/>
      <c r="AR546" s="3"/>
    </row>
    <row r="547" spans="1:44" ht="16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S547" s="3"/>
      <c r="T547" s="3"/>
      <c r="U547" s="3"/>
      <c r="V547" s="3"/>
      <c r="W547" s="3"/>
      <c r="X547" s="3"/>
      <c r="Y547" s="3"/>
      <c r="Z547" s="3"/>
      <c r="AB547" s="3"/>
      <c r="AC547" s="3"/>
      <c r="AD547" s="3"/>
      <c r="AE547" s="3"/>
      <c r="AF547" s="3"/>
      <c r="AG547" s="3"/>
      <c r="AH547" s="3"/>
      <c r="AI547" s="3"/>
      <c r="AK547" s="3"/>
      <c r="AL547" s="3"/>
      <c r="AM547" s="3"/>
      <c r="AN547" s="3"/>
      <c r="AO547" s="3"/>
      <c r="AP547" s="3"/>
      <c r="AQ547" s="3"/>
      <c r="AR547" s="3"/>
    </row>
    <row r="548" spans="1:44" ht="16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S548" s="3"/>
      <c r="T548" s="3"/>
      <c r="U548" s="3"/>
      <c r="V548" s="3"/>
      <c r="W548" s="3"/>
      <c r="X548" s="3"/>
      <c r="Y548" s="3"/>
      <c r="Z548" s="3"/>
      <c r="AB548" s="3"/>
      <c r="AC548" s="3"/>
      <c r="AD548" s="3"/>
      <c r="AE548" s="3"/>
      <c r="AF548" s="3"/>
      <c r="AG548" s="3"/>
      <c r="AH548" s="3"/>
      <c r="AI548" s="3"/>
      <c r="AK548" s="3"/>
      <c r="AL548" s="3"/>
      <c r="AM548" s="3"/>
      <c r="AN548" s="3"/>
      <c r="AO548" s="3"/>
      <c r="AP548" s="3"/>
      <c r="AQ548" s="3"/>
      <c r="AR548" s="3"/>
    </row>
    <row r="549" spans="1:44" ht="16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S549" s="3"/>
      <c r="T549" s="3"/>
      <c r="U549" s="3"/>
      <c r="V549" s="3"/>
      <c r="W549" s="3"/>
      <c r="X549" s="3"/>
      <c r="Y549" s="3"/>
      <c r="Z549" s="3"/>
      <c r="AB549" s="3"/>
      <c r="AC549" s="3"/>
      <c r="AD549" s="3"/>
      <c r="AE549" s="3"/>
      <c r="AF549" s="3"/>
      <c r="AG549" s="3"/>
      <c r="AH549" s="3"/>
      <c r="AI549" s="3"/>
      <c r="AK549" s="3"/>
      <c r="AL549" s="3"/>
      <c r="AM549" s="3"/>
      <c r="AN549" s="3"/>
      <c r="AO549" s="3"/>
      <c r="AP549" s="3"/>
      <c r="AQ549" s="3"/>
      <c r="AR549" s="3"/>
    </row>
    <row r="550" spans="1:44" ht="16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S550" s="3"/>
      <c r="T550" s="3"/>
      <c r="U550" s="3"/>
      <c r="V550" s="3"/>
      <c r="W550" s="3"/>
      <c r="X550" s="3"/>
      <c r="Y550" s="3"/>
      <c r="Z550" s="3"/>
      <c r="AB550" s="3"/>
      <c r="AC550" s="3"/>
      <c r="AD550" s="3"/>
      <c r="AE550" s="3"/>
      <c r="AF550" s="3"/>
      <c r="AG550" s="3"/>
      <c r="AH550" s="3"/>
      <c r="AI550" s="3"/>
      <c r="AK550" s="3"/>
      <c r="AL550" s="3"/>
      <c r="AM550" s="3"/>
      <c r="AN550" s="3"/>
      <c r="AO550" s="3"/>
      <c r="AP550" s="3"/>
      <c r="AQ550" s="3"/>
      <c r="AR550" s="3"/>
    </row>
    <row r="551" spans="1:44" ht="16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S551" s="3"/>
      <c r="T551" s="3"/>
      <c r="U551" s="3"/>
      <c r="V551" s="3"/>
      <c r="W551" s="3"/>
      <c r="X551" s="3"/>
      <c r="Y551" s="3"/>
      <c r="Z551" s="3"/>
      <c r="AB551" s="3"/>
      <c r="AC551" s="3"/>
      <c r="AD551" s="3"/>
      <c r="AE551" s="3"/>
      <c r="AF551" s="3"/>
      <c r="AG551" s="3"/>
      <c r="AH551" s="3"/>
      <c r="AI551" s="3"/>
      <c r="AK551" s="3"/>
      <c r="AL551" s="3"/>
      <c r="AM551" s="3"/>
      <c r="AN551" s="3"/>
      <c r="AO551" s="3"/>
      <c r="AP551" s="3"/>
      <c r="AQ551" s="3"/>
      <c r="AR551" s="3"/>
    </row>
    <row r="552" spans="1:44" ht="16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S552" s="3"/>
      <c r="T552" s="3"/>
      <c r="U552" s="3"/>
      <c r="V552" s="3"/>
      <c r="W552" s="3"/>
      <c r="X552" s="3"/>
      <c r="Y552" s="3"/>
      <c r="Z552" s="3"/>
      <c r="AB552" s="3"/>
      <c r="AC552" s="3"/>
      <c r="AD552" s="3"/>
      <c r="AE552" s="3"/>
      <c r="AF552" s="3"/>
      <c r="AG552" s="3"/>
      <c r="AH552" s="3"/>
      <c r="AI552" s="3"/>
      <c r="AK552" s="3"/>
      <c r="AL552" s="3"/>
      <c r="AM552" s="3"/>
      <c r="AN552" s="3"/>
      <c r="AO552" s="3"/>
      <c r="AP552" s="3"/>
      <c r="AQ552" s="3"/>
      <c r="AR552" s="3"/>
    </row>
    <row r="553" spans="1:44" ht="16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S553" s="3"/>
      <c r="T553" s="3"/>
      <c r="U553" s="3"/>
      <c r="V553" s="3"/>
      <c r="W553" s="3"/>
      <c r="X553" s="3"/>
      <c r="Y553" s="3"/>
      <c r="Z553" s="3"/>
      <c r="AB553" s="3"/>
      <c r="AC553" s="3"/>
      <c r="AD553" s="3"/>
      <c r="AE553" s="3"/>
      <c r="AF553" s="3"/>
      <c r="AG553" s="3"/>
      <c r="AH553" s="3"/>
      <c r="AI553" s="3"/>
      <c r="AK553" s="3"/>
      <c r="AL553" s="3"/>
      <c r="AM553" s="3"/>
      <c r="AN553" s="3"/>
      <c r="AO553" s="3"/>
      <c r="AP553" s="3"/>
      <c r="AQ553" s="3"/>
      <c r="AR553" s="3"/>
    </row>
    <row r="554" spans="1:44" ht="16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S554" s="3"/>
      <c r="T554" s="3"/>
      <c r="U554" s="3"/>
      <c r="V554" s="3"/>
      <c r="W554" s="3"/>
      <c r="X554" s="3"/>
      <c r="Y554" s="3"/>
      <c r="Z554" s="3"/>
      <c r="AB554" s="3"/>
      <c r="AC554" s="3"/>
      <c r="AD554" s="3"/>
      <c r="AE554" s="3"/>
      <c r="AF554" s="3"/>
      <c r="AG554" s="3"/>
      <c r="AH554" s="3"/>
      <c r="AI554" s="3"/>
      <c r="AK554" s="3"/>
      <c r="AL554" s="3"/>
      <c r="AM554" s="3"/>
      <c r="AN554" s="3"/>
      <c r="AO554" s="3"/>
      <c r="AP554" s="3"/>
      <c r="AQ554" s="3"/>
      <c r="AR554" s="3"/>
    </row>
    <row r="555" spans="1:44" ht="16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S555" s="3"/>
      <c r="T555" s="3"/>
      <c r="U555" s="3"/>
      <c r="V555" s="3"/>
      <c r="W555" s="3"/>
      <c r="X555" s="3"/>
      <c r="Y555" s="3"/>
      <c r="Z555" s="3"/>
      <c r="AB555" s="3"/>
      <c r="AC555" s="3"/>
      <c r="AD555" s="3"/>
      <c r="AE555" s="3"/>
      <c r="AF555" s="3"/>
      <c r="AG555" s="3"/>
      <c r="AH555" s="3"/>
      <c r="AI555" s="3"/>
      <c r="AK555" s="3"/>
      <c r="AL555" s="3"/>
      <c r="AM555" s="3"/>
      <c r="AN555" s="3"/>
      <c r="AO555" s="3"/>
      <c r="AP555" s="3"/>
      <c r="AQ555" s="3"/>
      <c r="AR555" s="3"/>
    </row>
    <row r="556" spans="1:44" ht="16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S556" s="3"/>
      <c r="T556" s="3"/>
      <c r="U556" s="3"/>
      <c r="V556" s="3"/>
      <c r="W556" s="3"/>
      <c r="X556" s="3"/>
      <c r="Y556" s="3"/>
      <c r="Z556" s="3"/>
      <c r="AB556" s="3"/>
      <c r="AC556" s="3"/>
      <c r="AD556" s="3"/>
      <c r="AE556" s="3"/>
      <c r="AF556" s="3"/>
      <c r="AG556" s="3"/>
      <c r="AH556" s="3"/>
      <c r="AI556" s="3"/>
      <c r="AK556" s="3"/>
      <c r="AL556" s="3"/>
      <c r="AM556" s="3"/>
      <c r="AN556" s="3"/>
      <c r="AO556" s="3"/>
      <c r="AP556" s="3"/>
      <c r="AQ556" s="3"/>
      <c r="AR556" s="3"/>
    </row>
    <row r="557" spans="1:44" ht="16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S557" s="3"/>
      <c r="T557" s="3"/>
      <c r="U557" s="3"/>
      <c r="V557" s="3"/>
      <c r="W557" s="3"/>
      <c r="X557" s="3"/>
      <c r="Y557" s="3"/>
      <c r="Z557" s="3"/>
      <c r="AB557" s="3"/>
      <c r="AC557" s="3"/>
      <c r="AD557" s="3"/>
      <c r="AE557" s="3"/>
      <c r="AF557" s="3"/>
      <c r="AG557" s="3"/>
      <c r="AH557" s="3"/>
      <c r="AI557" s="3"/>
      <c r="AK557" s="3"/>
      <c r="AL557" s="3"/>
      <c r="AM557" s="3"/>
      <c r="AN557" s="3"/>
      <c r="AO557" s="3"/>
      <c r="AP557" s="3"/>
      <c r="AQ557" s="3"/>
      <c r="AR557" s="3"/>
    </row>
    <row r="558" spans="1:44" ht="16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S558" s="3"/>
      <c r="T558" s="3"/>
      <c r="U558" s="3"/>
      <c r="V558" s="3"/>
      <c r="W558" s="3"/>
      <c r="X558" s="3"/>
      <c r="Y558" s="3"/>
      <c r="Z558" s="3"/>
      <c r="AB558" s="3"/>
      <c r="AC558" s="3"/>
      <c r="AD558" s="3"/>
      <c r="AE558" s="3"/>
      <c r="AF558" s="3"/>
      <c r="AG558" s="3"/>
      <c r="AH558" s="3"/>
      <c r="AI558" s="3"/>
      <c r="AK558" s="3"/>
      <c r="AL558" s="3"/>
      <c r="AM558" s="3"/>
      <c r="AN558" s="3"/>
      <c r="AO558" s="3"/>
      <c r="AP558" s="3"/>
      <c r="AQ558" s="3"/>
      <c r="AR558" s="3"/>
    </row>
    <row r="559" spans="1:44" ht="16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S559" s="3"/>
      <c r="T559" s="3"/>
      <c r="U559" s="3"/>
      <c r="V559" s="3"/>
      <c r="W559" s="3"/>
      <c r="X559" s="3"/>
      <c r="Y559" s="3"/>
      <c r="Z559" s="3"/>
      <c r="AB559" s="3"/>
      <c r="AC559" s="3"/>
      <c r="AD559" s="3"/>
      <c r="AE559" s="3"/>
      <c r="AF559" s="3"/>
      <c r="AG559" s="3"/>
      <c r="AH559" s="3"/>
      <c r="AI559" s="3"/>
      <c r="AK559" s="3"/>
      <c r="AL559" s="3"/>
      <c r="AM559" s="3"/>
      <c r="AN559" s="3"/>
      <c r="AO559" s="3"/>
      <c r="AP559" s="3"/>
      <c r="AQ559" s="3"/>
      <c r="AR559" s="3"/>
    </row>
    <row r="560" spans="1:44" ht="16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S560" s="3"/>
      <c r="T560" s="3"/>
      <c r="U560" s="3"/>
      <c r="V560" s="3"/>
      <c r="W560" s="3"/>
      <c r="X560" s="3"/>
      <c r="Y560" s="3"/>
      <c r="Z560" s="3"/>
      <c r="AB560" s="3"/>
      <c r="AC560" s="3"/>
      <c r="AD560" s="3"/>
      <c r="AE560" s="3"/>
      <c r="AF560" s="3"/>
      <c r="AG560" s="3"/>
      <c r="AH560" s="3"/>
      <c r="AI560" s="3"/>
      <c r="AK560" s="3"/>
      <c r="AL560" s="3"/>
      <c r="AM560" s="3"/>
      <c r="AN560" s="3"/>
      <c r="AO560" s="3"/>
      <c r="AP560" s="3"/>
      <c r="AQ560" s="3"/>
      <c r="AR560" s="3"/>
    </row>
    <row r="561" spans="1:44" ht="16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S561" s="3"/>
      <c r="T561" s="3"/>
      <c r="U561" s="3"/>
      <c r="V561" s="3"/>
      <c r="W561" s="3"/>
      <c r="X561" s="3"/>
      <c r="Y561" s="3"/>
      <c r="Z561" s="3"/>
      <c r="AB561" s="3"/>
      <c r="AC561" s="3"/>
      <c r="AD561" s="3"/>
      <c r="AE561" s="3"/>
      <c r="AF561" s="3"/>
      <c r="AG561" s="3"/>
      <c r="AH561" s="3"/>
      <c r="AI561" s="3"/>
      <c r="AK561" s="3"/>
      <c r="AL561" s="3"/>
      <c r="AM561" s="3"/>
      <c r="AN561" s="3"/>
      <c r="AO561" s="3"/>
      <c r="AP561" s="3"/>
      <c r="AQ561" s="3"/>
      <c r="AR561" s="3"/>
    </row>
    <row r="562" spans="1:44" ht="16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S562" s="3"/>
      <c r="T562" s="3"/>
      <c r="U562" s="3"/>
      <c r="V562" s="3"/>
      <c r="W562" s="3"/>
      <c r="X562" s="3"/>
      <c r="Y562" s="3"/>
      <c r="Z562" s="3"/>
      <c r="AB562" s="3"/>
      <c r="AC562" s="3"/>
      <c r="AD562" s="3"/>
      <c r="AE562" s="3"/>
      <c r="AF562" s="3"/>
      <c r="AG562" s="3"/>
      <c r="AH562" s="3"/>
      <c r="AI562" s="3"/>
      <c r="AK562" s="3"/>
      <c r="AL562" s="3"/>
      <c r="AM562" s="3"/>
      <c r="AN562" s="3"/>
      <c r="AO562" s="3"/>
      <c r="AP562" s="3"/>
      <c r="AQ562" s="3"/>
      <c r="AR562" s="3"/>
    </row>
    <row r="563" spans="1:44" ht="16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S563" s="3"/>
      <c r="T563" s="3"/>
      <c r="U563" s="3"/>
      <c r="V563" s="3"/>
      <c r="W563" s="3"/>
      <c r="X563" s="3"/>
      <c r="Y563" s="3"/>
      <c r="Z563" s="3"/>
      <c r="AB563" s="3"/>
      <c r="AC563" s="3"/>
      <c r="AD563" s="3"/>
      <c r="AE563" s="3"/>
      <c r="AF563" s="3"/>
      <c r="AG563" s="3"/>
      <c r="AH563" s="3"/>
      <c r="AI563" s="3"/>
      <c r="AK563" s="3"/>
      <c r="AL563" s="3"/>
      <c r="AM563" s="3"/>
      <c r="AN563" s="3"/>
      <c r="AO563" s="3"/>
      <c r="AP563" s="3"/>
      <c r="AQ563" s="3"/>
      <c r="AR563" s="3"/>
    </row>
    <row r="564" spans="1:44" ht="16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S564" s="3"/>
      <c r="T564" s="3"/>
      <c r="U564" s="3"/>
      <c r="V564" s="3"/>
      <c r="W564" s="3"/>
      <c r="X564" s="3"/>
      <c r="Y564" s="3"/>
      <c r="Z564" s="3"/>
      <c r="AB564" s="3"/>
      <c r="AC564" s="3"/>
      <c r="AD564" s="3"/>
      <c r="AE564" s="3"/>
      <c r="AF564" s="3"/>
      <c r="AG564" s="3"/>
      <c r="AH564" s="3"/>
      <c r="AI564" s="3"/>
      <c r="AK564" s="3"/>
      <c r="AL564" s="3"/>
      <c r="AM564" s="3"/>
      <c r="AN564" s="3"/>
      <c r="AO564" s="3"/>
      <c r="AP564" s="3"/>
      <c r="AQ564" s="3"/>
      <c r="AR564" s="3"/>
    </row>
    <row r="565" spans="1:44" ht="16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S565" s="3"/>
      <c r="T565" s="3"/>
      <c r="U565" s="3"/>
      <c r="V565" s="3"/>
      <c r="W565" s="3"/>
      <c r="X565" s="3"/>
      <c r="Y565" s="3"/>
      <c r="Z565" s="3"/>
      <c r="AB565" s="3"/>
      <c r="AC565" s="3"/>
      <c r="AD565" s="3"/>
      <c r="AE565" s="3"/>
      <c r="AF565" s="3"/>
      <c r="AG565" s="3"/>
      <c r="AH565" s="3"/>
      <c r="AI565" s="3"/>
      <c r="AK565" s="3"/>
      <c r="AL565" s="3"/>
      <c r="AM565" s="3"/>
      <c r="AN565" s="3"/>
      <c r="AO565" s="3"/>
      <c r="AP565" s="3"/>
      <c r="AQ565" s="3"/>
      <c r="AR565" s="3"/>
    </row>
    <row r="566" spans="1:44" ht="16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S566" s="3"/>
      <c r="T566" s="3"/>
      <c r="U566" s="3"/>
      <c r="V566" s="3"/>
      <c r="W566" s="3"/>
      <c r="X566" s="3"/>
      <c r="Y566" s="3"/>
      <c r="Z566" s="3"/>
      <c r="AB566" s="3"/>
      <c r="AC566" s="3"/>
      <c r="AD566" s="3"/>
      <c r="AE566" s="3"/>
      <c r="AF566" s="3"/>
      <c r="AG566" s="3"/>
      <c r="AH566" s="3"/>
      <c r="AI566" s="3"/>
      <c r="AK566" s="3"/>
      <c r="AL566" s="3"/>
      <c r="AM566" s="3"/>
      <c r="AN566" s="3"/>
      <c r="AO566" s="3"/>
      <c r="AP566" s="3"/>
      <c r="AQ566" s="3"/>
      <c r="AR566" s="3"/>
    </row>
    <row r="567" spans="1:44" ht="16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S567" s="3"/>
      <c r="T567" s="3"/>
      <c r="U567" s="3"/>
      <c r="V567" s="3"/>
      <c r="W567" s="3"/>
      <c r="X567" s="3"/>
      <c r="Y567" s="3"/>
      <c r="Z567" s="3"/>
      <c r="AB567" s="3"/>
      <c r="AC567" s="3"/>
      <c r="AD567" s="3"/>
      <c r="AE567" s="3"/>
      <c r="AF567" s="3"/>
      <c r="AG567" s="3"/>
      <c r="AH567" s="3"/>
      <c r="AI567" s="3"/>
      <c r="AK567" s="3"/>
      <c r="AL567" s="3"/>
      <c r="AM567" s="3"/>
      <c r="AN567" s="3"/>
      <c r="AO567" s="3"/>
      <c r="AP567" s="3"/>
      <c r="AQ567" s="3"/>
      <c r="AR567" s="3"/>
    </row>
    <row r="568" spans="1:44" ht="16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S568" s="3"/>
      <c r="T568" s="3"/>
      <c r="U568" s="3"/>
      <c r="V568" s="3"/>
      <c r="W568" s="3"/>
      <c r="X568" s="3"/>
      <c r="Y568" s="3"/>
      <c r="Z568" s="3"/>
      <c r="AB568" s="3"/>
      <c r="AC568" s="3"/>
      <c r="AD568" s="3"/>
      <c r="AE568" s="3"/>
      <c r="AF568" s="3"/>
      <c r="AG568" s="3"/>
      <c r="AH568" s="3"/>
      <c r="AI568" s="3"/>
      <c r="AK568" s="3"/>
      <c r="AL568" s="3"/>
      <c r="AM568" s="3"/>
      <c r="AN568" s="3"/>
      <c r="AO568" s="3"/>
      <c r="AP568" s="3"/>
      <c r="AQ568" s="3"/>
      <c r="AR568" s="3"/>
    </row>
    <row r="569" spans="1:44" ht="16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S569" s="3"/>
      <c r="T569" s="3"/>
      <c r="U569" s="3"/>
      <c r="V569" s="3"/>
      <c r="W569" s="3"/>
      <c r="X569" s="3"/>
      <c r="Y569" s="3"/>
      <c r="Z569" s="3"/>
      <c r="AB569" s="3"/>
      <c r="AC569" s="3"/>
      <c r="AD569" s="3"/>
      <c r="AE569" s="3"/>
      <c r="AF569" s="3"/>
      <c r="AG569" s="3"/>
      <c r="AH569" s="3"/>
      <c r="AI569" s="3"/>
      <c r="AK569" s="3"/>
      <c r="AL569" s="3"/>
      <c r="AM569" s="3"/>
      <c r="AN569" s="3"/>
      <c r="AO569" s="3"/>
      <c r="AP569" s="3"/>
      <c r="AQ569" s="3"/>
      <c r="AR569" s="3"/>
    </row>
    <row r="570" spans="1:44" ht="16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S570" s="3"/>
      <c r="T570" s="3"/>
      <c r="U570" s="3"/>
      <c r="V570" s="3"/>
      <c r="W570" s="3"/>
      <c r="X570" s="3"/>
      <c r="Y570" s="3"/>
      <c r="Z570" s="3"/>
      <c r="AB570" s="3"/>
      <c r="AC570" s="3"/>
      <c r="AD570" s="3"/>
      <c r="AE570" s="3"/>
      <c r="AF570" s="3"/>
      <c r="AG570" s="3"/>
      <c r="AH570" s="3"/>
      <c r="AI570" s="3"/>
      <c r="AK570" s="3"/>
      <c r="AL570" s="3"/>
      <c r="AM570" s="3"/>
      <c r="AN570" s="3"/>
      <c r="AO570" s="3"/>
      <c r="AP570" s="3"/>
      <c r="AQ570" s="3"/>
      <c r="AR570" s="3"/>
    </row>
    <row r="571" spans="1:44" ht="16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S571" s="3"/>
      <c r="T571" s="3"/>
      <c r="U571" s="3"/>
      <c r="V571" s="3"/>
      <c r="W571" s="3"/>
      <c r="X571" s="3"/>
      <c r="Y571" s="3"/>
      <c r="Z571" s="3"/>
      <c r="AB571" s="3"/>
      <c r="AC571" s="3"/>
      <c r="AD571" s="3"/>
      <c r="AE571" s="3"/>
      <c r="AF571" s="3"/>
      <c r="AG571" s="3"/>
      <c r="AH571" s="3"/>
      <c r="AI571" s="3"/>
      <c r="AK571" s="3"/>
      <c r="AL571" s="3"/>
      <c r="AM571" s="3"/>
      <c r="AN571" s="3"/>
      <c r="AO571" s="3"/>
      <c r="AP571" s="3"/>
      <c r="AQ571" s="3"/>
      <c r="AR571" s="3"/>
    </row>
    <row r="572" spans="1:44" ht="16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S572" s="3"/>
      <c r="T572" s="3"/>
      <c r="U572" s="3"/>
      <c r="V572" s="3"/>
      <c r="W572" s="3"/>
      <c r="X572" s="3"/>
      <c r="Y572" s="3"/>
      <c r="Z572" s="3"/>
      <c r="AB572" s="3"/>
      <c r="AC572" s="3"/>
      <c r="AD572" s="3"/>
      <c r="AE572" s="3"/>
      <c r="AF572" s="3"/>
      <c r="AG572" s="3"/>
      <c r="AH572" s="3"/>
      <c r="AI572" s="3"/>
      <c r="AK572" s="3"/>
      <c r="AL572" s="3"/>
      <c r="AM572" s="3"/>
      <c r="AN572" s="3"/>
      <c r="AO572" s="3"/>
      <c r="AP572" s="3"/>
      <c r="AQ572" s="3"/>
      <c r="AR572" s="3"/>
    </row>
    <row r="573" spans="1:44" ht="16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S573" s="3"/>
      <c r="T573" s="3"/>
      <c r="U573" s="3"/>
      <c r="V573" s="3"/>
      <c r="W573" s="3"/>
      <c r="X573" s="3"/>
      <c r="Y573" s="3"/>
      <c r="Z573" s="3"/>
      <c r="AB573" s="3"/>
      <c r="AC573" s="3"/>
      <c r="AD573" s="3"/>
      <c r="AE573" s="3"/>
      <c r="AF573" s="3"/>
      <c r="AG573" s="3"/>
      <c r="AH573" s="3"/>
      <c r="AI573" s="3"/>
      <c r="AK573" s="3"/>
      <c r="AL573" s="3"/>
      <c r="AM573" s="3"/>
      <c r="AN573" s="3"/>
      <c r="AO573" s="3"/>
      <c r="AP573" s="3"/>
      <c r="AQ573" s="3"/>
      <c r="AR573" s="3"/>
    </row>
    <row r="574" spans="1:44" ht="16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S574" s="3"/>
      <c r="T574" s="3"/>
      <c r="U574" s="3"/>
      <c r="V574" s="3"/>
      <c r="W574" s="3"/>
      <c r="X574" s="3"/>
      <c r="Y574" s="3"/>
      <c r="Z574" s="3"/>
      <c r="AB574" s="3"/>
      <c r="AC574" s="3"/>
      <c r="AD574" s="3"/>
      <c r="AE574" s="3"/>
      <c r="AF574" s="3"/>
      <c r="AG574" s="3"/>
      <c r="AH574" s="3"/>
      <c r="AI574" s="3"/>
      <c r="AK574" s="3"/>
      <c r="AL574" s="3"/>
      <c r="AM574" s="3"/>
      <c r="AN574" s="3"/>
      <c r="AO574" s="3"/>
      <c r="AP574" s="3"/>
      <c r="AQ574" s="3"/>
      <c r="AR574" s="3"/>
    </row>
    <row r="575" spans="1:44" ht="16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S575" s="3"/>
      <c r="T575" s="3"/>
      <c r="U575" s="3"/>
      <c r="V575" s="3"/>
      <c r="W575" s="3"/>
      <c r="X575" s="3"/>
      <c r="Y575" s="3"/>
      <c r="Z575" s="3"/>
      <c r="AB575" s="3"/>
      <c r="AC575" s="3"/>
      <c r="AD575" s="3"/>
      <c r="AE575" s="3"/>
      <c r="AF575" s="3"/>
      <c r="AG575" s="3"/>
      <c r="AH575" s="3"/>
      <c r="AI575" s="3"/>
      <c r="AK575" s="3"/>
      <c r="AL575" s="3"/>
      <c r="AM575" s="3"/>
      <c r="AN575" s="3"/>
      <c r="AO575" s="3"/>
      <c r="AP575" s="3"/>
      <c r="AQ575" s="3"/>
      <c r="AR575" s="3"/>
    </row>
    <row r="576" spans="1:44" ht="16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S576" s="3"/>
      <c r="T576" s="3"/>
      <c r="U576" s="3"/>
      <c r="V576" s="3"/>
      <c r="W576" s="3"/>
      <c r="X576" s="3"/>
      <c r="Y576" s="3"/>
      <c r="Z576" s="3"/>
      <c r="AB576" s="3"/>
      <c r="AC576" s="3"/>
      <c r="AD576" s="3"/>
      <c r="AE576" s="3"/>
      <c r="AF576" s="3"/>
      <c r="AG576" s="3"/>
      <c r="AH576" s="3"/>
      <c r="AI576" s="3"/>
      <c r="AK576" s="3"/>
      <c r="AL576" s="3"/>
      <c r="AM576" s="3"/>
      <c r="AN576" s="3"/>
      <c r="AO576" s="3"/>
      <c r="AP576" s="3"/>
      <c r="AQ576" s="3"/>
      <c r="AR576" s="3"/>
    </row>
    <row r="577" spans="1:44" ht="16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S577" s="3"/>
      <c r="T577" s="3"/>
      <c r="U577" s="3"/>
      <c r="V577" s="3"/>
      <c r="W577" s="3"/>
      <c r="X577" s="3"/>
      <c r="Y577" s="3"/>
      <c r="Z577" s="3"/>
      <c r="AB577" s="3"/>
      <c r="AC577" s="3"/>
      <c r="AD577" s="3"/>
      <c r="AE577" s="3"/>
      <c r="AF577" s="3"/>
      <c r="AG577" s="3"/>
      <c r="AH577" s="3"/>
      <c r="AI577" s="3"/>
      <c r="AK577" s="3"/>
      <c r="AL577" s="3"/>
      <c r="AM577" s="3"/>
      <c r="AN577" s="3"/>
      <c r="AO577" s="3"/>
      <c r="AP577" s="3"/>
      <c r="AQ577" s="3"/>
      <c r="AR577" s="3"/>
    </row>
    <row r="578" spans="1:44" ht="16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S578" s="3"/>
      <c r="T578" s="3"/>
      <c r="U578" s="3"/>
      <c r="V578" s="3"/>
      <c r="W578" s="3"/>
      <c r="X578" s="3"/>
      <c r="Y578" s="3"/>
      <c r="Z578" s="3"/>
      <c r="AB578" s="3"/>
      <c r="AC578" s="3"/>
      <c r="AD578" s="3"/>
      <c r="AE578" s="3"/>
      <c r="AF578" s="3"/>
      <c r="AG578" s="3"/>
      <c r="AH578" s="3"/>
      <c r="AI578" s="3"/>
      <c r="AK578" s="3"/>
      <c r="AL578" s="3"/>
      <c r="AM578" s="3"/>
      <c r="AN578" s="3"/>
      <c r="AO578" s="3"/>
      <c r="AP578" s="3"/>
      <c r="AQ578" s="3"/>
      <c r="AR578" s="3"/>
    </row>
    <row r="579" spans="1:44" ht="16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S579" s="3"/>
      <c r="T579" s="3"/>
      <c r="U579" s="3"/>
      <c r="V579" s="3"/>
      <c r="W579" s="3"/>
      <c r="X579" s="3"/>
      <c r="Y579" s="3"/>
      <c r="Z579" s="3"/>
      <c r="AB579" s="3"/>
      <c r="AC579" s="3"/>
      <c r="AD579" s="3"/>
      <c r="AE579" s="3"/>
      <c r="AF579" s="3"/>
      <c r="AG579" s="3"/>
      <c r="AH579" s="3"/>
      <c r="AI579" s="3"/>
      <c r="AK579" s="3"/>
      <c r="AL579" s="3"/>
      <c r="AM579" s="3"/>
      <c r="AN579" s="3"/>
      <c r="AO579" s="3"/>
      <c r="AP579" s="3"/>
      <c r="AQ579" s="3"/>
      <c r="AR579" s="3"/>
    </row>
    <row r="580" spans="1:44" ht="16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S580" s="3"/>
      <c r="T580" s="3"/>
      <c r="U580" s="3"/>
      <c r="V580" s="3"/>
      <c r="W580" s="3"/>
      <c r="X580" s="3"/>
      <c r="Y580" s="3"/>
      <c r="Z580" s="3"/>
      <c r="AB580" s="3"/>
      <c r="AC580" s="3"/>
      <c r="AD580" s="3"/>
      <c r="AE580" s="3"/>
      <c r="AF580" s="3"/>
      <c r="AG580" s="3"/>
      <c r="AH580" s="3"/>
      <c r="AI580" s="3"/>
      <c r="AK580" s="3"/>
      <c r="AL580" s="3"/>
      <c r="AM580" s="3"/>
      <c r="AN580" s="3"/>
      <c r="AO580" s="3"/>
      <c r="AP580" s="3"/>
      <c r="AQ580" s="3"/>
      <c r="AR580" s="3"/>
    </row>
    <row r="581" spans="1:44" ht="16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S581" s="3"/>
      <c r="T581" s="3"/>
      <c r="U581" s="3"/>
      <c r="V581" s="3"/>
      <c r="W581" s="3"/>
      <c r="X581" s="3"/>
      <c r="Y581" s="3"/>
      <c r="Z581" s="3"/>
      <c r="AB581" s="3"/>
      <c r="AC581" s="3"/>
      <c r="AD581" s="3"/>
      <c r="AE581" s="3"/>
      <c r="AF581" s="3"/>
      <c r="AG581" s="3"/>
      <c r="AH581" s="3"/>
      <c r="AI581" s="3"/>
      <c r="AK581" s="3"/>
      <c r="AL581" s="3"/>
      <c r="AM581" s="3"/>
      <c r="AN581" s="3"/>
      <c r="AO581" s="3"/>
      <c r="AP581" s="3"/>
      <c r="AQ581" s="3"/>
      <c r="AR581" s="3"/>
    </row>
    <row r="582" spans="1:44" ht="16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S582" s="3"/>
      <c r="T582" s="3"/>
      <c r="U582" s="3"/>
      <c r="V582" s="3"/>
      <c r="W582" s="3"/>
      <c r="X582" s="3"/>
      <c r="Y582" s="3"/>
      <c r="Z582" s="3"/>
      <c r="AB582" s="3"/>
      <c r="AC582" s="3"/>
      <c r="AD582" s="3"/>
      <c r="AE582" s="3"/>
      <c r="AF582" s="3"/>
      <c r="AG582" s="3"/>
      <c r="AH582" s="3"/>
      <c r="AI582" s="3"/>
      <c r="AK582" s="3"/>
      <c r="AL582" s="3"/>
      <c r="AM582" s="3"/>
      <c r="AN582" s="3"/>
      <c r="AO582" s="3"/>
      <c r="AP582" s="3"/>
      <c r="AQ582" s="3"/>
      <c r="AR582" s="3"/>
    </row>
    <row r="583" spans="1:44" ht="16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S583" s="3"/>
      <c r="T583" s="3"/>
      <c r="U583" s="3"/>
      <c r="V583" s="3"/>
      <c r="W583" s="3"/>
      <c r="X583" s="3"/>
      <c r="Y583" s="3"/>
      <c r="Z583" s="3"/>
      <c r="AB583" s="3"/>
      <c r="AC583" s="3"/>
      <c r="AD583" s="3"/>
      <c r="AE583" s="3"/>
      <c r="AF583" s="3"/>
      <c r="AG583" s="3"/>
      <c r="AH583" s="3"/>
      <c r="AI583" s="3"/>
      <c r="AK583" s="3"/>
      <c r="AL583" s="3"/>
      <c r="AM583" s="3"/>
      <c r="AN583" s="3"/>
      <c r="AO583" s="3"/>
      <c r="AP583" s="3"/>
      <c r="AQ583" s="3"/>
      <c r="AR583" s="3"/>
    </row>
    <row r="584" spans="1:44" ht="16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S584" s="3"/>
      <c r="T584" s="3"/>
      <c r="U584" s="3"/>
      <c r="V584" s="3"/>
      <c r="W584" s="3"/>
      <c r="X584" s="3"/>
      <c r="Y584" s="3"/>
      <c r="Z584" s="3"/>
      <c r="AB584" s="3"/>
      <c r="AC584" s="3"/>
      <c r="AD584" s="3"/>
      <c r="AE584" s="3"/>
      <c r="AF584" s="3"/>
      <c r="AG584" s="3"/>
      <c r="AH584" s="3"/>
      <c r="AI584" s="3"/>
      <c r="AK584" s="3"/>
      <c r="AL584" s="3"/>
      <c r="AM584" s="3"/>
      <c r="AN584" s="3"/>
      <c r="AO584" s="3"/>
      <c r="AP584" s="3"/>
      <c r="AQ584" s="3"/>
      <c r="AR584" s="3"/>
    </row>
    <row r="585" spans="1:44" ht="16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S585" s="3"/>
      <c r="T585" s="3"/>
      <c r="U585" s="3"/>
      <c r="V585" s="3"/>
      <c r="W585" s="3"/>
      <c r="X585" s="3"/>
      <c r="Y585" s="3"/>
      <c r="Z585" s="3"/>
      <c r="AB585" s="3"/>
      <c r="AC585" s="3"/>
      <c r="AD585" s="3"/>
      <c r="AE585" s="3"/>
      <c r="AF585" s="3"/>
      <c r="AG585" s="3"/>
      <c r="AH585" s="3"/>
      <c r="AI585" s="3"/>
      <c r="AK585" s="3"/>
      <c r="AL585" s="3"/>
      <c r="AM585" s="3"/>
      <c r="AN585" s="3"/>
      <c r="AO585" s="3"/>
      <c r="AP585" s="3"/>
      <c r="AQ585" s="3"/>
      <c r="AR585" s="3"/>
    </row>
    <row r="586" spans="1:44" ht="16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S586" s="3"/>
      <c r="T586" s="3"/>
      <c r="U586" s="3"/>
      <c r="V586" s="3"/>
      <c r="W586" s="3"/>
      <c r="X586" s="3"/>
      <c r="Y586" s="3"/>
      <c r="Z586" s="3"/>
      <c r="AB586" s="3"/>
      <c r="AC586" s="3"/>
      <c r="AD586" s="3"/>
      <c r="AE586" s="3"/>
      <c r="AF586" s="3"/>
      <c r="AG586" s="3"/>
      <c r="AH586" s="3"/>
      <c r="AI586" s="3"/>
      <c r="AK586" s="3"/>
      <c r="AL586" s="3"/>
      <c r="AM586" s="3"/>
      <c r="AN586" s="3"/>
      <c r="AO586" s="3"/>
      <c r="AP586" s="3"/>
      <c r="AQ586" s="3"/>
      <c r="AR586" s="3"/>
    </row>
    <row r="587" spans="1:44" ht="16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S587" s="3"/>
      <c r="T587" s="3"/>
      <c r="U587" s="3"/>
      <c r="V587" s="3"/>
      <c r="W587" s="3"/>
      <c r="X587" s="3"/>
      <c r="Y587" s="3"/>
      <c r="Z587" s="3"/>
      <c r="AB587" s="3"/>
      <c r="AC587" s="3"/>
      <c r="AD587" s="3"/>
      <c r="AE587" s="3"/>
      <c r="AF587" s="3"/>
      <c r="AG587" s="3"/>
      <c r="AH587" s="3"/>
      <c r="AI587" s="3"/>
      <c r="AK587" s="3"/>
      <c r="AL587" s="3"/>
      <c r="AM587" s="3"/>
      <c r="AN587" s="3"/>
      <c r="AO587" s="3"/>
      <c r="AP587" s="3"/>
      <c r="AQ587" s="3"/>
      <c r="AR587" s="3"/>
    </row>
    <row r="588" spans="1:44" ht="16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S588" s="3"/>
      <c r="T588" s="3"/>
      <c r="U588" s="3"/>
      <c r="V588" s="3"/>
      <c r="W588" s="3"/>
      <c r="X588" s="3"/>
      <c r="Y588" s="3"/>
      <c r="Z588" s="3"/>
      <c r="AB588" s="3"/>
      <c r="AC588" s="3"/>
      <c r="AD588" s="3"/>
      <c r="AE588" s="3"/>
      <c r="AF588" s="3"/>
      <c r="AG588" s="3"/>
      <c r="AH588" s="3"/>
      <c r="AI588" s="3"/>
      <c r="AK588" s="3"/>
      <c r="AL588" s="3"/>
      <c r="AM588" s="3"/>
      <c r="AN588" s="3"/>
      <c r="AO588" s="3"/>
      <c r="AP588" s="3"/>
      <c r="AQ588" s="3"/>
      <c r="AR588" s="3"/>
    </row>
    <row r="589" spans="1:44" ht="16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S589" s="3"/>
      <c r="T589" s="3"/>
      <c r="U589" s="3"/>
      <c r="V589" s="3"/>
      <c r="W589" s="3"/>
      <c r="X589" s="3"/>
      <c r="Y589" s="3"/>
      <c r="Z589" s="3"/>
      <c r="AB589" s="3"/>
      <c r="AC589" s="3"/>
      <c r="AD589" s="3"/>
      <c r="AE589" s="3"/>
      <c r="AF589" s="3"/>
      <c r="AG589" s="3"/>
      <c r="AH589" s="3"/>
      <c r="AI589" s="3"/>
      <c r="AK589" s="3"/>
      <c r="AL589" s="3"/>
      <c r="AM589" s="3"/>
      <c r="AN589" s="3"/>
      <c r="AO589" s="3"/>
      <c r="AP589" s="3"/>
      <c r="AQ589" s="3"/>
      <c r="AR589" s="3"/>
    </row>
    <row r="590" spans="1:44" ht="16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S590" s="3"/>
      <c r="T590" s="3"/>
      <c r="U590" s="3"/>
      <c r="V590" s="3"/>
      <c r="W590" s="3"/>
      <c r="X590" s="3"/>
      <c r="Y590" s="3"/>
      <c r="Z590" s="3"/>
      <c r="AB590" s="3"/>
      <c r="AC590" s="3"/>
      <c r="AD590" s="3"/>
      <c r="AE590" s="3"/>
      <c r="AF590" s="3"/>
      <c r="AG590" s="3"/>
      <c r="AH590" s="3"/>
      <c r="AI590" s="3"/>
      <c r="AK590" s="3"/>
      <c r="AL590" s="3"/>
      <c r="AM590" s="3"/>
      <c r="AN590" s="3"/>
      <c r="AO590" s="3"/>
      <c r="AP590" s="3"/>
      <c r="AQ590" s="3"/>
      <c r="AR590" s="3"/>
    </row>
    <row r="591" spans="1:44" ht="16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S591" s="3"/>
      <c r="T591" s="3"/>
      <c r="U591" s="3"/>
      <c r="V591" s="3"/>
      <c r="W591" s="3"/>
      <c r="X591" s="3"/>
      <c r="Y591" s="3"/>
      <c r="Z591" s="3"/>
      <c r="AB591" s="3"/>
      <c r="AC591" s="3"/>
      <c r="AD591" s="3"/>
      <c r="AE591" s="3"/>
      <c r="AF591" s="3"/>
      <c r="AG591" s="3"/>
      <c r="AH591" s="3"/>
      <c r="AI591" s="3"/>
      <c r="AK591" s="3"/>
      <c r="AL591" s="3"/>
      <c r="AM591" s="3"/>
      <c r="AN591" s="3"/>
      <c r="AO591" s="3"/>
      <c r="AP591" s="3"/>
      <c r="AQ591" s="3"/>
      <c r="AR591" s="3"/>
    </row>
    <row r="592" spans="1:44" ht="16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S592" s="3"/>
      <c r="T592" s="3"/>
      <c r="U592" s="3"/>
      <c r="V592" s="3"/>
      <c r="W592" s="3"/>
      <c r="X592" s="3"/>
      <c r="Y592" s="3"/>
      <c r="Z592" s="3"/>
      <c r="AB592" s="3"/>
      <c r="AC592" s="3"/>
      <c r="AD592" s="3"/>
      <c r="AE592" s="3"/>
      <c r="AF592" s="3"/>
      <c r="AG592" s="3"/>
      <c r="AH592" s="3"/>
      <c r="AI592" s="3"/>
      <c r="AK592" s="3"/>
      <c r="AL592" s="3"/>
      <c r="AM592" s="3"/>
      <c r="AN592" s="3"/>
      <c r="AO592" s="3"/>
      <c r="AP592" s="3"/>
      <c r="AQ592" s="3"/>
      <c r="AR592" s="3"/>
    </row>
    <row r="593" spans="1:44" ht="16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S593" s="3"/>
      <c r="T593" s="3"/>
      <c r="U593" s="3"/>
      <c r="V593" s="3"/>
      <c r="W593" s="3"/>
      <c r="X593" s="3"/>
      <c r="Y593" s="3"/>
      <c r="Z593" s="3"/>
      <c r="AB593" s="3"/>
      <c r="AC593" s="3"/>
      <c r="AD593" s="3"/>
      <c r="AE593" s="3"/>
      <c r="AF593" s="3"/>
      <c r="AG593" s="3"/>
      <c r="AH593" s="3"/>
      <c r="AI593" s="3"/>
      <c r="AK593" s="3"/>
      <c r="AL593" s="3"/>
      <c r="AM593" s="3"/>
      <c r="AN593" s="3"/>
      <c r="AO593" s="3"/>
      <c r="AP593" s="3"/>
      <c r="AQ593" s="3"/>
      <c r="AR593" s="3"/>
    </row>
    <row r="594" spans="1:44" ht="16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S594" s="3"/>
      <c r="T594" s="3"/>
      <c r="U594" s="3"/>
      <c r="V594" s="3"/>
      <c r="W594" s="3"/>
      <c r="X594" s="3"/>
      <c r="Y594" s="3"/>
      <c r="Z594" s="3"/>
      <c r="AB594" s="3"/>
      <c r="AC594" s="3"/>
      <c r="AD594" s="3"/>
      <c r="AE594" s="3"/>
      <c r="AF594" s="3"/>
      <c r="AG594" s="3"/>
      <c r="AH594" s="3"/>
      <c r="AI594" s="3"/>
      <c r="AK594" s="3"/>
      <c r="AL594" s="3"/>
      <c r="AM594" s="3"/>
      <c r="AN594" s="3"/>
      <c r="AO594" s="3"/>
      <c r="AP594" s="3"/>
      <c r="AQ594" s="3"/>
      <c r="AR594" s="3"/>
    </row>
    <row r="595" spans="1:44" ht="16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S595" s="3"/>
      <c r="T595" s="3"/>
      <c r="U595" s="3"/>
      <c r="V595" s="3"/>
      <c r="W595" s="3"/>
      <c r="X595" s="3"/>
      <c r="Y595" s="3"/>
      <c r="Z595" s="3"/>
      <c r="AB595" s="3"/>
      <c r="AC595" s="3"/>
      <c r="AD595" s="3"/>
      <c r="AE595" s="3"/>
      <c r="AF595" s="3"/>
      <c r="AG595" s="3"/>
      <c r="AH595" s="3"/>
      <c r="AI595" s="3"/>
      <c r="AK595" s="3"/>
      <c r="AL595" s="3"/>
      <c r="AM595" s="3"/>
      <c r="AN595" s="3"/>
      <c r="AO595" s="3"/>
      <c r="AP595" s="3"/>
      <c r="AQ595" s="3"/>
      <c r="AR595" s="3"/>
    </row>
    <row r="596" spans="1:44" ht="16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S596" s="3"/>
      <c r="T596" s="3"/>
      <c r="U596" s="3"/>
      <c r="V596" s="3"/>
      <c r="W596" s="3"/>
      <c r="X596" s="3"/>
      <c r="Y596" s="3"/>
      <c r="Z596" s="3"/>
      <c r="AB596" s="3"/>
      <c r="AC596" s="3"/>
      <c r="AD596" s="3"/>
      <c r="AE596" s="3"/>
      <c r="AF596" s="3"/>
      <c r="AG596" s="3"/>
      <c r="AH596" s="3"/>
      <c r="AI596" s="3"/>
      <c r="AK596" s="3"/>
      <c r="AL596" s="3"/>
      <c r="AM596" s="3"/>
      <c r="AN596" s="3"/>
      <c r="AO596" s="3"/>
      <c r="AP596" s="3"/>
      <c r="AQ596" s="3"/>
      <c r="AR596" s="3"/>
    </row>
    <row r="597" spans="1:44" ht="16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S597" s="3"/>
      <c r="T597" s="3"/>
      <c r="U597" s="3"/>
      <c r="V597" s="3"/>
      <c r="W597" s="3"/>
      <c r="X597" s="3"/>
      <c r="Y597" s="3"/>
      <c r="Z597" s="3"/>
      <c r="AB597" s="3"/>
      <c r="AC597" s="3"/>
      <c r="AD597" s="3"/>
      <c r="AE597" s="3"/>
      <c r="AF597" s="3"/>
      <c r="AG597" s="3"/>
      <c r="AH597" s="3"/>
      <c r="AI597" s="3"/>
      <c r="AK597" s="3"/>
      <c r="AL597" s="3"/>
      <c r="AM597" s="3"/>
      <c r="AN597" s="3"/>
      <c r="AO597" s="3"/>
      <c r="AP597" s="3"/>
      <c r="AQ597" s="3"/>
      <c r="AR597" s="3"/>
    </row>
    <row r="598" spans="1:44" ht="16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S598" s="3"/>
      <c r="T598" s="3"/>
      <c r="U598" s="3"/>
      <c r="V598" s="3"/>
      <c r="W598" s="3"/>
      <c r="X598" s="3"/>
      <c r="Y598" s="3"/>
      <c r="Z598" s="3"/>
      <c r="AB598" s="3"/>
      <c r="AC598" s="3"/>
      <c r="AD598" s="3"/>
      <c r="AE598" s="3"/>
      <c r="AF598" s="3"/>
      <c r="AG598" s="3"/>
      <c r="AH598" s="3"/>
      <c r="AI598" s="3"/>
      <c r="AK598" s="3"/>
      <c r="AL598" s="3"/>
      <c r="AM598" s="3"/>
      <c r="AN598" s="3"/>
      <c r="AO598" s="3"/>
      <c r="AP598" s="3"/>
      <c r="AQ598" s="3"/>
      <c r="AR598" s="3"/>
    </row>
    <row r="599" spans="1:44" ht="16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S599" s="3"/>
      <c r="T599" s="3"/>
      <c r="U599" s="3"/>
      <c r="V599" s="3"/>
      <c r="W599" s="3"/>
      <c r="X599" s="3"/>
      <c r="Y599" s="3"/>
      <c r="Z599" s="3"/>
      <c r="AB599" s="3"/>
      <c r="AC599" s="3"/>
      <c r="AD599" s="3"/>
      <c r="AE599" s="3"/>
      <c r="AF599" s="3"/>
      <c r="AG599" s="3"/>
      <c r="AH599" s="3"/>
      <c r="AI599" s="3"/>
      <c r="AK599" s="3"/>
      <c r="AL599" s="3"/>
      <c r="AM599" s="3"/>
      <c r="AN599" s="3"/>
      <c r="AO599" s="3"/>
      <c r="AP599" s="3"/>
      <c r="AQ599" s="3"/>
      <c r="AR599" s="3"/>
    </row>
    <row r="600" spans="1:44" ht="16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S600" s="3"/>
      <c r="T600" s="3"/>
      <c r="U600" s="3"/>
      <c r="V600" s="3"/>
      <c r="W600" s="3"/>
      <c r="X600" s="3"/>
      <c r="Y600" s="3"/>
      <c r="Z600" s="3"/>
      <c r="AB600" s="3"/>
      <c r="AC600" s="3"/>
      <c r="AD600" s="3"/>
      <c r="AE600" s="3"/>
      <c r="AF600" s="3"/>
      <c r="AG600" s="3"/>
      <c r="AH600" s="3"/>
      <c r="AI600" s="3"/>
      <c r="AK600" s="3"/>
      <c r="AL600" s="3"/>
      <c r="AM600" s="3"/>
      <c r="AN600" s="3"/>
      <c r="AO600" s="3"/>
      <c r="AP600" s="3"/>
      <c r="AQ600" s="3"/>
      <c r="AR600" s="3"/>
    </row>
    <row r="601" spans="1:44" ht="16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S601" s="3"/>
      <c r="T601" s="3"/>
      <c r="U601" s="3"/>
      <c r="V601" s="3"/>
      <c r="W601" s="3"/>
      <c r="X601" s="3"/>
      <c r="Y601" s="3"/>
      <c r="Z601" s="3"/>
      <c r="AB601" s="3"/>
      <c r="AC601" s="3"/>
      <c r="AD601" s="3"/>
      <c r="AE601" s="3"/>
      <c r="AF601" s="3"/>
      <c r="AG601" s="3"/>
      <c r="AH601" s="3"/>
      <c r="AI601" s="3"/>
      <c r="AK601" s="3"/>
      <c r="AL601" s="3"/>
      <c r="AM601" s="3"/>
      <c r="AN601" s="3"/>
      <c r="AO601" s="3"/>
      <c r="AP601" s="3"/>
      <c r="AQ601" s="3"/>
      <c r="AR601" s="3"/>
    </row>
    <row r="602" spans="1:44" ht="16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S602" s="3"/>
      <c r="T602" s="3"/>
      <c r="U602" s="3"/>
      <c r="V602" s="3"/>
      <c r="W602" s="3"/>
      <c r="X602" s="3"/>
      <c r="Y602" s="3"/>
      <c r="Z602" s="3"/>
      <c r="AB602" s="3"/>
      <c r="AC602" s="3"/>
      <c r="AD602" s="3"/>
      <c r="AE602" s="3"/>
      <c r="AF602" s="3"/>
      <c r="AG602" s="3"/>
      <c r="AH602" s="3"/>
      <c r="AI602" s="3"/>
      <c r="AK602" s="3"/>
      <c r="AL602" s="3"/>
      <c r="AM602" s="3"/>
      <c r="AN602" s="3"/>
      <c r="AO602" s="3"/>
      <c r="AP602" s="3"/>
      <c r="AQ602" s="3"/>
      <c r="AR602" s="3"/>
    </row>
    <row r="603" spans="1:44" ht="16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S603" s="3"/>
      <c r="T603" s="3"/>
      <c r="U603" s="3"/>
      <c r="V603" s="3"/>
      <c r="W603" s="3"/>
      <c r="X603" s="3"/>
      <c r="Y603" s="3"/>
      <c r="Z603" s="3"/>
      <c r="AB603" s="3"/>
      <c r="AC603" s="3"/>
      <c r="AD603" s="3"/>
      <c r="AE603" s="3"/>
      <c r="AF603" s="3"/>
      <c r="AG603" s="3"/>
      <c r="AH603" s="3"/>
      <c r="AI603" s="3"/>
      <c r="AK603" s="3"/>
      <c r="AL603" s="3"/>
      <c r="AM603" s="3"/>
      <c r="AN603" s="3"/>
      <c r="AO603" s="3"/>
      <c r="AP603" s="3"/>
      <c r="AQ603" s="3"/>
      <c r="AR603" s="3"/>
    </row>
    <row r="604" spans="1:44" ht="16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S604" s="3"/>
      <c r="T604" s="3"/>
      <c r="U604" s="3"/>
      <c r="V604" s="3"/>
      <c r="W604" s="3"/>
      <c r="X604" s="3"/>
      <c r="Y604" s="3"/>
      <c r="Z604" s="3"/>
      <c r="AB604" s="3"/>
      <c r="AC604" s="3"/>
      <c r="AD604" s="3"/>
      <c r="AE604" s="3"/>
      <c r="AF604" s="3"/>
      <c r="AG604" s="3"/>
      <c r="AH604" s="3"/>
      <c r="AI604" s="3"/>
      <c r="AK604" s="3"/>
      <c r="AL604" s="3"/>
      <c r="AM604" s="3"/>
      <c r="AN604" s="3"/>
      <c r="AO604" s="3"/>
      <c r="AP604" s="3"/>
      <c r="AQ604" s="3"/>
      <c r="AR604" s="3"/>
    </row>
    <row r="605" spans="1:44" ht="16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S605" s="3"/>
      <c r="T605" s="3"/>
      <c r="U605" s="3"/>
      <c r="V605" s="3"/>
      <c r="W605" s="3"/>
      <c r="X605" s="3"/>
      <c r="Y605" s="3"/>
      <c r="Z605" s="3"/>
      <c r="AB605" s="3"/>
      <c r="AC605" s="3"/>
      <c r="AD605" s="3"/>
      <c r="AE605" s="3"/>
      <c r="AF605" s="3"/>
      <c r="AG605" s="3"/>
      <c r="AH605" s="3"/>
      <c r="AI605" s="3"/>
      <c r="AK605" s="3"/>
      <c r="AL605" s="3"/>
      <c r="AM605" s="3"/>
      <c r="AN605" s="3"/>
      <c r="AO605" s="3"/>
      <c r="AP605" s="3"/>
      <c r="AQ605" s="3"/>
      <c r="AR605" s="3"/>
    </row>
    <row r="606" spans="1:44" ht="16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S606" s="3"/>
      <c r="T606" s="3"/>
      <c r="U606" s="3"/>
      <c r="V606" s="3"/>
      <c r="W606" s="3"/>
      <c r="X606" s="3"/>
      <c r="Y606" s="3"/>
      <c r="Z606" s="3"/>
      <c r="AB606" s="3"/>
      <c r="AC606" s="3"/>
      <c r="AD606" s="3"/>
      <c r="AE606" s="3"/>
      <c r="AF606" s="3"/>
      <c r="AG606" s="3"/>
      <c r="AH606" s="3"/>
      <c r="AI606" s="3"/>
      <c r="AK606" s="3"/>
      <c r="AL606" s="3"/>
      <c r="AM606" s="3"/>
      <c r="AN606" s="3"/>
      <c r="AO606" s="3"/>
      <c r="AP606" s="3"/>
      <c r="AQ606" s="3"/>
      <c r="AR606" s="3"/>
    </row>
    <row r="607" spans="1:44" ht="16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S607" s="3"/>
      <c r="T607" s="3"/>
      <c r="U607" s="3"/>
      <c r="V607" s="3"/>
      <c r="W607" s="3"/>
      <c r="X607" s="3"/>
      <c r="Y607" s="3"/>
      <c r="Z607" s="3"/>
      <c r="AB607" s="3"/>
      <c r="AC607" s="3"/>
      <c r="AD607" s="3"/>
      <c r="AE607" s="3"/>
      <c r="AF607" s="3"/>
      <c r="AG607" s="3"/>
      <c r="AH607" s="3"/>
      <c r="AI607" s="3"/>
      <c r="AK607" s="3"/>
      <c r="AL607" s="3"/>
      <c r="AM607" s="3"/>
      <c r="AN607" s="3"/>
      <c r="AO607" s="3"/>
      <c r="AP607" s="3"/>
      <c r="AQ607" s="3"/>
      <c r="AR607" s="3"/>
    </row>
    <row r="608" spans="1:44" ht="16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S608" s="3"/>
      <c r="T608" s="3"/>
      <c r="U608" s="3"/>
      <c r="V608" s="3"/>
      <c r="W608" s="3"/>
      <c r="X608" s="3"/>
      <c r="Y608" s="3"/>
      <c r="Z608" s="3"/>
      <c r="AB608" s="3"/>
      <c r="AC608" s="3"/>
      <c r="AD608" s="3"/>
      <c r="AE608" s="3"/>
      <c r="AF608" s="3"/>
      <c r="AG608" s="3"/>
      <c r="AH608" s="3"/>
      <c r="AI608" s="3"/>
      <c r="AK608" s="3"/>
      <c r="AL608" s="3"/>
      <c r="AM608" s="3"/>
      <c r="AN608" s="3"/>
      <c r="AO608" s="3"/>
      <c r="AP608" s="3"/>
      <c r="AQ608" s="3"/>
      <c r="AR608" s="3"/>
    </row>
    <row r="609" spans="1:44" ht="16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S609" s="3"/>
      <c r="T609" s="3"/>
      <c r="U609" s="3"/>
      <c r="V609" s="3"/>
      <c r="W609" s="3"/>
      <c r="X609" s="3"/>
      <c r="Y609" s="3"/>
      <c r="Z609" s="3"/>
      <c r="AB609" s="3"/>
      <c r="AC609" s="3"/>
      <c r="AD609" s="3"/>
      <c r="AE609" s="3"/>
      <c r="AF609" s="3"/>
      <c r="AG609" s="3"/>
      <c r="AH609" s="3"/>
      <c r="AI609" s="3"/>
      <c r="AK609" s="3"/>
      <c r="AL609" s="3"/>
      <c r="AM609" s="3"/>
      <c r="AN609" s="3"/>
      <c r="AO609" s="3"/>
      <c r="AP609" s="3"/>
      <c r="AQ609" s="3"/>
      <c r="AR609" s="3"/>
    </row>
    <row r="610" spans="1:44" ht="16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S610" s="3"/>
      <c r="T610" s="3"/>
      <c r="U610" s="3"/>
      <c r="V610" s="3"/>
      <c r="W610" s="3"/>
      <c r="X610" s="3"/>
      <c r="Y610" s="3"/>
      <c r="Z610" s="3"/>
      <c r="AB610" s="3"/>
      <c r="AC610" s="3"/>
      <c r="AD610" s="3"/>
      <c r="AE610" s="3"/>
      <c r="AF610" s="3"/>
      <c r="AG610" s="3"/>
      <c r="AH610" s="3"/>
      <c r="AI610" s="3"/>
      <c r="AK610" s="3"/>
      <c r="AL610" s="3"/>
      <c r="AM610" s="3"/>
      <c r="AN610" s="3"/>
      <c r="AO610" s="3"/>
      <c r="AP610" s="3"/>
      <c r="AQ610" s="3"/>
      <c r="AR610" s="3"/>
    </row>
    <row r="611" spans="1:44" ht="16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S611" s="3"/>
      <c r="T611" s="3"/>
      <c r="U611" s="3"/>
      <c r="V611" s="3"/>
      <c r="W611" s="3"/>
      <c r="X611" s="3"/>
      <c r="Y611" s="3"/>
      <c r="Z611" s="3"/>
      <c r="AB611" s="3"/>
      <c r="AC611" s="3"/>
      <c r="AD611" s="3"/>
      <c r="AE611" s="3"/>
      <c r="AF611" s="3"/>
      <c r="AG611" s="3"/>
      <c r="AH611" s="3"/>
      <c r="AI611" s="3"/>
      <c r="AK611" s="3"/>
      <c r="AL611" s="3"/>
      <c r="AM611" s="3"/>
      <c r="AN611" s="3"/>
      <c r="AO611" s="3"/>
      <c r="AP611" s="3"/>
      <c r="AQ611" s="3"/>
      <c r="AR611" s="3"/>
    </row>
    <row r="612" spans="1:44" ht="16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S612" s="3"/>
      <c r="T612" s="3"/>
      <c r="U612" s="3"/>
      <c r="V612" s="3"/>
      <c r="W612" s="3"/>
      <c r="X612" s="3"/>
      <c r="Y612" s="3"/>
      <c r="Z612" s="3"/>
      <c r="AB612" s="3"/>
      <c r="AC612" s="3"/>
      <c r="AD612" s="3"/>
      <c r="AE612" s="3"/>
      <c r="AF612" s="3"/>
      <c r="AG612" s="3"/>
      <c r="AH612" s="3"/>
      <c r="AI612" s="3"/>
      <c r="AK612" s="3"/>
      <c r="AL612" s="3"/>
      <c r="AM612" s="3"/>
      <c r="AN612" s="3"/>
      <c r="AO612" s="3"/>
      <c r="AP612" s="3"/>
      <c r="AQ612" s="3"/>
      <c r="AR612" s="3"/>
    </row>
    <row r="613" spans="1:44" ht="16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S613" s="3"/>
      <c r="T613" s="3"/>
      <c r="U613" s="3"/>
      <c r="V613" s="3"/>
      <c r="W613" s="3"/>
      <c r="X613" s="3"/>
      <c r="Y613" s="3"/>
      <c r="Z613" s="3"/>
      <c r="AB613" s="3"/>
      <c r="AC613" s="3"/>
      <c r="AD613" s="3"/>
      <c r="AE613" s="3"/>
      <c r="AF613" s="3"/>
      <c r="AG613" s="3"/>
      <c r="AH613" s="3"/>
      <c r="AI613" s="3"/>
      <c r="AK613" s="3"/>
      <c r="AL613" s="3"/>
      <c r="AM613" s="3"/>
      <c r="AN613" s="3"/>
      <c r="AO613" s="3"/>
      <c r="AP613" s="3"/>
      <c r="AQ613" s="3"/>
      <c r="AR613" s="3"/>
    </row>
    <row r="614" spans="1:44" ht="16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S614" s="3"/>
      <c r="T614" s="3"/>
      <c r="U614" s="3"/>
      <c r="V614" s="3"/>
      <c r="W614" s="3"/>
      <c r="X614" s="3"/>
      <c r="Y614" s="3"/>
      <c r="Z614" s="3"/>
      <c r="AB614" s="3"/>
      <c r="AC614" s="3"/>
      <c r="AD614" s="3"/>
      <c r="AE614" s="3"/>
      <c r="AF614" s="3"/>
      <c r="AG614" s="3"/>
      <c r="AH614" s="3"/>
      <c r="AI614" s="3"/>
      <c r="AK614" s="3"/>
      <c r="AL614" s="3"/>
      <c r="AM614" s="3"/>
      <c r="AN614" s="3"/>
      <c r="AO614" s="3"/>
      <c r="AP614" s="3"/>
      <c r="AQ614" s="3"/>
      <c r="AR614" s="3"/>
    </row>
    <row r="615" spans="1:44" ht="16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S615" s="3"/>
      <c r="T615" s="3"/>
      <c r="U615" s="3"/>
      <c r="V615" s="3"/>
      <c r="W615" s="3"/>
      <c r="X615" s="3"/>
      <c r="Y615" s="3"/>
      <c r="Z615" s="3"/>
      <c r="AB615" s="3"/>
      <c r="AC615" s="3"/>
      <c r="AD615" s="3"/>
      <c r="AE615" s="3"/>
      <c r="AF615" s="3"/>
      <c r="AG615" s="3"/>
      <c r="AH615" s="3"/>
      <c r="AI615" s="3"/>
      <c r="AK615" s="3"/>
      <c r="AL615" s="3"/>
      <c r="AM615" s="3"/>
      <c r="AN615" s="3"/>
      <c r="AO615" s="3"/>
      <c r="AP615" s="3"/>
      <c r="AQ615" s="3"/>
      <c r="AR615" s="3"/>
    </row>
    <row r="616" spans="1:44" ht="16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S616" s="3"/>
      <c r="T616" s="3"/>
      <c r="U616" s="3"/>
      <c r="V616" s="3"/>
      <c r="W616" s="3"/>
      <c r="X616" s="3"/>
      <c r="Y616" s="3"/>
      <c r="Z616" s="3"/>
      <c r="AB616" s="3"/>
      <c r="AC616" s="3"/>
      <c r="AD616" s="3"/>
      <c r="AE616" s="3"/>
      <c r="AF616" s="3"/>
      <c r="AG616" s="3"/>
      <c r="AH616" s="3"/>
      <c r="AI616" s="3"/>
      <c r="AK616" s="3"/>
      <c r="AL616" s="3"/>
      <c r="AM616" s="3"/>
      <c r="AN616" s="3"/>
      <c r="AO616" s="3"/>
      <c r="AP616" s="3"/>
      <c r="AQ616" s="3"/>
      <c r="AR616" s="3"/>
    </row>
    <row r="617" spans="1:44" ht="16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S617" s="3"/>
      <c r="T617" s="3"/>
      <c r="U617" s="3"/>
      <c r="V617" s="3"/>
      <c r="W617" s="3"/>
      <c r="X617" s="3"/>
      <c r="Y617" s="3"/>
      <c r="Z617" s="3"/>
      <c r="AB617" s="3"/>
      <c r="AC617" s="3"/>
      <c r="AD617" s="3"/>
      <c r="AE617" s="3"/>
      <c r="AF617" s="3"/>
      <c r="AG617" s="3"/>
      <c r="AH617" s="3"/>
      <c r="AI617" s="3"/>
      <c r="AK617" s="3"/>
      <c r="AL617" s="3"/>
      <c r="AM617" s="3"/>
      <c r="AN617" s="3"/>
      <c r="AO617" s="3"/>
      <c r="AP617" s="3"/>
      <c r="AQ617" s="3"/>
      <c r="AR617" s="3"/>
    </row>
    <row r="618" spans="1:44" ht="16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S618" s="3"/>
      <c r="T618" s="3"/>
      <c r="U618" s="3"/>
      <c r="V618" s="3"/>
      <c r="W618" s="3"/>
      <c r="X618" s="3"/>
      <c r="Y618" s="3"/>
      <c r="Z618" s="3"/>
      <c r="AB618" s="3"/>
      <c r="AC618" s="3"/>
      <c r="AD618" s="3"/>
      <c r="AE618" s="3"/>
      <c r="AF618" s="3"/>
      <c r="AG618" s="3"/>
      <c r="AH618" s="3"/>
      <c r="AI618" s="3"/>
      <c r="AK618" s="3"/>
      <c r="AL618" s="3"/>
      <c r="AM618" s="3"/>
      <c r="AN618" s="3"/>
      <c r="AO618" s="3"/>
      <c r="AP618" s="3"/>
      <c r="AQ618" s="3"/>
      <c r="AR618" s="3"/>
    </row>
    <row r="619" spans="1:44" ht="16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S619" s="3"/>
      <c r="T619" s="3"/>
      <c r="U619" s="3"/>
      <c r="V619" s="3"/>
      <c r="W619" s="3"/>
      <c r="X619" s="3"/>
      <c r="Y619" s="3"/>
      <c r="Z619" s="3"/>
      <c r="AB619" s="3"/>
      <c r="AC619" s="3"/>
      <c r="AD619" s="3"/>
      <c r="AE619" s="3"/>
      <c r="AF619" s="3"/>
      <c r="AG619" s="3"/>
      <c r="AH619" s="3"/>
      <c r="AI619" s="3"/>
      <c r="AK619" s="3"/>
      <c r="AL619" s="3"/>
      <c r="AM619" s="3"/>
      <c r="AN619" s="3"/>
      <c r="AO619" s="3"/>
      <c r="AP619" s="3"/>
      <c r="AQ619" s="3"/>
      <c r="AR619" s="3"/>
    </row>
    <row r="620" spans="1:44" ht="16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S620" s="3"/>
      <c r="T620" s="3"/>
      <c r="U620" s="3"/>
      <c r="V620" s="3"/>
      <c r="W620" s="3"/>
      <c r="X620" s="3"/>
      <c r="Y620" s="3"/>
      <c r="Z620" s="3"/>
      <c r="AB620" s="3"/>
      <c r="AC620" s="3"/>
      <c r="AD620" s="3"/>
      <c r="AE620" s="3"/>
      <c r="AF620" s="3"/>
      <c r="AG620" s="3"/>
      <c r="AH620" s="3"/>
      <c r="AI620" s="3"/>
      <c r="AK620" s="3"/>
      <c r="AL620" s="3"/>
      <c r="AM620" s="3"/>
      <c r="AN620" s="3"/>
      <c r="AO620" s="3"/>
      <c r="AP620" s="3"/>
      <c r="AQ620" s="3"/>
      <c r="AR620" s="3"/>
    </row>
    <row r="621" spans="1:44" ht="16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S621" s="3"/>
      <c r="T621" s="3"/>
      <c r="U621" s="3"/>
      <c r="V621" s="3"/>
      <c r="W621" s="3"/>
      <c r="X621" s="3"/>
      <c r="Y621" s="3"/>
      <c r="Z621" s="3"/>
      <c r="AB621" s="3"/>
      <c r="AC621" s="3"/>
      <c r="AD621" s="3"/>
      <c r="AE621" s="3"/>
      <c r="AF621" s="3"/>
      <c r="AG621" s="3"/>
      <c r="AH621" s="3"/>
      <c r="AI621" s="3"/>
      <c r="AK621" s="3"/>
      <c r="AL621" s="3"/>
      <c r="AM621" s="3"/>
      <c r="AN621" s="3"/>
      <c r="AO621" s="3"/>
      <c r="AP621" s="3"/>
      <c r="AQ621" s="3"/>
      <c r="AR621" s="3"/>
    </row>
    <row r="622" spans="1:44" ht="16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S622" s="3"/>
      <c r="T622" s="3"/>
      <c r="U622" s="3"/>
      <c r="V622" s="3"/>
      <c r="W622" s="3"/>
      <c r="X622" s="3"/>
      <c r="Y622" s="3"/>
      <c r="Z622" s="3"/>
      <c r="AB622" s="3"/>
      <c r="AC622" s="3"/>
      <c r="AD622" s="3"/>
      <c r="AE622" s="3"/>
      <c r="AF622" s="3"/>
      <c r="AG622" s="3"/>
      <c r="AH622" s="3"/>
      <c r="AI622" s="3"/>
      <c r="AK622" s="3"/>
      <c r="AL622" s="3"/>
      <c r="AM622" s="3"/>
      <c r="AN622" s="3"/>
      <c r="AO622" s="3"/>
      <c r="AP622" s="3"/>
      <c r="AQ622" s="3"/>
      <c r="AR622" s="3"/>
    </row>
    <row r="623" spans="1:44" ht="16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S623" s="3"/>
      <c r="T623" s="3"/>
      <c r="U623" s="3"/>
      <c r="V623" s="3"/>
      <c r="W623" s="3"/>
      <c r="X623" s="3"/>
      <c r="Y623" s="3"/>
      <c r="Z623" s="3"/>
      <c r="AB623" s="3"/>
      <c r="AC623" s="3"/>
      <c r="AD623" s="3"/>
      <c r="AE623" s="3"/>
      <c r="AF623" s="3"/>
      <c r="AG623" s="3"/>
      <c r="AH623" s="3"/>
      <c r="AI623" s="3"/>
      <c r="AK623" s="3"/>
      <c r="AL623" s="3"/>
      <c r="AM623" s="3"/>
      <c r="AN623" s="3"/>
      <c r="AO623" s="3"/>
      <c r="AP623" s="3"/>
      <c r="AQ623" s="3"/>
      <c r="AR623" s="3"/>
    </row>
    <row r="624" spans="1:44" ht="16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S624" s="3"/>
      <c r="T624" s="3"/>
      <c r="U624" s="3"/>
      <c r="V624" s="3"/>
      <c r="W624" s="3"/>
      <c r="X624" s="3"/>
      <c r="Y624" s="3"/>
      <c r="Z624" s="3"/>
      <c r="AB624" s="3"/>
      <c r="AC624" s="3"/>
      <c r="AD624" s="3"/>
      <c r="AE624" s="3"/>
      <c r="AF624" s="3"/>
      <c r="AG624" s="3"/>
      <c r="AH624" s="3"/>
      <c r="AI624" s="3"/>
      <c r="AK624" s="3"/>
      <c r="AL624" s="3"/>
      <c r="AM624" s="3"/>
      <c r="AN624" s="3"/>
      <c r="AO624" s="3"/>
      <c r="AP624" s="3"/>
      <c r="AQ624" s="3"/>
      <c r="AR624" s="3"/>
    </row>
    <row r="625" spans="1:44" ht="16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S625" s="3"/>
      <c r="T625" s="3"/>
      <c r="U625" s="3"/>
      <c r="V625" s="3"/>
      <c r="W625" s="3"/>
      <c r="X625" s="3"/>
      <c r="Y625" s="3"/>
      <c r="Z625" s="3"/>
      <c r="AB625" s="3"/>
      <c r="AC625" s="3"/>
      <c r="AD625" s="3"/>
      <c r="AE625" s="3"/>
      <c r="AF625" s="3"/>
      <c r="AG625" s="3"/>
      <c r="AH625" s="3"/>
      <c r="AI625" s="3"/>
      <c r="AK625" s="3"/>
      <c r="AL625" s="3"/>
      <c r="AM625" s="3"/>
      <c r="AN625" s="3"/>
      <c r="AO625" s="3"/>
      <c r="AP625" s="3"/>
      <c r="AQ625" s="3"/>
      <c r="AR625" s="3"/>
    </row>
    <row r="626" spans="1:44" ht="16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S626" s="3"/>
      <c r="T626" s="3"/>
      <c r="U626" s="3"/>
      <c r="V626" s="3"/>
      <c r="W626" s="3"/>
      <c r="X626" s="3"/>
      <c r="Y626" s="3"/>
      <c r="Z626" s="3"/>
      <c r="AB626" s="3"/>
      <c r="AC626" s="3"/>
      <c r="AD626" s="3"/>
      <c r="AE626" s="3"/>
      <c r="AF626" s="3"/>
      <c r="AG626" s="3"/>
      <c r="AH626" s="3"/>
      <c r="AI626" s="3"/>
      <c r="AK626" s="3"/>
      <c r="AL626" s="3"/>
      <c r="AM626" s="3"/>
      <c r="AN626" s="3"/>
      <c r="AO626" s="3"/>
      <c r="AP626" s="3"/>
      <c r="AQ626" s="3"/>
      <c r="AR626" s="3"/>
    </row>
    <row r="627" spans="1:44" ht="16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S627" s="3"/>
      <c r="T627" s="3"/>
      <c r="U627" s="3"/>
      <c r="V627" s="3"/>
      <c r="W627" s="3"/>
      <c r="X627" s="3"/>
      <c r="Y627" s="3"/>
      <c r="Z627" s="3"/>
      <c r="AB627" s="3"/>
      <c r="AC627" s="3"/>
      <c r="AD627" s="3"/>
      <c r="AE627" s="3"/>
      <c r="AF627" s="3"/>
      <c r="AG627" s="3"/>
      <c r="AH627" s="3"/>
      <c r="AI627" s="3"/>
      <c r="AK627" s="3"/>
      <c r="AL627" s="3"/>
      <c r="AM627" s="3"/>
      <c r="AN627" s="3"/>
      <c r="AO627" s="3"/>
      <c r="AP627" s="3"/>
      <c r="AQ627" s="3"/>
      <c r="AR627" s="3"/>
    </row>
    <row r="628" spans="1:44" ht="16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S628" s="3"/>
      <c r="T628" s="3"/>
      <c r="U628" s="3"/>
      <c r="V628" s="3"/>
      <c r="W628" s="3"/>
      <c r="X628" s="3"/>
      <c r="Y628" s="3"/>
      <c r="Z628" s="3"/>
      <c r="AB628" s="3"/>
      <c r="AC628" s="3"/>
      <c r="AD628" s="3"/>
      <c r="AE628" s="3"/>
      <c r="AF628" s="3"/>
      <c r="AG628" s="3"/>
      <c r="AH628" s="3"/>
      <c r="AI628" s="3"/>
      <c r="AK628" s="3"/>
      <c r="AL628" s="3"/>
      <c r="AM628" s="3"/>
      <c r="AN628" s="3"/>
      <c r="AO628" s="3"/>
      <c r="AP628" s="3"/>
      <c r="AQ628" s="3"/>
      <c r="AR628" s="3"/>
    </row>
    <row r="629" spans="1:44" ht="16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S629" s="3"/>
      <c r="T629" s="3"/>
      <c r="U629" s="3"/>
      <c r="V629" s="3"/>
      <c r="W629" s="3"/>
      <c r="X629" s="3"/>
      <c r="Y629" s="3"/>
      <c r="Z629" s="3"/>
      <c r="AB629" s="3"/>
      <c r="AC629" s="3"/>
      <c r="AD629" s="3"/>
      <c r="AE629" s="3"/>
      <c r="AF629" s="3"/>
      <c r="AG629" s="3"/>
      <c r="AH629" s="3"/>
      <c r="AI629" s="3"/>
      <c r="AK629" s="3"/>
      <c r="AL629" s="3"/>
      <c r="AM629" s="3"/>
      <c r="AN629" s="3"/>
      <c r="AO629" s="3"/>
      <c r="AP629" s="3"/>
      <c r="AQ629" s="3"/>
      <c r="AR629" s="3"/>
    </row>
    <row r="630" spans="1:44" ht="16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S630" s="3"/>
      <c r="T630" s="3"/>
      <c r="U630" s="3"/>
      <c r="V630" s="3"/>
      <c r="W630" s="3"/>
      <c r="X630" s="3"/>
      <c r="Y630" s="3"/>
      <c r="Z630" s="3"/>
      <c r="AB630" s="3"/>
      <c r="AC630" s="3"/>
      <c r="AD630" s="3"/>
      <c r="AE630" s="3"/>
      <c r="AF630" s="3"/>
      <c r="AG630" s="3"/>
      <c r="AH630" s="3"/>
      <c r="AI630" s="3"/>
      <c r="AK630" s="3"/>
      <c r="AL630" s="3"/>
      <c r="AM630" s="3"/>
      <c r="AN630" s="3"/>
      <c r="AO630" s="3"/>
      <c r="AP630" s="3"/>
      <c r="AQ630" s="3"/>
      <c r="AR630" s="3"/>
    </row>
    <row r="631" spans="1:44" ht="16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S631" s="3"/>
      <c r="T631" s="3"/>
      <c r="U631" s="3"/>
      <c r="V631" s="3"/>
      <c r="W631" s="3"/>
      <c r="X631" s="3"/>
      <c r="Y631" s="3"/>
      <c r="Z631" s="3"/>
      <c r="AB631" s="3"/>
      <c r="AC631" s="3"/>
      <c r="AD631" s="3"/>
      <c r="AE631" s="3"/>
      <c r="AF631" s="3"/>
      <c r="AG631" s="3"/>
      <c r="AH631" s="3"/>
      <c r="AI631" s="3"/>
      <c r="AK631" s="3"/>
      <c r="AL631" s="3"/>
      <c r="AM631" s="3"/>
      <c r="AN631" s="3"/>
      <c r="AO631" s="3"/>
      <c r="AP631" s="3"/>
      <c r="AQ631" s="3"/>
      <c r="AR631" s="3"/>
    </row>
    <row r="632" spans="1:44" ht="16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S632" s="3"/>
      <c r="T632" s="3"/>
      <c r="U632" s="3"/>
      <c r="V632" s="3"/>
      <c r="W632" s="3"/>
      <c r="X632" s="3"/>
      <c r="Y632" s="3"/>
      <c r="Z632" s="3"/>
      <c r="AB632" s="3"/>
      <c r="AC632" s="3"/>
      <c r="AD632" s="3"/>
      <c r="AE632" s="3"/>
      <c r="AF632" s="3"/>
      <c r="AG632" s="3"/>
      <c r="AH632" s="3"/>
      <c r="AI632" s="3"/>
      <c r="AK632" s="3"/>
      <c r="AL632" s="3"/>
      <c r="AM632" s="3"/>
      <c r="AN632" s="3"/>
      <c r="AO632" s="3"/>
      <c r="AP632" s="3"/>
      <c r="AQ632" s="3"/>
      <c r="AR632" s="3"/>
    </row>
    <row r="633" spans="1:44" ht="16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S633" s="3"/>
      <c r="T633" s="3"/>
      <c r="U633" s="3"/>
      <c r="V633" s="3"/>
      <c r="W633" s="3"/>
      <c r="X633" s="3"/>
      <c r="Y633" s="3"/>
      <c r="Z633" s="3"/>
      <c r="AB633" s="3"/>
      <c r="AC633" s="3"/>
      <c r="AD633" s="3"/>
      <c r="AE633" s="3"/>
      <c r="AF633" s="3"/>
      <c r="AG633" s="3"/>
      <c r="AH633" s="3"/>
      <c r="AI633" s="3"/>
      <c r="AK633" s="3"/>
      <c r="AL633" s="3"/>
      <c r="AM633" s="3"/>
      <c r="AN633" s="3"/>
      <c r="AO633" s="3"/>
      <c r="AP633" s="3"/>
      <c r="AQ633" s="3"/>
      <c r="AR633" s="3"/>
    </row>
    <row r="634" spans="1:44" ht="16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S634" s="3"/>
      <c r="T634" s="3"/>
      <c r="U634" s="3"/>
      <c r="V634" s="3"/>
      <c r="W634" s="3"/>
      <c r="X634" s="3"/>
      <c r="Y634" s="3"/>
      <c r="Z634" s="3"/>
      <c r="AB634" s="3"/>
      <c r="AC634" s="3"/>
      <c r="AD634" s="3"/>
      <c r="AE634" s="3"/>
      <c r="AF634" s="3"/>
      <c r="AG634" s="3"/>
      <c r="AH634" s="3"/>
      <c r="AI634" s="3"/>
      <c r="AK634" s="3"/>
      <c r="AL634" s="3"/>
      <c r="AM634" s="3"/>
      <c r="AN634" s="3"/>
      <c r="AO634" s="3"/>
      <c r="AP634" s="3"/>
      <c r="AQ634" s="3"/>
      <c r="AR634" s="3"/>
    </row>
    <row r="635" spans="1:44" ht="16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S635" s="3"/>
      <c r="T635" s="3"/>
      <c r="U635" s="3"/>
      <c r="V635" s="3"/>
      <c r="W635" s="3"/>
      <c r="X635" s="3"/>
      <c r="Y635" s="3"/>
      <c r="Z635" s="3"/>
      <c r="AB635" s="3"/>
      <c r="AC635" s="3"/>
      <c r="AD635" s="3"/>
      <c r="AE635" s="3"/>
      <c r="AF635" s="3"/>
      <c r="AG635" s="3"/>
      <c r="AH635" s="3"/>
      <c r="AI635" s="3"/>
      <c r="AK635" s="3"/>
      <c r="AL635" s="3"/>
      <c r="AM635" s="3"/>
      <c r="AN635" s="3"/>
      <c r="AO635" s="3"/>
      <c r="AP635" s="3"/>
      <c r="AQ635" s="3"/>
      <c r="AR635" s="3"/>
    </row>
    <row r="636" spans="1:44" ht="16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S636" s="3"/>
      <c r="T636" s="3"/>
      <c r="U636" s="3"/>
      <c r="V636" s="3"/>
      <c r="W636" s="3"/>
      <c r="X636" s="3"/>
      <c r="Y636" s="3"/>
      <c r="Z636" s="3"/>
      <c r="AB636" s="3"/>
      <c r="AC636" s="3"/>
      <c r="AD636" s="3"/>
      <c r="AE636" s="3"/>
      <c r="AF636" s="3"/>
      <c r="AG636" s="3"/>
      <c r="AH636" s="3"/>
      <c r="AI636" s="3"/>
      <c r="AK636" s="3"/>
      <c r="AL636" s="3"/>
      <c r="AM636" s="3"/>
      <c r="AN636" s="3"/>
      <c r="AO636" s="3"/>
      <c r="AP636" s="3"/>
      <c r="AQ636" s="3"/>
      <c r="AR636" s="3"/>
    </row>
    <row r="637" spans="1:44" ht="16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S637" s="3"/>
      <c r="T637" s="3"/>
      <c r="U637" s="3"/>
      <c r="V637" s="3"/>
      <c r="W637" s="3"/>
      <c r="X637" s="3"/>
      <c r="Y637" s="3"/>
      <c r="Z637" s="3"/>
      <c r="AB637" s="3"/>
      <c r="AC637" s="3"/>
      <c r="AD637" s="3"/>
      <c r="AE637" s="3"/>
      <c r="AF637" s="3"/>
      <c r="AG637" s="3"/>
      <c r="AH637" s="3"/>
      <c r="AI637" s="3"/>
      <c r="AK637" s="3"/>
      <c r="AL637" s="3"/>
      <c r="AM637" s="3"/>
      <c r="AN637" s="3"/>
      <c r="AO637" s="3"/>
      <c r="AP637" s="3"/>
      <c r="AQ637" s="3"/>
      <c r="AR637" s="3"/>
    </row>
    <row r="638" spans="1:44" ht="16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S638" s="3"/>
      <c r="T638" s="3"/>
      <c r="U638" s="3"/>
      <c r="V638" s="3"/>
      <c r="W638" s="3"/>
      <c r="X638" s="3"/>
      <c r="Y638" s="3"/>
      <c r="Z638" s="3"/>
      <c r="AB638" s="3"/>
      <c r="AC638" s="3"/>
      <c r="AD638" s="3"/>
      <c r="AE638" s="3"/>
      <c r="AF638" s="3"/>
      <c r="AG638" s="3"/>
      <c r="AH638" s="3"/>
      <c r="AI638" s="3"/>
      <c r="AK638" s="3"/>
      <c r="AL638" s="3"/>
      <c r="AM638" s="3"/>
      <c r="AN638" s="3"/>
      <c r="AO638" s="3"/>
      <c r="AP638" s="3"/>
      <c r="AQ638" s="3"/>
      <c r="AR638" s="3"/>
    </row>
    <row r="639" spans="1:44" ht="16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S639" s="3"/>
      <c r="T639" s="3"/>
      <c r="U639" s="3"/>
      <c r="V639" s="3"/>
      <c r="W639" s="3"/>
      <c r="X639" s="3"/>
      <c r="Y639" s="3"/>
      <c r="Z639" s="3"/>
      <c r="AB639" s="3"/>
      <c r="AC639" s="3"/>
      <c r="AD639" s="3"/>
      <c r="AE639" s="3"/>
      <c r="AF639" s="3"/>
      <c r="AG639" s="3"/>
      <c r="AH639" s="3"/>
      <c r="AI639" s="3"/>
      <c r="AK639" s="3"/>
      <c r="AL639" s="3"/>
      <c r="AM639" s="3"/>
      <c r="AN639" s="3"/>
      <c r="AO639" s="3"/>
      <c r="AP639" s="3"/>
      <c r="AQ639" s="3"/>
      <c r="AR639" s="3"/>
    </row>
    <row r="640" spans="1:44" ht="16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S640" s="3"/>
      <c r="T640" s="3"/>
      <c r="U640" s="3"/>
      <c r="V640" s="3"/>
      <c r="W640" s="3"/>
      <c r="X640" s="3"/>
      <c r="Y640" s="3"/>
      <c r="Z640" s="3"/>
      <c r="AB640" s="3"/>
      <c r="AC640" s="3"/>
      <c r="AD640" s="3"/>
      <c r="AE640" s="3"/>
      <c r="AF640" s="3"/>
      <c r="AG640" s="3"/>
      <c r="AH640" s="3"/>
      <c r="AI640" s="3"/>
      <c r="AK640" s="3"/>
      <c r="AL640" s="3"/>
      <c r="AM640" s="3"/>
      <c r="AN640" s="3"/>
      <c r="AO640" s="3"/>
      <c r="AP640" s="3"/>
      <c r="AQ640" s="3"/>
      <c r="AR640" s="3"/>
    </row>
    <row r="641" spans="1:44" ht="16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S641" s="3"/>
      <c r="T641" s="3"/>
      <c r="U641" s="3"/>
      <c r="V641" s="3"/>
      <c r="W641" s="3"/>
      <c r="X641" s="3"/>
      <c r="Y641" s="3"/>
      <c r="Z641" s="3"/>
      <c r="AB641" s="3"/>
      <c r="AC641" s="3"/>
      <c r="AD641" s="3"/>
      <c r="AE641" s="3"/>
      <c r="AF641" s="3"/>
      <c r="AG641" s="3"/>
      <c r="AH641" s="3"/>
      <c r="AI641" s="3"/>
      <c r="AK641" s="3"/>
      <c r="AL641" s="3"/>
      <c r="AM641" s="3"/>
      <c r="AN641" s="3"/>
      <c r="AO641" s="3"/>
      <c r="AP641" s="3"/>
      <c r="AQ641" s="3"/>
      <c r="AR641" s="3"/>
    </row>
    <row r="642" spans="1:44" ht="16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S642" s="3"/>
      <c r="T642" s="3"/>
      <c r="U642" s="3"/>
      <c r="V642" s="3"/>
      <c r="W642" s="3"/>
      <c r="X642" s="3"/>
      <c r="Y642" s="3"/>
      <c r="Z642" s="3"/>
      <c r="AB642" s="3"/>
      <c r="AC642" s="3"/>
      <c r="AD642" s="3"/>
      <c r="AE642" s="3"/>
      <c r="AF642" s="3"/>
      <c r="AG642" s="3"/>
      <c r="AH642" s="3"/>
      <c r="AI642" s="3"/>
      <c r="AK642" s="3"/>
      <c r="AL642" s="3"/>
      <c r="AM642" s="3"/>
      <c r="AN642" s="3"/>
      <c r="AO642" s="3"/>
      <c r="AP642" s="3"/>
      <c r="AQ642" s="3"/>
      <c r="AR642" s="3"/>
    </row>
    <row r="643" spans="1:44" ht="16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S643" s="3"/>
      <c r="T643" s="3"/>
      <c r="U643" s="3"/>
      <c r="V643" s="3"/>
      <c r="W643" s="3"/>
      <c r="X643" s="3"/>
      <c r="Y643" s="3"/>
      <c r="Z643" s="3"/>
      <c r="AB643" s="3"/>
      <c r="AC643" s="3"/>
      <c r="AD643" s="3"/>
      <c r="AE643" s="3"/>
      <c r="AF643" s="3"/>
      <c r="AG643" s="3"/>
      <c r="AH643" s="3"/>
      <c r="AI643" s="3"/>
      <c r="AK643" s="3"/>
      <c r="AL643" s="3"/>
      <c r="AM643" s="3"/>
      <c r="AN643" s="3"/>
      <c r="AO643" s="3"/>
      <c r="AP643" s="3"/>
      <c r="AQ643" s="3"/>
      <c r="AR643" s="3"/>
    </row>
    <row r="644" spans="1:44" ht="16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S644" s="3"/>
      <c r="T644" s="3"/>
      <c r="U644" s="3"/>
      <c r="V644" s="3"/>
      <c r="W644" s="3"/>
      <c r="X644" s="3"/>
      <c r="Y644" s="3"/>
      <c r="Z644" s="3"/>
      <c r="AB644" s="3"/>
      <c r="AC644" s="3"/>
      <c r="AD644" s="3"/>
      <c r="AE644" s="3"/>
      <c r="AF644" s="3"/>
      <c r="AG644" s="3"/>
      <c r="AH644" s="3"/>
      <c r="AI644" s="3"/>
      <c r="AK644" s="3"/>
      <c r="AL644" s="3"/>
      <c r="AM644" s="3"/>
      <c r="AN644" s="3"/>
      <c r="AO644" s="3"/>
      <c r="AP644" s="3"/>
      <c r="AQ644" s="3"/>
      <c r="AR644" s="3"/>
    </row>
    <row r="645" spans="1:44" ht="16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S645" s="3"/>
      <c r="T645" s="3"/>
      <c r="U645" s="3"/>
      <c r="V645" s="3"/>
      <c r="W645" s="3"/>
      <c r="X645" s="3"/>
      <c r="Y645" s="3"/>
      <c r="Z645" s="3"/>
      <c r="AB645" s="3"/>
      <c r="AC645" s="3"/>
      <c r="AD645" s="3"/>
      <c r="AE645" s="3"/>
      <c r="AF645" s="3"/>
      <c r="AG645" s="3"/>
      <c r="AH645" s="3"/>
      <c r="AI645" s="3"/>
      <c r="AK645" s="3"/>
      <c r="AL645" s="3"/>
      <c r="AM645" s="3"/>
      <c r="AN645" s="3"/>
      <c r="AO645" s="3"/>
      <c r="AP645" s="3"/>
      <c r="AQ645" s="3"/>
      <c r="AR645" s="3"/>
    </row>
    <row r="646" spans="1:44" ht="16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S646" s="3"/>
      <c r="T646" s="3"/>
      <c r="U646" s="3"/>
      <c r="V646" s="3"/>
      <c r="W646" s="3"/>
      <c r="X646" s="3"/>
      <c r="Y646" s="3"/>
      <c r="Z646" s="3"/>
      <c r="AB646" s="3"/>
      <c r="AC646" s="3"/>
      <c r="AD646" s="3"/>
      <c r="AE646" s="3"/>
      <c r="AF646" s="3"/>
      <c r="AG646" s="3"/>
      <c r="AH646" s="3"/>
      <c r="AI646" s="3"/>
      <c r="AK646" s="3"/>
      <c r="AL646" s="3"/>
      <c r="AM646" s="3"/>
      <c r="AN646" s="3"/>
      <c r="AO646" s="3"/>
      <c r="AP646" s="3"/>
      <c r="AQ646" s="3"/>
      <c r="AR646" s="3"/>
    </row>
    <row r="647" spans="1:44" ht="16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S647" s="3"/>
      <c r="T647" s="3"/>
      <c r="U647" s="3"/>
      <c r="V647" s="3"/>
      <c r="W647" s="3"/>
      <c r="X647" s="3"/>
      <c r="Y647" s="3"/>
      <c r="Z647" s="3"/>
      <c r="AB647" s="3"/>
      <c r="AC647" s="3"/>
      <c r="AD647" s="3"/>
      <c r="AE647" s="3"/>
      <c r="AF647" s="3"/>
      <c r="AG647" s="3"/>
      <c r="AH647" s="3"/>
      <c r="AI647" s="3"/>
      <c r="AK647" s="3"/>
      <c r="AL647" s="3"/>
      <c r="AM647" s="3"/>
      <c r="AN647" s="3"/>
      <c r="AO647" s="3"/>
      <c r="AP647" s="3"/>
      <c r="AQ647" s="3"/>
      <c r="AR647" s="3"/>
    </row>
    <row r="648" spans="1:44" ht="16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S648" s="3"/>
      <c r="T648" s="3"/>
      <c r="U648" s="3"/>
      <c r="V648" s="3"/>
      <c r="W648" s="3"/>
      <c r="X648" s="3"/>
      <c r="Y648" s="3"/>
      <c r="Z648" s="3"/>
      <c r="AB648" s="3"/>
      <c r="AC648" s="3"/>
      <c r="AD648" s="3"/>
      <c r="AE648" s="3"/>
      <c r="AF648" s="3"/>
      <c r="AG648" s="3"/>
      <c r="AH648" s="3"/>
      <c r="AI648" s="3"/>
      <c r="AK648" s="3"/>
      <c r="AL648" s="3"/>
      <c r="AM648" s="3"/>
      <c r="AN648" s="3"/>
      <c r="AO648" s="3"/>
      <c r="AP648" s="3"/>
      <c r="AQ648" s="3"/>
      <c r="AR648" s="3"/>
    </row>
    <row r="649" spans="1:44" ht="16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S649" s="3"/>
      <c r="T649" s="3"/>
      <c r="U649" s="3"/>
      <c r="V649" s="3"/>
      <c r="W649" s="3"/>
      <c r="X649" s="3"/>
      <c r="Y649" s="3"/>
      <c r="Z649" s="3"/>
      <c r="AB649" s="3"/>
      <c r="AC649" s="3"/>
      <c r="AD649" s="3"/>
      <c r="AE649" s="3"/>
      <c r="AF649" s="3"/>
      <c r="AG649" s="3"/>
      <c r="AH649" s="3"/>
      <c r="AI649" s="3"/>
      <c r="AK649" s="3"/>
      <c r="AL649" s="3"/>
      <c r="AM649" s="3"/>
      <c r="AN649" s="3"/>
      <c r="AO649" s="3"/>
      <c r="AP649" s="3"/>
      <c r="AQ649" s="3"/>
      <c r="AR649" s="3"/>
    </row>
    <row r="650" spans="1:44" ht="16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S650" s="3"/>
      <c r="T650" s="3"/>
      <c r="U650" s="3"/>
      <c r="V650" s="3"/>
      <c r="W650" s="3"/>
      <c r="X650" s="3"/>
      <c r="Y650" s="3"/>
      <c r="Z650" s="3"/>
      <c r="AB650" s="3"/>
      <c r="AC650" s="3"/>
      <c r="AD650" s="3"/>
      <c r="AE650" s="3"/>
      <c r="AF650" s="3"/>
      <c r="AG650" s="3"/>
      <c r="AH650" s="3"/>
      <c r="AI650" s="3"/>
      <c r="AK650" s="3"/>
      <c r="AL650" s="3"/>
      <c r="AM650" s="3"/>
      <c r="AN650" s="3"/>
      <c r="AO650" s="3"/>
      <c r="AP650" s="3"/>
      <c r="AQ650" s="3"/>
      <c r="AR650" s="3"/>
    </row>
    <row r="651" spans="1:44" ht="16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S651" s="3"/>
      <c r="T651" s="3"/>
      <c r="U651" s="3"/>
      <c r="V651" s="3"/>
      <c r="W651" s="3"/>
      <c r="X651" s="3"/>
      <c r="Y651" s="3"/>
      <c r="Z651" s="3"/>
      <c r="AB651" s="3"/>
      <c r="AC651" s="3"/>
      <c r="AD651" s="3"/>
      <c r="AE651" s="3"/>
      <c r="AF651" s="3"/>
      <c r="AG651" s="3"/>
      <c r="AH651" s="3"/>
      <c r="AI651" s="3"/>
      <c r="AK651" s="3"/>
      <c r="AL651" s="3"/>
      <c r="AM651" s="3"/>
      <c r="AN651" s="3"/>
      <c r="AO651" s="3"/>
      <c r="AP651" s="3"/>
      <c r="AQ651" s="3"/>
      <c r="AR651" s="3"/>
    </row>
    <row r="652" spans="1:44" ht="16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S652" s="3"/>
      <c r="T652" s="3"/>
      <c r="U652" s="3"/>
      <c r="V652" s="3"/>
      <c r="W652" s="3"/>
      <c r="X652" s="3"/>
      <c r="Y652" s="3"/>
      <c r="Z652" s="3"/>
      <c r="AB652" s="3"/>
      <c r="AC652" s="3"/>
      <c r="AD652" s="3"/>
      <c r="AE652" s="3"/>
      <c r="AF652" s="3"/>
      <c r="AG652" s="3"/>
      <c r="AH652" s="3"/>
      <c r="AI652" s="3"/>
      <c r="AK652" s="3"/>
      <c r="AL652" s="3"/>
      <c r="AM652" s="3"/>
      <c r="AN652" s="3"/>
      <c r="AO652" s="3"/>
      <c r="AP652" s="3"/>
      <c r="AQ652" s="3"/>
      <c r="AR652" s="3"/>
    </row>
    <row r="653" spans="1:44" ht="16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S653" s="3"/>
      <c r="T653" s="3"/>
      <c r="U653" s="3"/>
      <c r="V653" s="3"/>
      <c r="W653" s="3"/>
      <c r="X653" s="3"/>
      <c r="Y653" s="3"/>
      <c r="Z653" s="3"/>
      <c r="AB653" s="3"/>
      <c r="AC653" s="3"/>
      <c r="AD653" s="3"/>
      <c r="AE653" s="3"/>
      <c r="AF653" s="3"/>
      <c r="AG653" s="3"/>
      <c r="AH653" s="3"/>
      <c r="AI653" s="3"/>
      <c r="AK653" s="3"/>
      <c r="AL653" s="3"/>
      <c r="AM653" s="3"/>
      <c r="AN653" s="3"/>
      <c r="AO653" s="3"/>
      <c r="AP653" s="3"/>
      <c r="AQ653" s="3"/>
      <c r="AR653" s="3"/>
    </row>
    <row r="654" spans="1:44" ht="16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S654" s="3"/>
      <c r="T654" s="3"/>
      <c r="U654" s="3"/>
      <c r="V654" s="3"/>
      <c r="W654" s="3"/>
      <c r="X654" s="3"/>
      <c r="Y654" s="3"/>
      <c r="Z654" s="3"/>
      <c r="AB654" s="3"/>
      <c r="AC654" s="3"/>
      <c r="AD654" s="3"/>
      <c r="AE654" s="3"/>
      <c r="AF654" s="3"/>
      <c r="AG654" s="3"/>
      <c r="AH654" s="3"/>
      <c r="AI654" s="3"/>
      <c r="AK654" s="3"/>
      <c r="AL654" s="3"/>
      <c r="AM654" s="3"/>
      <c r="AN654" s="3"/>
      <c r="AO654" s="3"/>
      <c r="AP654" s="3"/>
      <c r="AQ654" s="3"/>
      <c r="AR654" s="3"/>
    </row>
    <row r="655" spans="1:44" ht="16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S655" s="3"/>
      <c r="T655" s="3"/>
      <c r="U655" s="3"/>
      <c r="V655" s="3"/>
      <c r="W655" s="3"/>
      <c r="X655" s="3"/>
      <c r="Y655" s="3"/>
      <c r="Z655" s="3"/>
      <c r="AB655" s="3"/>
      <c r="AC655" s="3"/>
      <c r="AD655" s="3"/>
      <c r="AE655" s="3"/>
      <c r="AF655" s="3"/>
      <c r="AG655" s="3"/>
      <c r="AH655" s="3"/>
      <c r="AI655" s="3"/>
      <c r="AK655" s="3"/>
      <c r="AL655" s="3"/>
      <c r="AM655" s="3"/>
      <c r="AN655" s="3"/>
      <c r="AO655" s="3"/>
      <c r="AP655" s="3"/>
      <c r="AQ655" s="3"/>
      <c r="AR655" s="3"/>
    </row>
    <row r="656" spans="1:44" ht="16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S656" s="3"/>
      <c r="T656" s="3"/>
      <c r="U656" s="3"/>
      <c r="V656" s="3"/>
      <c r="W656" s="3"/>
      <c r="X656" s="3"/>
      <c r="Y656" s="3"/>
      <c r="Z656" s="3"/>
      <c r="AB656" s="3"/>
      <c r="AC656" s="3"/>
      <c r="AD656" s="3"/>
      <c r="AE656" s="3"/>
      <c r="AF656" s="3"/>
      <c r="AG656" s="3"/>
      <c r="AH656" s="3"/>
      <c r="AI656" s="3"/>
      <c r="AK656" s="3"/>
      <c r="AL656" s="3"/>
      <c r="AM656" s="3"/>
      <c r="AN656" s="3"/>
      <c r="AO656" s="3"/>
      <c r="AP656" s="3"/>
      <c r="AQ656" s="3"/>
      <c r="AR656" s="3"/>
    </row>
    <row r="657" spans="1:44" ht="16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S657" s="3"/>
      <c r="T657" s="3"/>
      <c r="U657" s="3"/>
      <c r="V657" s="3"/>
      <c r="W657" s="3"/>
      <c r="X657" s="3"/>
      <c r="Y657" s="3"/>
      <c r="Z657" s="3"/>
      <c r="AB657" s="3"/>
      <c r="AC657" s="3"/>
      <c r="AD657" s="3"/>
      <c r="AE657" s="3"/>
      <c r="AF657" s="3"/>
      <c r="AG657" s="3"/>
      <c r="AH657" s="3"/>
      <c r="AI657" s="3"/>
      <c r="AK657" s="3"/>
      <c r="AL657" s="3"/>
      <c r="AM657" s="3"/>
      <c r="AN657" s="3"/>
      <c r="AO657" s="3"/>
      <c r="AP657" s="3"/>
      <c r="AQ657" s="3"/>
      <c r="AR657" s="3"/>
    </row>
    <row r="658" spans="1:44" ht="16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S658" s="3"/>
      <c r="T658" s="3"/>
      <c r="U658" s="3"/>
      <c r="V658" s="3"/>
      <c r="W658" s="3"/>
      <c r="X658" s="3"/>
      <c r="Y658" s="3"/>
      <c r="Z658" s="3"/>
      <c r="AB658" s="3"/>
      <c r="AC658" s="3"/>
      <c r="AD658" s="3"/>
      <c r="AE658" s="3"/>
      <c r="AF658" s="3"/>
      <c r="AG658" s="3"/>
      <c r="AH658" s="3"/>
      <c r="AI658" s="3"/>
      <c r="AK658" s="3"/>
      <c r="AL658" s="3"/>
      <c r="AM658" s="3"/>
      <c r="AN658" s="3"/>
      <c r="AO658" s="3"/>
      <c r="AP658" s="3"/>
      <c r="AQ658" s="3"/>
      <c r="AR658" s="3"/>
    </row>
    <row r="659" spans="1:44" ht="16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S659" s="3"/>
      <c r="T659" s="3"/>
      <c r="U659" s="3"/>
      <c r="V659" s="3"/>
      <c r="W659" s="3"/>
      <c r="X659" s="3"/>
      <c r="Y659" s="3"/>
      <c r="Z659" s="3"/>
      <c r="AB659" s="3"/>
      <c r="AC659" s="3"/>
      <c r="AD659" s="3"/>
      <c r="AE659" s="3"/>
      <c r="AF659" s="3"/>
      <c r="AG659" s="3"/>
      <c r="AH659" s="3"/>
      <c r="AI659" s="3"/>
      <c r="AK659" s="3"/>
      <c r="AL659" s="3"/>
      <c r="AM659" s="3"/>
      <c r="AN659" s="3"/>
      <c r="AO659" s="3"/>
      <c r="AP659" s="3"/>
      <c r="AQ659" s="3"/>
      <c r="AR659" s="3"/>
    </row>
    <row r="660" spans="1:44" ht="16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S660" s="3"/>
      <c r="T660" s="3"/>
      <c r="U660" s="3"/>
      <c r="V660" s="3"/>
      <c r="W660" s="3"/>
      <c r="X660" s="3"/>
      <c r="Y660" s="3"/>
      <c r="Z660" s="3"/>
      <c r="AB660" s="3"/>
      <c r="AC660" s="3"/>
      <c r="AD660" s="3"/>
      <c r="AE660" s="3"/>
      <c r="AF660" s="3"/>
      <c r="AG660" s="3"/>
      <c r="AH660" s="3"/>
      <c r="AI660" s="3"/>
      <c r="AK660" s="3"/>
      <c r="AL660" s="3"/>
      <c r="AM660" s="3"/>
      <c r="AN660" s="3"/>
      <c r="AO660" s="3"/>
      <c r="AP660" s="3"/>
      <c r="AQ660" s="3"/>
      <c r="AR660" s="3"/>
    </row>
    <row r="661" spans="1:44" ht="16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S661" s="3"/>
      <c r="T661" s="3"/>
      <c r="U661" s="3"/>
      <c r="V661" s="3"/>
      <c r="W661" s="3"/>
      <c r="X661" s="3"/>
      <c r="Y661" s="3"/>
      <c r="Z661" s="3"/>
      <c r="AB661" s="3"/>
      <c r="AC661" s="3"/>
      <c r="AD661" s="3"/>
      <c r="AE661" s="3"/>
      <c r="AF661" s="3"/>
      <c r="AG661" s="3"/>
      <c r="AH661" s="3"/>
      <c r="AI661" s="3"/>
      <c r="AK661" s="3"/>
      <c r="AL661" s="3"/>
      <c r="AM661" s="3"/>
      <c r="AN661" s="3"/>
      <c r="AO661" s="3"/>
      <c r="AP661" s="3"/>
      <c r="AQ661" s="3"/>
      <c r="AR661" s="3"/>
    </row>
    <row r="662" spans="1:44" ht="16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S662" s="3"/>
      <c r="T662" s="3"/>
      <c r="U662" s="3"/>
      <c r="V662" s="3"/>
      <c r="W662" s="3"/>
      <c r="X662" s="3"/>
      <c r="Y662" s="3"/>
      <c r="Z662" s="3"/>
      <c r="AB662" s="3"/>
      <c r="AC662" s="3"/>
      <c r="AD662" s="3"/>
      <c r="AE662" s="3"/>
      <c r="AF662" s="3"/>
      <c r="AG662" s="3"/>
      <c r="AH662" s="3"/>
      <c r="AI662" s="3"/>
      <c r="AK662" s="3"/>
      <c r="AL662" s="3"/>
      <c r="AM662" s="3"/>
      <c r="AN662" s="3"/>
      <c r="AO662" s="3"/>
      <c r="AP662" s="3"/>
      <c r="AQ662" s="3"/>
      <c r="AR662" s="3"/>
    </row>
    <row r="663" spans="1:44" ht="16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S663" s="3"/>
      <c r="T663" s="3"/>
      <c r="U663" s="3"/>
      <c r="V663" s="3"/>
      <c r="W663" s="3"/>
      <c r="X663" s="3"/>
      <c r="Y663" s="3"/>
      <c r="Z663" s="3"/>
      <c r="AB663" s="3"/>
      <c r="AC663" s="3"/>
      <c r="AD663" s="3"/>
      <c r="AE663" s="3"/>
      <c r="AF663" s="3"/>
      <c r="AG663" s="3"/>
      <c r="AH663" s="3"/>
      <c r="AI663" s="3"/>
      <c r="AK663" s="3"/>
      <c r="AL663" s="3"/>
      <c r="AM663" s="3"/>
      <c r="AN663" s="3"/>
      <c r="AO663" s="3"/>
      <c r="AP663" s="3"/>
      <c r="AQ663" s="3"/>
      <c r="AR663" s="3"/>
    </row>
    <row r="664" spans="1:44" ht="16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S664" s="3"/>
      <c r="T664" s="3"/>
      <c r="U664" s="3"/>
      <c r="V664" s="3"/>
      <c r="W664" s="3"/>
      <c r="X664" s="3"/>
      <c r="Y664" s="3"/>
      <c r="Z664" s="3"/>
      <c r="AB664" s="3"/>
      <c r="AC664" s="3"/>
      <c r="AD664" s="3"/>
      <c r="AE664" s="3"/>
      <c r="AF664" s="3"/>
      <c r="AG664" s="3"/>
      <c r="AH664" s="3"/>
      <c r="AI664" s="3"/>
      <c r="AK664" s="3"/>
      <c r="AL664" s="3"/>
      <c r="AM664" s="3"/>
      <c r="AN664" s="3"/>
      <c r="AO664" s="3"/>
      <c r="AP664" s="3"/>
      <c r="AQ664" s="3"/>
      <c r="AR664" s="3"/>
    </row>
    <row r="665" spans="1:44" ht="16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S665" s="3"/>
      <c r="T665" s="3"/>
      <c r="U665" s="3"/>
      <c r="V665" s="3"/>
      <c r="W665" s="3"/>
      <c r="X665" s="3"/>
      <c r="Y665" s="3"/>
      <c r="Z665" s="3"/>
      <c r="AB665" s="3"/>
      <c r="AC665" s="3"/>
      <c r="AD665" s="3"/>
      <c r="AE665" s="3"/>
      <c r="AF665" s="3"/>
      <c r="AG665" s="3"/>
      <c r="AH665" s="3"/>
      <c r="AI665" s="3"/>
      <c r="AK665" s="3"/>
      <c r="AL665" s="3"/>
      <c r="AM665" s="3"/>
      <c r="AN665" s="3"/>
      <c r="AO665" s="3"/>
      <c r="AP665" s="3"/>
      <c r="AQ665" s="3"/>
      <c r="AR665" s="3"/>
    </row>
    <row r="666" spans="1:44" ht="16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S666" s="3"/>
      <c r="T666" s="3"/>
      <c r="U666" s="3"/>
      <c r="V666" s="3"/>
      <c r="W666" s="3"/>
      <c r="X666" s="3"/>
      <c r="Y666" s="3"/>
      <c r="Z666" s="3"/>
      <c r="AB666" s="3"/>
      <c r="AC666" s="3"/>
      <c r="AD666" s="3"/>
      <c r="AE666" s="3"/>
      <c r="AF666" s="3"/>
      <c r="AG666" s="3"/>
      <c r="AH666" s="3"/>
      <c r="AI666" s="3"/>
      <c r="AK666" s="3"/>
      <c r="AL666" s="3"/>
      <c r="AM666" s="3"/>
      <c r="AN666" s="3"/>
      <c r="AO666" s="3"/>
      <c r="AP666" s="3"/>
      <c r="AQ666" s="3"/>
      <c r="AR666" s="3"/>
    </row>
    <row r="667" spans="1:44" ht="16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S667" s="3"/>
      <c r="T667" s="3"/>
      <c r="U667" s="3"/>
      <c r="V667" s="3"/>
      <c r="W667" s="3"/>
      <c r="X667" s="3"/>
      <c r="Y667" s="3"/>
      <c r="Z667" s="3"/>
      <c r="AB667" s="3"/>
      <c r="AC667" s="3"/>
      <c r="AD667" s="3"/>
      <c r="AE667" s="3"/>
      <c r="AF667" s="3"/>
      <c r="AG667" s="3"/>
      <c r="AH667" s="3"/>
      <c r="AI667" s="3"/>
      <c r="AK667" s="3"/>
      <c r="AL667" s="3"/>
      <c r="AM667" s="3"/>
      <c r="AN667" s="3"/>
      <c r="AO667" s="3"/>
      <c r="AP667" s="3"/>
      <c r="AQ667" s="3"/>
      <c r="AR667" s="3"/>
    </row>
    <row r="668" spans="1:44" ht="16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S668" s="3"/>
      <c r="T668" s="3"/>
      <c r="U668" s="3"/>
      <c r="V668" s="3"/>
      <c r="W668" s="3"/>
      <c r="X668" s="3"/>
      <c r="Y668" s="3"/>
      <c r="Z668" s="3"/>
      <c r="AB668" s="3"/>
      <c r="AC668" s="3"/>
      <c r="AD668" s="3"/>
      <c r="AE668" s="3"/>
      <c r="AF668" s="3"/>
      <c r="AG668" s="3"/>
      <c r="AH668" s="3"/>
      <c r="AI668" s="3"/>
      <c r="AK668" s="3"/>
      <c r="AL668" s="3"/>
      <c r="AM668" s="3"/>
      <c r="AN668" s="3"/>
      <c r="AO668" s="3"/>
      <c r="AP668" s="3"/>
      <c r="AQ668" s="3"/>
      <c r="AR668" s="3"/>
    </row>
    <row r="669" spans="1:44" ht="16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S669" s="3"/>
      <c r="T669" s="3"/>
      <c r="U669" s="3"/>
      <c r="V669" s="3"/>
      <c r="W669" s="3"/>
      <c r="X669" s="3"/>
      <c r="Y669" s="3"/>
      <c r="Z669" s="3"/>
      <c r="AB669" s="3"/>
      <c r="AC669" s="3"/>
      <c r="AD669" s="3"/>
      <c r="AE669" s="3"/>
      <c r="AF669" s="3"/>
      <c r="AG669" s="3"/>
      <c r="AH669" s="3"/>
      <c r="AI669" s="3"/>
      <c r="AK669" s="3"/>
      <c r="AL669" s="3"/>
      <c r="AM669" s="3"/>
      <c r="AN669" s="3"/>
      <c r="AO669" s="3"/>
      <c r="AP669" s="3"/>
      <c r="AQ669" s="3"/>
      <c r="AR669" s="3"/>
    </row>
    <row r="670" spans="1:44" ht="16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S670" s="3"/>
      <c r="T670" s="3"/>
      <c r="U670" s="3"/>
      <c r="V670" s="3"/>
      <c r="W670" s="3"/>
      <c r="X670" s="3"/>
      <c r="Y670" s="3"/>
      <c r="Z670" s="3"/>
      <c r="AB670" s="3"/>
      <c r="AC670" s="3"/>
      <c r="AD670" s="3"/>
      <c r="AE670" s="3"/>
      <c r="AF670" s="3"/>
      <c r="AG670" s="3"/>
      <c r="AH670" s="3"/>
      <c r="AI670" s="3"/>
      <c r="AK670" s="3"/>
      <c r="AL670" s="3"/>
      <c r="AM670" s="3"/>
      <c r="AN670" s="3"/>
      <c r="AO670" s="3"/>
      <c r="AP670" s="3"/>
      <c r="AQ670" s="3"/>
      <c r="AR670" s="3"/>
    </row>
    <row r="671" spans="1:44" ht="16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S671" s="3"/>
      <c r="T671" s="3"/>
      <c r="U671" s="3"/>
      <c r="V671" s="3"/>
      <c r="W671" s="3"/>
      <c r="X671" s="3"/>
      <c r="Y671" s="3"/>
      <c r="Z671" s="3"/>
      <c r="AB671" s="3"/>
      <c r="AC671" s="3"/>
      <c r="AD671" s="3"/>
      <c r="AE671" s="3"/>
      <c r="AF671" s="3"/>
      <c r="AG671" s="3"/>
      <c r="AH671" s="3"/>
      <c r="AI671" s="3"/>
      <c r="AK671" s="3"/>
      <c r="AL671" s="3"/>
      <c r="AM671" s="3"/>
      <c r="AN671" s="3"/>
      <c r="AO671" s="3"/>
      <c r="AP671" s="3"/>
      <c r="AQ671" s="3"/>
      <c r="AR671" s="3"/>
    </row>
    <row r="672" spans="1:44" ht="16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S672" s="3"/>
      <c r="T672" s="3"/>
      <c r="U672" s="3"/>
      <c r="V672" s="3"/>
      <c r="W672" s="3"/>
      <c r="X672" s="3"/>
      <c r="Y672" s="3"/>
      <c r="Z672" s="3"/>
      <c r="AB672" s="3"/>
      <c r="AC672" s="3"/>
      <c r="AD672" s="3"/>
      <c r="AE672" s="3"/>
      <c r="AF672" s="3"/>
      <c r="AG672" s="3"/>
      <c r="AH672" s="3"/>
      <c r="AI672" s="3"/>
      <c r="AK672" s="3"/>
      <c r="AL672" s="3"/>
      <c r="AM672" s="3"/>
      <c r="AN672" s="3"/>
      <c r="AO672" s="3"/>
      <c r="AP672" s="3"/>
      <c r="AQ672" s="3"/>
      <c r="AR672" s="3"/>
    </row>
    <row r="673" spans="1:44" ht="16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S673" s="3"/>
      <c r="T673" s="3"/>
      <c r="U673" s="3"/>
      <c r="V673" s="3"/>
      <c r="W673" s="3"/>
      <c r="X673" s="3"/>
      <c r="Y673" s="3"/>
      <c r="Z673" s="3"/>
      <c r="AB673" s="3"/>
      <c r="AC673" s="3"/>
      <c r="AD673" s="3"/>
      <c r="AE673" s="3"/>
      <c r="AF673" s="3"/>
      <c r="AG673" s="3"/>
      <c r="AH673" s="3"/>
      <c r="AI673" s="3"/>
      <c r="AK673" s="3"/>
      <c r="AL673" s="3"/>
      <c r="AM673" s="3"/>
      <c r="AN673" s="3"/>
      <c r="AO673" s="3"/>
      <c r="AP673" s="3"/>
      <c r="AQ673" s="3"/>
      <c r="AR673" s="3"/>
    </row>
    <row r="674" spans="1:44" ht="16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S674" s="3"/>
      <c r="T674" s="3"/>
      <c r="U674" s="3"/>
      <c r="V674" s="3"/>
      <c r="W674" s="3"/>
      <c r="X674" s="3"/>
      <c r="Y674" s="3"/>
      <c r="Z674" s="3"/>
      <c r="AB674" s="3"/>
      <c r="AC674" s="3"/>
      <c r="AD674" s="3"/>
      <c r="AE674" s="3"/>
      <c r="AF674" s="3"/>
      <c r="AG674" s="3"/>
      <c r="AH674" s="3"/>
      <c r="AI674" s="3"/>
      <c r="AK674" s="3"/>
      <c r="AL674" s="3"/>
      <c r="AM674" s="3"/>
      <c r="AN674" s="3"/>
      <c r="AO674" s="3"/>
      <c r="AP674" s="3"/>
      <c r="AQ674" s="3"/>
      <c r="AR674" s="3"/>
    </row>
    <row r="675" spans="1:44" ht="16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S675" s="3"/>
      <c r="T675" s="3"/>
      <c r="U675" s="3"/>
      <c r="V675" s="3"/>
      <c r="W675" s="3"/>
      <c r="X675" s="3"/>
      <c r="Y675" s="3"/>
      <c r="Z675" s="3"/>
      <c r="AB675" s="3"/>
      <c r="AC675" s="3"/>
      <c r="AD675" s="3"/>
      <c r="AE675" s="3"/>
      <c r="AF675" s="3"/>
      <c r="AG675" s="3"/>
      <c r="AH675" s="3"/>
      <c r="AI675" s="3"/>
      <c r="AK675" s="3"/>
      <c r="AL675" s="3"/>
      <c r="AM675" s="3"/>
      <c r="AN675" s="3"/>
      <c r="AO675" s="3"/>
      <c r="AP675" s="3"/>
      <c r="AQ675" s="3"/>
      <c r="AR675" s="3"/>
    </row>
    <row r="676" spans="1:44" ht="16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S676" s="3"/>
      <c r="T676" s="3"/>
      <c r="U676" s="3"/>
      <c r="V676" s="3"/>
      <c r="W676" s="3"/>
      <c r="X676" s="3"/>
      <c r="Y676" s="3"/>
      <c r="Z676" s="3"/>
      <c r="AB676" s="3"/>
      <c r="AC676" s="3"/>
      <c r="AD676" s="3"/>
      <c r="AE676" s="3"/>
      <c r="AF676" s="3"/>
      <c r="AG676" s="3"/>
      <c r="AH676" s="3"/>
      <c r="AI676" s="3"/>
      <c r="AK676" s="3"/>
      <c r="AL676" s="3"/>
      <c r="AM676" s="3"/>
      <c r="AN676" s="3"/>
      <c r="AO676" s="3"/>
      <c r="AP676" s="3"/>
      <c r="AQ676" s="3"/>
      <c r="AR676" s="3"/>
    </row>
    <row r="677" spans="1:44" ht="16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S677" s="3"/>
      <c r="T677" s="3"/>
      <c r="U677" s="3"/>
      <c r="V677" s="3"/>
      <c r="W677" s="3"/>
      <c r="X677" s="3"/>
      <c r="Y677" s="3"/>
      <c r="Z677" s="3"/>
      <c r="AB677" s="3"/>
      <c r="AC677" s="3"/>
      <c r="AD677" s="3"/>
      <c r="AE677" s="3"/>
      <c r="AF677" s="3"/>
      <c r="AG677" s="3"/>
      <c r="AH677" s="3"/>
      <c r="AI677" s="3"/>
      <c r="AK677" s="3"/>
      <c r="AL677" s="3"/>
      <c r="AM677" s="3"/>
      <c r="AN677" s="3"/>
      <c r="AO677" s="3"/>
      <c r="AP677" s="3"/>
      <c r="AQ677" s="3"/>
      <c r="AR677" s="3"/>
    </row>
    <row r="678" spans="1:44" ht="16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S678" s="3"/>
      <c r="T678" s="3"/>
      <c r="U678" s="3"/>
      <c r="V678" s="3"/>
      <c r="W678" s="3"/>
      <c r="X678" s="3"/>
      <c r="Y678" s="3"/>
      <c r="Z678" s="3"/>
      <c r="AB678" s="3"/>
      <c r="AC678" s="3"/>
      <c r="AD678" s="3"/>
      <c r="AE678" s="3"/>
      <c r="AF678" s="3"/>
      <c r="AG678" s="3"/>
      <c r="AH678" s="3"/>
      <c r="AI678" s="3"/>
      <c r="AK678" s="3"/>
      <c r="AL678" s="3"/>
      <c r="AM678" s="3"/>
      <c r="AN678" s="3"/>
      <c r="AO678" s="3"/>
      <c r="AP678" s="3"/>
      <c r="AQ678" s="3"/>
      <c r="AR678" s="3"/>
    </row>
    <row r="679" spans="1:44" ht="16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S679" s="3"/>
      <c r="T679" s="3"/>
      <c r="U679" s="3"/>
      <c r="V679" s="3"/>
      <c r="W679" s="3"/>
      <c r="X679" s="3"/>
      <c r="Y679" s="3"/>
      <c r="Z679" s="3"/>
      <c r="AB679" s="3"/>
      <c r="AC679" s="3"/>
      <c r="AD679" s="3"/>
      <c r="AE679" s="3"/>
      <c r="AF679" s="3"/>
      <c r="AG679" s="3"/>
      <c r="AH679" s="3"/>
      <c r="AI679" s="3"/>
      <c r="AK679" s="3"/>
      <c r="AL679" s="3"/>
      <c r="AM679" s="3"/>
      <c r="AN679" s="3"/>
      <c r="AO679" s="3"/>
      <c r="AP679" s="3"/>
      <c r="AQ679" s="3"/>
      <c r="AR679" s="3"/>
    </row>
    <row r="680" spans="1:44" ht="16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S680" s="3"/>
      <c r="T680" s="3"/>
      <c r="U680" s="3"/>
      <c r="V680" s="3"/>
      <c r="W680" s="3"/>
      <c r="X680" s="3"/>
      <c r="Y680" s="3"/>
      <c r="Z680" s="3"/>
      <c r="AB680" s="3"/>
      <c r="AC680" s="3"/>
      <c r="AD680" s="3"/>
      <c r="AE680" s="3"/>
      <c r="AF680" s="3"/>
      <c r="AG680" s="3"/>
      <c r="AH680" s="3"/>
      <c r="AI680" s="3"/>
      <c r="AK680" s="3"/>
      <c r="AL680" s="3"/>
      <c r="AM680" s="3"/>
      <c r="AN680" s="3"/>
      <c r="AO680" s="3"/>
      <c r="AP680" s="3"/>
      <c r="AQ680" s="3"/>
      <c r="AR680" s="3"/>
    </row>
    <row r="681" spans="1:44" ht="16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S681" s="3"/>
      <c r="T681" s="3"/>
      <c r="U681" s="3"/>
      <c r="V681" s="3"/>
      <c r="W681" s="3"/>
      <c r="X681" s="3"/>
      <c r="Y681" s="3"/>
      <c r="Z681" s="3"/>
      <c r="AB681" s="3"/>
      <c r="AC681" s="3"/>
      <c r="AD681" s="3"/>
      <c r="AE681" s="3"/>
      <c r="AF681" s="3"/>
      <c r="AG681" s="3"/>
      <c r="AH681" s="3"/>
      <c r="AI681" s="3"/>
      <c r="AK681" s="3"/>
      <c r="AL681" s="3"/>
      <c r="AM681" s="3"/>
      <c r="AN681" s="3"/>
      <c r="AO681" s="3"/>
      <c r="AP681" s="3"/>
      <c r="AQ681" s="3"/>
      <c r="AR681" s="3"/>
    </row>
    <row r="682" spans="1:44" ht="16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S682" s="3"/>
      <c r="T682" s="3"/>
      <c r="U682" s="3"/>
      <c r="V682" s="3"/>
      <c r="W682" s="3"/>
      <c r="X682" s="3"/>
      <c r="Y682" s="3"/>
      <c r="Z682" s="3"/>
      <c r="AB682" s="3"/>
      <c r="AC682" s="3"/>
      <c r="AD682" s="3"/>
      <c r="AE682" s="3"/>
      <c r="AF682" s="3"/>
      <c r="AG682" s="3"/>
      <c r="AH682" s="3"/>
      <c r="AI682" s="3"/>
      <c r="AK682" s="3"/>
      <c r="AL682" s="3"/>
      <c r="AM682" s="3"/>
      <c r="AN682" s="3"/>
      <c r="AO682" s="3"/>
      <c r="AP682" s="3"/>
      <c r="AQ682" s="3"/>
      <c r="AR682" s="3"/>
    </row>
    <row r="683" spans="1:44" ht="16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S683" s="3"/>
      <c r="T683" s="3"/>
      <c r="U683" s="3"/>
      <c r="V683" s="3"/>
      <c r="W683" s="3"/>
      <c r="X683" s="3"/>
      <c r="Y683" s="3"/>
      <c r="Z683" s="3"/>
      <c r="AB683" s="3"/>
      <c r="AC683" s="3"/>
      <c r="AD683" s="3"/>
      <c r="AE683" s="3"/>
      <c r="AF683" s="3"/>
      <c r="AG683" s="3"/>
      <c r="AH683" s="3"/>
      <c r="AI683" s="3"/>
      <c r="AK683" s="3"/>
      <c r="AL683" s="3"/>
      <c r="AM683" s="3"/>
      <c r="AN683" s="3"/>
      <c r="AO683" s="3"/>
      <c r="AP683" s="3"/>
      <c r="AQ683" s="3"/>
      <c r="AR683" s="3"/>
    </row>
    <row r="684" spans="1:44" ht="16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S684" s="3"/>
      <c r="T684" s="3"/>
      <c r="U684" s="3"/>
      <c r="V684" s="3"/>
      <c r="W684" s="3"/>
      <c r="X684" s="3"/>
      <c r="Y684" s="3"/>
      <c r="Z684" s="3"/>
      <c r="AB684" s="3"/>
      <c r="AC684" s="3"/>
      <c r="AD684" s="3"/>
      <c r="AE684" s="3"/>
      <c r="AF684" s="3"/>
      <c r="AG684" s="3"/>
      <c r="AH684" s="3"/>
      <c r="AI684" s="3"/>
      <c r="AK684" s="3"/>
      <c r="AL684" s="3"/>
      <c r="AM684" s="3"/>
      <c r="AN684" s="3"/>
      <c r="AO684" s="3"/>
      <c r="AP684" s="3"/>
      <c r="AQ684" s="3"/>
      <c r="AR684" s="3"/>
    </row>
    <row r="685" spans="1:44" ht="16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S685" s="3"/>
      <c r="T685" s="3"/>
      <c r="U685" s="3"/>
      <c r="V685" s="3"/>
      <c r="W685" s="3"/>
      <c r="X685" s="3"/>
      <c r="Y685" s="3"/>
      <c r="Z685" s="3"/>
      <c r="AB685" s="3"/>
      <c r="AC685" s="3"/>
      <c r="AD685" s="3"/>
      <c r="AE685" s="3"/>
      <c r="AF685" s="3"/>
      <c r="AG685" s="3"/>
      <c r="AH685" s="3"/>
      <c r="AI685" s="3"/>
      <c r="AK685" s="3"/>
      <c r="AL685" s="3"/>
      <c r="AM685" s="3"/>
      <c r="AN685" s="3"/>
      <c r="AO685" s="3"/>
      <c r="AP685" s="3"/>
      <c r="AQ685" s="3"/>
      <c r="AR685" s="3"/>
    </row>
    <row r="686" spans="1:44" ht="16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S686" s="3"/>
      <c r="T686" s="3"/>
      <c r="U686" s="3"/>
      <c r="V686" s="3"/>
      <c r="W686" s="3"/>
      <c r="X686" s="3"/>
      <c r="Y686" s="3"/>
      <c r="Z686" s="3"/>
      <c r="AB686" s="3"/>
      <c r="AC686" s="3"/>
      <c r="AD686" s="3"/>
      <c r="AE686" s="3"/>
      <c r="AF686" s="3"/>
      <c r="AG686" s="3"/>
      <c r="AH686" s="3"/>
      <c r="AI686" s="3"/>
      <c r="AK686" s="3"/>
      <c r="AL686" s="3"/>
      <c r="AM686" s="3"/>
      <c r="AN686" s="3"/>
      <c r="AO686" s="3"/>
      <c r="AP686" s="3"/>
      <c r="AQ686" s="3"/>
      <c r="AR686" s="3"/>
    </row>
    <row r="687" spans="1:44" ht="16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S687" s="3"/>
      <c r="T687" s="3"/>
      <c r="U687" s="3"/>
      <c r="V687" s="3"/>
      <c r="W687" s="3"/>
      <c r="X687" s="3"/>
      <c r="Y687" s="3"/>
      <c r="Z687" s="3"/>
      <c r="AB687" s="3"/>
      <c r="AC687" s="3"/>
      <c r="AD687" s="3"/>
      <c r="AE687" s="3"/>
      <c r="AF687" s="3"/>
      <c r="AG687" s="3"/>
      <c r="AH687" s="3"/>
      <c r="AI687" s="3"/>
      <c r="AK687" s="3"/>
      <c r="AL687" s="3"/>
      <c r="AM687" s="3"/>
      <c r="AN687" s="3"/>
      <c r="AO687" s="3"/>
      <c r="AP687" s="3"/>
      <c r="AQ687" s="3"/>
      <c r="AR687" s="3"/>
    </row>
    <row r="688" spans="1:44" ht="16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S688" s="3"/>
      <c r="T688" s="3"/>
      <c r="U688" s="3"/>
      <c r="V688" s="3"/>
      <c r="W688" s="3"/>
      <c r="X688" s="3"/>
      <c r="Y688" s="3"/>
      <c r="Z688" s="3"/>
      <c r="AB688" s="3"/>
      <c r="AC688" s="3"/>
      <c r="AD688" s="3"/>
      <c r="AE688" s="3"/>
      <c r="AF688" s="3"/>
      <c r="AG688" s="3"/>
      <c r="AH688" s="3"/>
      <c r="AI688" s="3"/>
      <c r="AK688" s="3"/>
      <c r="AL688" s="3"/>
      <c r="AM688" s="3"/>
      <c r="AN688" s="3"/>
      <c r="AO688" s="3"/>
      <c r="AP688" s="3"/>
      <c r="AQ688" s="3"/>
      <c r="AR688" s="3"/>
    </row>
    <row r="689" spans="1:44" ht="16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S689" s="3"/>
      <c r="T689" s="3"/>
      <c r="U689" s="3"/>
      <c r="V689" s="3"/>
      <c r="W689" s="3"/>
      <c r="X689" s="3"/>
      <c r="Y689" s="3"/>
      <c r="Z689" s="3"/>
      <c r="AB689" s="3"/>
      <c r="AC689" s="3"/>
      <c r="AD689" s="3"/>
      <c r="AE689" s="3"/>
      <c r="AF689" s="3"/>
      <c r="AG689" s="3"/>
      <c r="AH689" s="3"/>
      <c r="AI689" s="3"/>
      <c r="AK689" s="3"/>
      <c r="AL689" s="3"/>
      <c r="AM689" s="3"/>
      <c r="AN689" s="3"/>
      <c r="AO689" s="3"/>
      <c r="AP689" s="3"/>
      <c r="AQ689" s="3"/>
      <c r="AR689" s="3"/>
    </row>
    <row r="690" spans="1:44" ht="16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S690" s="3"/>
      <c r="T690" s="3"/>
      <c r="U690" s="3"/>
      <c r="V690" s="3"/>
      <c r="W690" s="3"/>
      <c r="X690" s="3"/>
      <c r="Y690" s="3"/>
      <c r="Z690" s="3"/>
      <c r="AB690" s="3"/>
      <c r="AC690" s="3"/>
      <c r="AD690" s="3"/>
      <c r="AE690" s="3"/>
      <c r="AF690" s="3"/>
      <c r="AG690" s="3"/>
      <c r="AH690" s="3"/>
      <c r="AI690" s="3"/>
      <c r="AK690" s="3"/>
      <c r="AL690" s="3"/>
      <c r="AM690" s="3"/>
      <c r="AN690" s="3"/>
      <c r="AO690" s="3"/>
      <c r="AP690" s="3"/>
      <c r="AQ690" s="3"/>
      <c r="AR690" s="3"/>
    </row>
    <row r="691" spans="1:44" ht="16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S691" s="3"/>
      <c r="T691" s="3"/>
      <c r="U691" s="3"/>
      <c r="V691" s="3"/>
      <c r="W691" s="3"/>
      <c r="X691" s="3"/>
      <c r="Y691" s="3"/>
      <c r="Z691" s="3"/>
      <c r="AB691" s="3"/>
      <c r="AC691" s="3"/>
      <c r="AD691" s="3"/>
      <c r="AE691" s="3"/>
      <c r="AF691" s="3"/>
      <c r="AG691" s="3"/>
      <c r="AH691" s="3"/>
      <c r="AI691" s="3"/>
      <c r="AK691" s="3"/>
      <c r="AL691" s="3"/>
      <c r="AM691" s="3"/>
      <c r="AN691" s="3"/>
      <c r="AO691" s="3"/>
      <c r="AP691" s="3"/>
      <c r="AQ691" s="3"/>
      <c r="AR691" s="3"/>
    </row>
    <row r="692" spans="1:44" ht="16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S692" s="3"/>
      <c r="T692" s="3"/>
      <c r="U692" s="3"/>
      <c r="V692" s="3"/>
      <c r="W692" s="3"/>
      <c r="X692" s="3"/>
      <c r="Y692" s="3"/>
      <c r="Z692" s="3"/>
      <c r="AB692" s="3"/>
      <c r="AC692" s="3"/>
      <c r="AD692" s="3"/>
      <c r="AE692" s="3"/>
      <c r="AF692" s="3"/>
      <c r="AG692" s="3"/>
      <c r="AH692" s="3"/>
      <c r="AI692" s="3"/>
      <c r="AK692" s="3"/>
      <c r="AL692" s="3"/>
      <c r="AM692" s="3"/>
      <c r="AN692" s="3"/>
      <c r="AO692" s="3"/>
      <c r="AP692" s="3"/>
      <c r="AQ692" s="3"/>
      <c r="AR692" s="3"/>
    </row>
    <row r="693" spans="1:44" ht="16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S693" s="3"/>
      <c r="T693" s="3"/>
      <c r="U693" s="3"/>
      <c r="V693" s="3"/>
      <c r="W693" s="3"/>
      <c r="X693" s="3"/>
      <c r="Y693" s="3"/>
      <c r="Z693" s="3"/>
      <c r="AB693" s="3"/>
      <c r="AC693" s="3"/>
      <c r="AD693" s="3"/>
      <c r="AE693" s="3"/>
      <c r="AF693" s="3"/>
      <c r="AG693" s="3"/>
      <c r="AH693" s="3"/>
      <c r="AI693" s="3"/>
      <c r="AK693" s="3"/>
      <c r="AL693" s="3"/>
      <c r="AM693" s="3"/>
      <c r="AN693" s="3"/>
      <c r="AO693" s="3"/>
      <c r="AP693" s="3"/>
      <c r="AQ693" s="3"/>
      <c r="AR693" s="3"/>
    </row>
    <row r="694" spans="1:44" ht="16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S694" s="3"/>
      <c r="T694" s="3"/>
      <c r="U694" s="3"/>
      <c r="V694" s="3"/>
      <c r="W694" s="3"/>
      <c r="X694" s="3"/>
      <c r="Y694" s="3"/>
      <c r="Z694" s="3"/>
      <c r="AB694" s="3"/>
      <c r="AC694" s="3"/>
      <c r="AD694" s="3"/>
      <c r="AE694" s="3"/>
      <c r="AF694" s="3"/>
      <c r="AG694" s="3"/>
      <c r="AH694" s="3"/>
      <c r="AI694" s="3"/>
      <c r="AK694" s="3"/>
      <c r="AL694" s="3"/>
      <c r="AM694" s="3"/>
      <c r="AN694" s="3"/>
      <c r="AO694" s="3"/>
      <c r="AP694" s="3"/>
      <c r="AQ694" s="3"/>
      <c r="AR694" s="3"/>
    </row>
    <row r="695" spans="1:44" ht="16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S695" s="3"/>
      <c r="T695" s="3"/>
      <c r="U695" s="3"/>
      <c r="V695" s="3"/>
      <c r="W695" s="3"/>
      <c r="X695" s="3"/>
      <c r="Y695" s="3"/>
      <c r="Z695" s="3"/>
      <c r="AB695" s="3"/>
      <c r="AC695" s="3"/>
      <c r="AD695" s="3"/>
      <c r="AE695" s="3"/>
      <c r="AF695" s="3"/>
      <c r="AG695" s="3"/>
      <c r="AH695" s="3"/>
      <c r="AI695" s="3"/>
      <c r="AK695" s="3"/>
      <c r="AL695" s="3"/>
      <c r="AM695" s="3"/>
      <c r="AN695" s="3"/>
      <c r="AO695" s="3"/>
      <c r="AP695" s="3"/>
      <c r="AQ695" s="3"/>
      <c r="AR695" s="3"/>
    </row>
    <row r="696" spans="1:44" ht="16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S696" s="3"/>
      <c r="T696" s="3"/>
      <c r="U696" s="3"/>
      <c r="V696" s="3"/>
      <c r="W696" s="3"/>
      <c r="X696" s="3"/>
      <c r="Y696" s="3"/>
      <c r="Z696" s="3"/>
      <c r="AB696" s="3"/>
      <c r="AC696" s="3"/>
      <c r="AD696" s="3"/>
      <c r="AE696" s="3"/>
      <c r="AF696" s="3"/>
      <c r="AG696" s="3"/>
      <c r="AH696" s="3"/>
      <c r="AI696" s="3"/>
      <c r="AK696" s="3"/>
      <c r="AL696" s="3"/>
      <c r="AM696" s="3"/>
      <c r="AN696" s="3"/>
      <c r="AO696" s="3"/>
      <c r="AP696" s="3"/>
      <c r="AQ696" s="3"/>
      <c r="AR696" s="3"/>
    </row>
    <row r="697" spans="1:44" ht="16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S697" s="3"/>
      <c r="T697" s="3"/>
      <c r="U697" s="3"/>
      <c r="V697" s="3"/>
      <c r="W697" s="3"/>
      <c r="X697" s="3"/>
      <c r="Y697" s="3"/>
      <c r="Z697" s="3"/>
      <c r="AB697" s="3"/>
      <c r="AC697" s="3"/>
      <c r="AD697" s="3"/>
      <c r="AE697" s="3"/>
      <c r="AF697" s="3"/>
      <c r="AG697" s="3"/>
      <c r="AH697" s="3"/>
      <c r="AI697" s="3"/>
      <c r="AK697" s="3"/>
      <c r="AL697" s="3"/>
      <c r="AM697" s="3"/>
      <c r="AN697" s="3"/>
      <c r="AO697" s="3"/>
      <c r="AP697" s="3"/>
      <c r="AQ697" s="3"/>
      <c r="AR697" s="3"/>
    </row>
    <row r="698" spans="1:44" ht="16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S698" s="3"/>
      <c r="T698" s="3"/>
      <c r="U698" s="3"/>
      <c r="V698" s="3"/>
      <c r="W698" s="3"/>
      <c r="X698" s="3"/>
      <c r="Y698" s="3"/>
      <c r="Z698" s="3"/>
      <c r="AB698" s="3"/>
      <c r="AC698" s="3"/>
      <c r="AD698" s="3"/>
      <c r="AE698" s="3"/>
      <c r="AF698" s="3"/>
      <c r="AG698" s="3"/>
      <c r="AH698" s="3"/>
      <c r="AI698" s="3"/>
      <c r="AK698" s="3"/>
      <c r="AL698" s="3"/>
      <c r="AM698" s="3"/>
      <c r="AN698" s="3"/>
      <c r="AO698" s="3"/>
      <c r="AP698" s="3"/>
      <c r="AQ698" s="3"/>
      <c r="AR698" s="3"/>
    </row>
    <row r="699" spans="1:44" ht="16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S699" s="3"/>
      <c r="T699" s="3"/>
      <c r="U699" s="3"/>
      <c r="V699" s="3"/>
      <c r="W699" s="3"/>
      <c r="X699" s="3"/>
      <c r="Y699" s="3"/>
      <c r="Z699" s="3"/>
      <c r="AB699" s="3"/>
      <c r="AC699" s="3"/>
      <c r="AD699" s="3"/>
      <c r="AE699" s="3"/>
      <c r="AF699" s="3"/>
      <c r="AG699" s="3"/>
      <c r="AH699" s="3"/>
      <c r="AI699" s="3"/>
      <c r="AK699" s="3"/>
      <c r="AL699" s="3"/>
      <c r="AM699" s="3"/>
      <c r="AN699" s="3"/>
      <c r="AO699" s="3"/>
      <c r="AP699" s="3"/>
      <c r="AQ699" s="3"/>
      <c r="AR699" s="3"/>
    </row>
    <row r="700" spans="1:44" ht="16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S700" s="3"/>
      <c r="T700" s="3"/>
      <c r="U700" s="3"/>
      <c r="V700" s="3"/>
      <c r="W700" s="3"/>
      <c r="X700" s="3"/>
      <c r="Y700" s="3"/>
      <c r="Z700" s="3"/>
      <c r="AB700" s="3"/>
      <c r="AC700" s="3"/>
      <c r="AD700" s="3"/>
      <c r="AE700" s="3"/>
      <c r="AF700" s="3"/>
      <c r="AG700" s="3"/>
      <c r="AH700" s="3"/>
      <c r="AI700" s="3"/>
      <c r="AK700" s="3"/>
      <c r="AL700" s="3"/>
      <c r="AM700" s="3"/>
      <c r="AN700" s="3"/>
      <c r="AO700" s="3"/>
      <c r="AP700" s="3"/>
      <c r="AQ700" s="3"/>
      <c r="AR700" s="3"/>
    </row>
    <row r="701" spans="1:44" ht="16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S701" s="3"/>
      <c r="T701" s="3"/>
      <c r="U701" s="3"/>
      <c r="V701" s="3"/>
      <c r="W701" s="3"/>
      <c r="X701" s="3"/>
      <c r="Y701" s="3"/>
      <c r="Z701" s="3"/>
      <c r="AB701" s="3"/>
      <c r="AC701" s="3"/>
      <c r="AD701" s="3"/>
      <c r="AE701" s="3"/>
      <c r="AF701" s="3"/>
      <c r="AG701" s="3"/>
      <c r="AH701" s="3"/>
      <c r="AI701" s="3"/>
      <c r="AK701" s="3"/>
      <c r="AL701" s="3"/>
      <c r="AM701" s="3"/>
      <c r="AN701" s="3"/>
      <c r="AO701" s="3"/>
      <c r="AP701" s="3"/>
      <c r="AQ701" s="3"/>
      <c r="AR701" s="3"/>
    </row>
    <row r="702" spans="1:44" ht="16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S702" s="3"/>
      <c r="T702" s="3"/>
      <c r="U702" s="3"/>
      <c r="V702" s="3"/>
      <c r="W702" s="3"/>
      <c r="X702" s="3"/>
      <c r="Y702" s="3"/>
      <c r="Z702" s="3"/>
      <c r="AB702" s="3"/>
      <c r="AC702" s="3"/>
      <c r="AD702" s="3"/>
      <c r="AE702" s="3"/>
      <c r="AF702" s="3"/>
      <c r="AG702" s="3"/>
      <c r="AH702" s="3"/>
      <c r="AI702" s="3"/>
      <c r="AK702" s="3"/>
      <c r="AL702" s="3"/>
      <c r="AM702" s="3"/>
      <c r="AN702" s="3"/>
      <c r="AO702" s="3"/>
      <c r="AP702" s="3"/>
      <c r="AQ702" s="3"/>
      <c r="AR702" s="3"/>
    </row>
    <row r="703" spans="1:44" ht="16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S703" s="3"/>
      <c r="T703" s="3"/>
      <c r="U703" s="3"/>
      <c r="V703" s="3"/>
      <c r="W703" s="3"/>
      <c r="X703" s="3"/>
      <c r="Y703" s="3"/>
      <c r="Z703" s="3"/>
      <c r="AB703" s="3"/>
      <c r="AC703" s="3"/>
      <c r="AD703" s="3"/>
      <c r="AE703" s="3"/>
      <c r="AF703" s="3"/>
      <c r="AG703" s="3"/>
      <c r="AH703" s="3"/>
      <c r="AI703" s="3"/>
      <c r="AK703" s="3"/>
      <c r="AL703" s="3"/>
      <c r="AM703" s="3"/>
      <c r="AN703" s="3"/>
      <c r="AO703" s="3"/>
      <c r="AP703" s="3"/>
      <c r="AQ703" s="3"/>
      <c r="AR703" s="3"/>
    </row>
    <row r="704" spans="1:44" ht="16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S704" s="3"/>
      <c r="T704" s="3"/>
      <c r="U704" s="3"/>
      <c r="V704" s="3"/>
      <c r="W704" s="3"/>
      <c r="X704" s="3"/>
      <c r="Y704" s="3"/>
      <c r="Z704" s="3"/>
      <c r="AB704" s="3"/>
      <c r="AC704" s="3"/>
      <c r="AD704" s="3"/>
      <c r="AE704" s="3"/>
      <c r="AF704" s="3"/>
      <c r="AG704" s="3"/>
      <c r="AH704" s="3"/>
      <c r="AI704" s="3"/>
      <c r="AK704" s="3"/>
      <c r="AL704" s="3"/>
      <c r="AM704" s="3"/>
      <c r="AN704" s="3"/>
      <c r="AO704" s="3"/>
      <c r="AP704" s="3"/>
      <c r="AQ704" s="3"/>
      <c r="AR704" s="3"/>
    </row>
    <row r="705" spans="1:44" ht="16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S705" s="3"/>
      <c r="T705" s="3"/>
      <c r="U705" s="3"/>
      <c r="V705" s="3"/>
      <c r="W705" s="3"/>
      <c r="X705" s="3"/>
      <c r="Y705" s="3"/>
      <c r="Z705" s="3"/>
      <c r="AB705" s="3"/>
      <c r="AC705" s="3"/>
      <c r="AD705" s="3"/>
      <c r="AE705" s="3"/>
      <c r="AF705" s="3"/>
      <c r="AG705" s="3"/>
      <c r="AH705" s="3"/>
      <c r="AI705" s="3"/>
      <c r="AK705" s="3"/>
      <c r="AL705" s="3"/>
      <c r="AM705" s="3"/>
      <c r="AN705" s="3"/>
      <c r="AO705" s="3"/>
      <c r="AP705" s="3"/>
      <c r="AQ705" s="3"/>
      <c r="AR705" s="3"/>
    </row>
    <row r="706" spans="1:44" ht="16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S706" s="3"/>
      <c r="T706" s="3"/>
      <c r="U706" s="3"/>
      <c r="V706" s="3"/>
      <c r="W706" s="3"/>
      <c r="X706" s="3"/>
      <c r="Y706" s="3"/>
      <c r="Z706" s="3"/>
      <c r="AB706" s="3"/>
      <c r="AC706" s="3"/>
      <c r="AD706" s="3"/>
      <c r="AE706" s="3"/>
      <c r="AF706" s="3"/>
      <c r="AG706" s="3"/>
      <c r="AH706" s="3"/>
      <c r="AI706" s="3"/>
      <c r="AK706" s="3"/>
      <c r="AL706" s="3"/>
      <c r="AM706" s="3"/>
      <c r="AN706" s="3"/>
      <c r="AO706" s="3"/>
      <c r="AP706" s="3"/>
      <c r="AQ706" s="3"/>
      <c r="AR706" s="3"/>
    </row>
    <row r="707" spans="1:44" ht="16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S707" s="3"/>
      <c r="T707" s="3"/>
      <c r="U707" s="3"/>
      <c r="V707" s="3"/>
      <c r="W707" s="3"/>
      <c r="X707" s="3"/>
      <c r="Y707" s="3"/>
      <c r="Z707" s="3"/>
      <c r="AB707" s="3"/>
      <c r="AC707" s="3"/>
      <c r="AD707" s="3"/>
      <c r="AE707" s="3"/>
      <c r="AF707" s="3"/>
      <c r="AG707" s="3"/>
      <c r="AH707" s="3"/>
      <c r="AI707" s="3"/>
      <c r="AK707" s="3"/>
      <c r="AL707" s="3"/>
      <c r="AM707" s="3"/>
      <c r="AN707" s="3"/>
      <c r="AO707" s="3"/>
      <c r="AP707" s="3"/>
      <c r="AQ707" s="3"/>
      <c r="AR707" s="3"/>
    </row>
    <row r="708" spans="1:44" ht="16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S708" s="3"/>
      <c r="T708" s="3"/>
      <c r="U708" s="3"/>
      <c r="V708" s="3"/>
      <c r="W708" s="3"/>
      <c r="X708" s="3"/>
      <c r="Y708" s="3"/>
      <c r="Z708" s="3"/>
      <c r="AB708" s="3"/>
      <c r="AC708" s="3"/>
      <c r="AD708" s="3"/>
      <c r="AE708" s="3"/>
      <c r="AF708" s="3"/>
      <c r="AG708" s="3"/>
      <c r="AH708" s="3"/>
      <c r="AI708" s="3"/>
      <c r="AK708" s="3"/>
      <c r="AL708" s="3"/>
      <c r="AM708" s="3"/>
      <c r="AN708" s="3"/>
      <c r="AO708" s="3"/>
      <c r="AP708" s="3"/>
      <c r="AQ708" s="3"/>
      <c r="AR708" s="3"/>
    </row>
    <row r="709" spans="1:44" ht="16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S709" s="3"/>
      <c r="T709" s="3"/>
      <c r="U709" s="3"/>
      <c r="V709" s="3"/>
      <c r="W709" s="3"/>
      <c r="X709" s="3"/>
      <c r="Y709" s="3"/>
      <c r="Z709" s="3"/>
      <c r="AB709" s="3"/>
      <c r="AC709" s="3"/>
      <c r="AD709" s="3"/>
      <c r="AE709" s="3"/>
      <c r="AF709" s="3"/>
      <c r="AG709" s="3"/>
      <c r="AH709" s="3"/>
      <c r="AI709" s="3"/>
      <c r="AK709" s="3"/>
      <c r="AL709" s="3"/>
      <c r="AM709" s="3"/>
      <c r="AN709" s="3"/>
      <c r="AO709" s="3"/>
      <c r="AP709" s="3"/>
      <c r="AQ709" s="3"/>
      <c r="AR709" s="3"/>
    </row>
    <row r="710" spans="1:44" ht="16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S710" s="3"/>
      <c r="T710" s="3"/>
      <c r="U710" s="3"/>
      <c r="V710" s="3"/>
      <c r="W710" s="3"/>
      <c r="X710" s="3"/>
      <c r="Y710" s="3"/>
      <c r="Z710" s="3"/>
      <c r="AB710" s="3"/>
      <c r="AC710" s="3"/>
      <c r="AD710" s="3"/>
      <c r="AE710" s="3"/>
      <c r="AF710" s="3"/>
      <c r="AG710" s="3"/>
      <c r="AH710" s="3"/>
      <c r="AI710" s="3"/>
      <c r="AK710" s="3"/>
      <c r="AL710" s="3"/>
      <c r="AM710" s="3"/>
      <c r="AN710" s="3"/>
      <c r="AO710" s="3"/>
      <c r="AP710" s="3"/>
      <c r="AQ710" s="3"/>
      <c r="AR710" s="3"/>
    </row>
    <row r="711" spans="1:44" ht="16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S711" s="3"/>
      <c r="T711" s="3"/>
      <c r="U711" s="3"/>
      <c r="V711" s="3"/>
      <c r="W711" s="3"/>
      <c r="X711" s="3"/>
      <c r="Y711" s="3"/>
      <c r="Z711" s="3"/>
      <c r="AB711" s="3"/>
      <c r="AC711" s="3"/>
      <c r="AD711" s="3"/>
      <c r="AE711" s="3"/>
      <c r="AF711" s="3"/>
      <c r="AG711" s="3"/>
      <c r="AH711" s="3"/>
      <c r="AI711" s="3"/>
      <c r="AK711" s="3"/>
      <c r="AL711" s="3"/>
      <c r="AM711" s="3"/>
      <c r="AN711" s="3"/>
      <c r="AO711" s="3"/>
      <c r="AP711" s="3"/>
      <c r="AQ711" s="3"/>
      <c r="AR711" s="3"/>
    </row>
    <row r="712" spans="1:44" ht="16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S712" s="3"/>
      <c r="T712" s="3"/>
      <c r="U712" s="3"/>
      <c r="V712" s="3"/>
      <c r="W712" s="3"/>
      <c r="X712" s="3"/>
      <c r="Y712" s="3"/>
      <c r="Z712" s="3"/>
      <c r="AB712" s="3"/>
      <c r="AC712" s="3"/>
      <c r="AD712" s="3"/>
      <c r="AE712" s="3"/>
      <c r="AF712" s="3"/>
      <c r="AG712" s="3"/>
      <c r="AH712" s="3"/>
      <c r="AI712" s="3"/>
      <c r="AK712" s="3"/>
      <c r="AL712" s="3"/>
      <c r="AM712" s="3"/>
      <c r="AN712" s="3"/>
      <c r="AO712" s="3"/>
      <c r="AP712" s="3"/>
      <c r="AQ712" s="3"/>
      <c r="AR712" s="3"/>
    </row>
    <row r="713" spans="1:44" ht="16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S713" s="3"/>
      <c r="T713" s="3"/>
      <c r="U713" s="3"/>
      <c r="V713" s="3"/>
      <c r="W713" s="3"/>
      <c r="X713" s="3"/>
      <c r="Y713" s="3"/>
      <c r="Z713" s="3"/>
      <c r="AB713" s="3"/>
      <c r="AC713" s="3"/>
      <c r="AD713" s="3"/>
      <c r="AE713" s="3"/>
      <c r="AF713" s="3"/>
      <c r="AG713" s="3"/>
      <c r="AH713" s="3"/>
      <c r="AI713" s="3"/>
      <c r="AK713" s="3"/>
      <c r="AL713" s="3"/>
      <c r="AM713" s="3"/>
      <c r="AN713" s="3"/>
      <c r="AO713" s="3"/>
      <c r="AP713" s="3"/>
      <c r="AQ713" s="3"/>
      <c r="AR713" s="3"/>
    </row>
    <row r="714" spans="1:44" ht="16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S714" s="3"/>
      <c r="T714" s="3"/>
      <c r="U714" s="3"/>
      <c r="V714" s="3"/>
      <c r="W714" s="3"/>
      <c r="X714" s="3"/>
      <c r="Y714" s="3"/>
      <c r="Z714" s="3"/>
      <c r="AB714" s="3"/>
      <c r="AC714" s="3"/>
      <c r="AD714" s="3"/>
      <c r="AE714" s="3"/>
      <c r="AF714" s="3"/>
      <c r="AG714" s="3"/>
      <c r="AH714" s="3"/>
      <c r="AI714" s="3"/>
      <c r="AK714" s="3"/>
      <c r="AL714" s="3"/>
      <c r="AM714" s="3"/>
      <c r="AN714" s="3"/>
      <c r="AO714" s="3"/>
      <c r="AP714" s="3"/>
      <c r="AQ714" s="3"/>
      <c r="AR714" s="3"/>
    </row>
    <row r="715" spans="1:44" ht="16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S715" s="3"/>
      <c r="T715" s="3"/>
      <c r="U715" s="3"/>
      <c r="V715" s="3"/>
      <c r="W715" s="3"/>
      <c r="X715" s="3"/>
      <c r="Y715" s="3"/>
      <c r="Z715" s="3"/>
      <c r="AB715" s="3"/>
      <c r="AC715" s="3"/>
      <c r="AD715" s="3"/>
      <c r="AE715" s="3"/>
      <c r="AF715" s="3"/>
      <c r="AG715" s="3"/>
      <c r="AH715" s="3"/>
      <c r="AI715" s="3"/>
      <c r="AK715" s="3"/>
      <c r="AL715" s="3"/>
      <c r="AM715" s="3"/>
      <c r="AN715" s="3"/>
      <c r="AO715" s="3"/>
      <c r="AP715" s="3"/>
      <c r="AQ715" s="3"/>
      <c r="AR715" s="3"/>
    </row>
    <row r="716" spans="1:44" ht="16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S716" s="3"/>
      <c r="T716" s="3"/>
      <c r="U716" s="3"/>
      <c r="V716" s="3"/>
      <c r="W716" s="3"/>
      <c r="X716" s="3"/>
      <c r="Y716" s="3"/>
      <c r="Z716" s="3"/>
      <c r="AB716" s="3"/>
      <c r="AC716" s="3"/>
      <c r="AD716" s="3"/>
      <c r="AE716" s="3"/>
      <c r="AF716" s="3"/>
      <c r="AG716" s="3"/>
      <c r="AH716" s="3"/>
      <c r="AI716" s="3"/>
      <c r="AK716" s="3"/>
      <c r="AL716" s="3"/>
      <c r="AM716" s="3"/>
      <c r="AN716" s="3"/>
      <c r="AO716" s="3"/>
      <c r="AP716" s="3"/>
      <c r="AQ716" s="3"/>
      <c r="AR716" s="3"/>
    </row>
    <row r="717" spans="1:44" ht="16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S717" s="3"/>
      <c r="T717" s="3"/>
      <c r="U717" s="3"/>
      <c r="V717" s="3"/>
      <c r="W717" s="3"/>
      <c r="X717" s="3"/>
      <c r="Y717" s="3"/>
      <c r="Z717" s="3"/>
      <c r="AB717" s="3"/>
      <c r="AC717" s="3"/>
      <c r="AD717" s="3"/>
      <c r="AE717" s="3"/>
      <c r="AF717" s="3"/>
      <c r="AG717" s="3"/>
      <c r="AH717" s="3"/>
      <c r="AI717" s="3"/>
      <c r="AK717" s="3"/>
      <c r="AL717" s="3"/>
      <c r="AM717" s="3"/>
      <c r="AN717" s="3"/>
      <c r="AO717" s="3"/>
      <c r="AP717" s="3"/>
      <c r="AQ717" s="3"/>
      <c r="AR717" s="3"/>
    </row>
    <row r="718" spans="1:44" ht="16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S718" s="3"/>
      <c r="T718" s="3"/>
      <c r="U718" s="3"/>
      <c r="V718" s="3"/>
      <c r="W718" s="3"/>
      <c r="X718" s="3"/>
      <c r="Y718" s="3"/>
      <c r="Z718" s="3"/>
      <c r="AB718" s="3"/>
      <c r="AC718" s="3"/>
      <c r="AD718" s="3"/>
      <c r="AE718" s="3"/>
      <c r="AF718" s="3"/>
      <c r="AG718" s="3"/>
      <c r="AH718" s="3"/>
      <c r="AI718" s="3"/>
      <c r="AK718" s="3"/>
      <c r="AL718" s="3"/>
      <c r="AM718" s="3"/>
      <c r="AN718" s="3"/>
      <c r="AO718" s="3"/>
      <c r="AP718" s="3"/>
      <c r="AQ718" s="3"/>
      <c r="AR718" s="3"/>
    </row>
    <row r="719" spans="1:44" ht="16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S719" s="3"/>
      <c r="T719" s="3"/>
      <c r="U719" s="3"/>
      <c r="V719" s="3"/>
      <c r="W719" s="3"/>
      <c r="X719" s="3"/>
      <c r="Y719" s="3"/>
      <c r="Z719" s="3"/>
      <c r="AB719" s="3"/>
      <c r="AC719" s="3"/>
      <c r="AD719" s="3"/>
      <c r="AE719" s="3"/>
      <c r="AF719" s="3"/>
      <c r="AG719" s="3"/>
      <c r="AH719" s="3"/>
      <c r="AI719" s="3"/>
      <c r="AK719" s="3"/>
      <c r="AL719" s="3"/>
      <c r="AM719" s="3"/>
      <c r="AN719" s="3"/>
      <c r="AO719" s="3"/>
      <c r="AP719" s="3"/>
      <c r="AQ719" s="3"/>
      <c r="AR719" s="3"/>
    </row>
    <row r="720" spans="1:44" ht="16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S720" s="3"/>
      <c r="T720" s="3"/>
      <c r="U720" s="3"/>
      <c r="V720" s="3"/>
      <c r="W720" s="3"/>
      <c r="X720" s="3"/>
      <c r="Y720" s="3"/>
      <c r="Z720" s="3"/>
      <c r="AB720" s="3"/>
      <c r="AC720" s="3"/>
      <c r="AD720" s="3"/>
      <c r="AE720" s="3"/>
      <c r="AF720" s="3"/>
      <c r="AG720" s="3"/>
      <c r="AH720" s="3"/>
      <c r="AI720" s="3"/>
      <c r="AK720" s="3"/>
      <c r="AL720" s="3"/>
      <c r="AM720" s="3"/>
      <c r="AN720" s="3"/>
      <c r="AO720" s="3"/>
      <c r="AP720" s="3"/>
      <c r="AQ720" s="3"/>
      <c r="AR720" s="3"/>
    </row>
    <row r="721" spans="1:44" ht="16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S721" s="3"/>
      <c r="T721" s="3"/>
      <c r="U721" s="3"/>
      <c r="V721" s="3"/>
      <c r="W721" s="3"/>
      <c r="X721" s="3"/>
      <c r="Y721" s="3"/>
      <c r="Z721" s="3"/>
      <c r="AB721" s="3"/>
      <c r="AC721" s="3"/>
      <c r="AD721" s="3"/>
      <c r="AE721" s="3"/>
      <c r="AF721" s="3"/>
      <c r="AG721" s="3"/>
      <c r="AH721" s="3"/>
      <c r="AI721" s="3"/>
      <c r="AK721" s="3"/>
      <c r="AL721" s="3"/>
      <c r="AM721" s="3"/>
      <c r="AN721" s="3"/>
      <c r="AO721" s="3"/>
      <c r="AP721" s="3"/>
      <c r="AQ721" s="3"/>
      <c r="AR721" s="3"/>
    </row>
    <row r="722" spans="1:44" ht="16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S722" s="3"/>
      <c r="T722" s="3"/>
      <c r="U722" s="3"/>
      <c r="V722" s="3"/>
      <c r="W722" s="3"/>
      <c r="X722" s="3"/>
      <c r="Y722" s="3"/>
      <c r="Z722" s="3"/>
      <c r="AB722" s="3"/>
      <c r="AC722" s="3"/>
      <c r="AD722" s="3"/>
      <c r="AE722" s="3"/>
      <c r="AF722" s="3"/>
      <c r="AG722" s="3"/>
      <c r="AH722" s="3"/>
      <c r="AI722" s="3"/>
      <c r="AK722" s="3"/>
      <c r="AL722" s="3"/>
      <c r="AM722" s="3"/>
      <c r="AN722" s="3"/>
      <c r="AO722" s="3"/>
      <c r="AP722" s="3"/>
      <c r="AQ722" s="3"/>
      <c r="AR722" s="3"/>
    </row>
    <row r="723" spans="1:44" ht="16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S723" s="3"/>
      <c r="T723" s="3"/>
      <c r="U723" s="3"/>
      <c r="V723" s="3"/>
      <c r="W723" s="3"/>
      <c r="X723" s="3"/>
      <c r="Y723" s="3"/>
      <c r="Z723" s="3"/>
      <c r="AB723" s="3"/>
      <c r="AC723" s="3"/>
      <c r="AD723" s="3"/>
      <c r="AE723" s="3"/>
      <c r="AF723" s="3"/>
      <c r="AG723" s="3"/>
      <c r="AH723" s="3"/>
      <c r="AI723" s="3"/>
      <c r="AK723" s="3"/>
      <c r="AL723" s="3"/>
      <c r="AM723" s="3"/>
      <c r="AN723" s="3"/>
      <c r="AO723" s="3"/>
      <c r="AP723" s="3"/>
      <c r="AQ723" s="3"/>
      <c r="AR723" s="3"/>
    </row>
    <row r="724" spans="1:44" ht="16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S724" s="3"/>
      <c r="T724" s="3"/>
      <c r="U724" s="3"/>
      <c r="V724" s="3"/>
      <c r="W724" s="3"/>
      <c r="X724" s="3"/>
      <c r="Y724" s="3"/>
      <c r="Z724" s="3"/>
      <c r="AB724" s="3"/>
      <c r="AC724" s="3"/>
      <c r="AD724" s="3"/>
      <c r="AE724" s="3"/>
      <c r="AF724" s="3"/>
      <c r="AG724" s="3"/>
      <c r="AH724" s="3"/>
      <c r="AI724" s="3"/>
      <c r="AK724" s="3"/>
      <c r="AL724" s="3"/>
      <c r="AM724" s="3"/>
      <c r="AN724" s="3"/>
      <c r="AO724" s="3"/>
      <c r="AP724" s="3"/>
      <c r="AQ724" s="3"/>
      <c r="AR724" s="3"/>
    </row>
    <row r="725" spans="1:44" ht="16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S725" s="3"/>
      <c r="T725" s="3"/>
      <c r="U725" s="3"/>
      <c r="V725" s="3"/>
      <c r="W725" s="3"/>
      <c r="X725" s="3"/>
      <c r="Y725" s="3"/>
      <c r="Z725" s="3"/>
      <c r="AB725" s="3"/>
      <c r="AC725" s="3"/>
      <c r="AD725" s="3"/>
      <c r="AE725" s="3"/>
      <c r="AF725" s="3"/>
      <c r="AG725" s="3"/>
      <c r="AH725" s="3"/>
      <c r="AI725" s="3"/>
      <c r="AK725" s="3"/>
      <c r="AL725" s="3"/>
      <c r="AM725" s="3"/>
      <c r="AN725" s="3"/>
      <c r="AO725" s="3"/>
      <c r="AP725" s="3"/>
      <c r="AQ725" s="3"/>
      <c r="AR725" s="3"/>
    </row>
    <row r="726" spans="1:44" ht="16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S726" s="3"/>
      <c r="T726" s="3"/>
      <c r="U726" s="3"/>
      <c r="V726" s="3"/>
      <c r="W726" s="3"/>
      <c r="X726" s="3"/>
      <c r="Y726" s="3"/>
      <c r="Z726" s="3"/>
      <c r="AB726" s="3"/>
      <c r="AC726" s="3"/>
      <c r="AD726" s="3"/>
      <c r="AE726" s="3"/>
      <c r="AF726" s="3"/>
      <c r="AG726" s="3"/>
      <c r="AH726" s="3"/>
      <c r="AI726" s="3"/>
      <c r="AK726" s="3"/>
      <c r="AL726" s="3"/>
      <c r="AM726" s="3"/>
      <c r="AN726" s="3"/>
      <c r="AO726" s="3"/>
      <c r="AP726" s="3"/>
      <c r="AQ726" s="3"/>
      <c r="AR726" s="3"/>
    </row>
    <row r="727" spans="1:44" ht="16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S727" s="3"/>
      <c r="T727" s="3"/>
      <c r="U727" s="3"/>
      <c r="V727" s="3"/>
      <c r="W727" s="3"/>
      <c r="X727" s="3"/>
      <c r="Y727" s="3"/>
      <c r="Z727" s="3"/>
      <c r="AB727" s="3"/>
      <c r="AC727" s="3"/>
      <c r="AD727" s="3"/>
      <c r="AE727" s="3"/>
      <c r="AF727" s="3"/>
      <c r="AG727" s="3"/>
      <c r="AH727" s="3"/>
      <c r="AI727" s="3"/>
      <c r="AK727" s="3"/>
      <c r="AL727" s="3"/>
      <c r="AM727" s="3"/>
      <c r="AN727" s="3"/>
      <c r="AO727" s="3"/>
      <c r="AP727" s="3"/>
      <c r="AQ727" s="3"/>
      <c r="AR727" s="3"/>
    </row>
    <row r="728" spans="1:44" ht="16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S728" s="3"/>
      <c r="T728" s="3"/>
      <c r="U728" s="3"/>
      <c r="V728" s="3"/>
      <c r="W728" s="3"/>
      <c r="X728" s="3"/>
      <c r="Y728" s="3"/>
      <c r="Z728" s="3"/>
      <c r="AB728" s="3"/>
      <c r="AC728" s="3"/>
      <c r="AD728" s="3"/>
      <c r="AE728" s="3"/>
      <c r="AF728" s="3"/>
      <c r="AG728" s="3"/>
      <c r="AH728" s="3"/>
      <c r="AI728" s="3"/>
      <c r="AK728" s="3"/>
      <c r="AL728" s="3"/>
      <c r="AM728" s="3"/>
      <c r="AN728" s="3"/>
      <c r="AO728" s="3"/>
      <c r="AP728" s="3"/>
      <c r="AQ728" s="3"/>
      <c r="AR728" s="3"/>
    </row>
    <row r="729" spans="1:44" ht="16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S729" s="3"/>
      <c r="T729" s="3"/>
      <c r="U729" s="3"/>
      <c r="V729" s="3"/>
      <c r="W729" s="3"/>
      <c r="X729" s="3"/>
      <c r="Y729" s="3"/>
      <c r="Z729" s="3"/>
      <c r="AB729" s="3"/>
      <c r="AC729" s="3"/>
      <c r="AD729" s="3"/>
      <c r="AE729" s="3"/>
      <c r="AF729" s="3"/>
      <c r="AG729" s="3"/>
      <c r="AH729" s="3"/>
      <c r="AI729" s="3"/>
      <c r="AK729" s="3"/>
      <c r="AL729" s="3"/>
      <c r="AM729" s="3"/>
      <c r="AN729" s="3"/>
      <c r="AO729" s="3"/>
      <c r="AP729" s="3"/>
      <c r="AQ729" s="3"/>
      <c r="AR729" s="3"/>
    </row>
    <row r="730" spans="1:44" ht="16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S730" s="3"/>
      <c r="T730" s="3"/>
      <c r="U730" s="3"/>
      <c r="V730" s="3"/>
      <c r="W730" s="3"/>
      <c r="X730" s="3"/>
      <c r="Y730" s="3"/>
      <c r="Z730" s="3"/>
      <c r="AB730" s="3"/>
      <c r="AC730" s="3"/>
      <c r="AD730" s="3"/>
      <c r="AE730" s="3"/>
      <c r="AF730" s="3"/>
      <c r="AG730" s="3"/>
      <c r="AH730" s="3"/>
      <c r="AI730" s="3"/>
      <c r="AK730" s="3"/>
      <c r="AL730" s="3"/>
      <c r="AM730" s="3"/>
      <c r="AN730" s="3"/>
      <c r="AO730" s="3"/>
      <c r="AP730" s="3"/>
      <c r="AQ730" s="3"/>
      <c r="AR730" s="3"/>
    </row>
    <row r="731" spans="1:44" ht="16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S731" s="3"/>
      <c r="T731" s="3"/>
      <c r="U731" s="3"/>
      <c r="V731" s="3"/>
      <c r="W731" s="3"/>
      <c r="X731" s="3"/>
      <c r="Y731" s="3"/>
      <c r="Z731" s="3"/>
      <c r="AB731" s="3"/>
      <c r="AC731" s="3"/>
      <c r="AD731" s="3"/>
      <c r="AE731" s="3"/>
      <c r="AF731" s="3"/>
      <c r="AG731" s="3"/>
      <c r="AH731" s="3"/>
      <c r="AI731" s="3"/>
      <c r="AK731" s="3"/>
      <c r="AL731" s="3"/>
      <c r="AM731" s="3"/>
      <c r="AN731" s="3"/>
      <c r="AO731" s="3"/>
      <c r="AP731" s="3"/>
      <c r="AQ731" s="3"/>
      <c r="AR731" s="3"/>
    </row>
    <row r="732" spans="1:44" ht="16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S732" s="3"/>
      <c r="T732" s="3"/>
      <c r="U732" s="3"/>
      <c r="V732" s="3"/>
      <c r="W732" s="3"/>
      <c r="X732" s="3"/>
      <c r="Y732" s="3"/>
      <c r="Z732" s="3"/>
      <c r="AB732" s="3"/>
      <c r="AC732" s="3"/>
      <c r="AD732" s="3"/>
      <c r="AE732" s="3"/>
      <c r="AF732" s="3"/>
      <c r="AG732" s="3"/>
      <c r="AH732" s="3"/>
      <c r="AI732" s="3"/>
      <c r="AK732" s="3"/>
      <c r="AL732" s="3"/>
      <c r="AM732" s="3"/>
      <c r="AN732" s="3"/>
      <c r="AO732" s="3"/>
      <c r="AP732" s="3"/>
      <c r="AQ732" s="3"/>
      <c r="AR732" s="3"/>
    </row>
    <row r="733" spans="1:44" ht="16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S733" s="3"/>
      <c r="T733" s="3"/>
      <c r="U733" s="3"/>
      <c r="V733" s="3"/>
      <c r="W733" s="3"/>
      <c r="X733" s="3"/>
      <c r="Y733" s="3"/>
      <c r="Z733" s="3"/>
      <c r="AB733" s="3"/>
      <c r="AC733" s="3"/>
      <c r="AD733" s="3"/>
      <c r="AE733" s="3"/>
      <c r="AF733" s="3"/>
      <c r="AG733" s="3"/>
      <c r="AH733" s="3"/>
      <c r="AI733" s="3"/>
      <c r="AK733" s="3"/>
      <c r="AL733" s="3"/>
      <c r="AM733" s="3"/>
      <c r="AN733" s="3"/>
      <c r="AO733" s="3"/>
      <c r="AP733" s="3"/>
      <c r="AQ733" s="3"/>
      <c r="AR733" s="3"/>
    </row>
    <row r="734" spans="1:44" ht="16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S734" s="3"/>
      <c r="T734" s="3"/>
      <c r="U734" s="3"/>
      <c r="V734" s="3"/>
      <c r="W734" s="3"/>
      <c r="X734" s="3"/>
      <c r="Y734" s="3"/>
      <c r="Z734" s="3"/>
      <c r="AB734" s="3"/>
      <c r="AC734" s="3"/>
      <c r="AD734" s="3"/>
      <c r="AE734" s="3"/>
      <c r="AF734" s="3"/>
      <c r="AG734" s="3"/>
      <c r="AH734" s="3"/>
      <c r="AI734" s="3"/>
      <c r="AK734" s="3"/>
      <c r="AL734" s="3"/>
      <c r="AM734" s="3"/>
      <c r="AN734" s="3"/>
      <c r="AO734" s="3"/>
      <c r="AP734" s="3"/>
      <c r="AQ734" s="3"/>
      <c r="AR734" s="3"/>
    </row>
    <row r="735" spans="1:44" ht="16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S735" s="3"/>
      <c r="T735" s="3"/>
      <c r="U735" s="3"/>
      <c r="V735" s="3"/>
      <c r="W735" s="3"/>
      <c r="X735" s="3"/>
      <c r="Y735" s="3"/>
      <c r="Z735" s="3"/>
      <c r="AB735" s="3"/>
      <c r="AC735" s="3"/>
      <c r="AD735" s="3"/>
      <c r="AE735" s="3"/>
      <c r="AF735" s="3"/>
      <c r="AG735" s="3"/>
      <c r="AH735" s="3"/>
      <c r="AI735" s="3"/>
      <c r="AK735" s="3"/>
      <c r="AL735" s="3"/>
      <c r="AM735" s="3"/>
      <c r="AN735" s="3"/>
      <c r="AO735" s="3"/>
      <c r="AP735" s="3"/>
      <c r="AQ735" s="3"/>
      <c r="AR735" s="3"/>
    </row>
    <row r="736" spans="1:44" ht="16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S736" s="3"/>
      <c r="T736" s="3"/>
      <c r="U736" s="3"/>
      <c r="V736" s="3"/>
      <c r="W736" s="3"/>
      <c r="X736" s="3"/>
      <c r="Y736" s="3"/>
      <c r="Z736" s="3"/>
      <c r="AB736" s="3"/>
      <c r="AC736" s="3"/>
      <c r="AD736" s="3"/>
      <c r="AE736" s="3"/>
      <c r="AF736" s="3"/>
      <c r="AG736" s="3"/>
      <c r="AH736" s="3"/>
      <c r="AI736" s="3"/>
      <c r="AK736" s="3"/>
      <c r="AL736" s="3"/>
      <c r="AM736" s="3"/>
      <c r="AN736" s="3"/>
      <c r="AO736" s="3"/>
      <c r="AP736" s="3"/>
      <c r="AQ736" s="3"/>
      <c r="AR736" s="3"/>
    </row>
    <row r="737" spans="1:44" ht="16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S737" s="3"/>
      <c r="T737" s="3"/>
      <c r="U737" s="3"/>
      <c r="V737" s="3"/>
      <c r="W737" s="3"/>
      <c r="X737" s="3"/>
      <c r="Y737" s="3"/>
      <c r="Z737" s="3"/>
      <c r="AB737" s="3"/>
      <c r="AC737" s="3"/>
      <c r="AD737" s="3"/>
      <c r="AE737" s="3"/>
      <c r="AF737" s="3"/>
      <c r="AG737" s="3"/>
      <c r="AH737" s="3"/>
      <c r="AI737" s="3"/>
      <c r="AK737" s="3"/>
      <c r="AL737" s="3"/>
      <c r="AM737" s="3"/>
      <c r="AN737" s="3"/>
      <c r="AO737" s="3"/>
      <c r="AP737" s="3"/>
      <c r="AQ737" s="3"/>
      <c r="AR737" s="3"/>
    </row>
    <row r="738" spans="1:44" ht="16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S738" s="3"/>
      <c r="T738" s="3"/>
      <c r="U738" s="3"/>
      <c r="V738" s="3"/>
      <c r="W738" s="3"/>
      <c r="X738" s="3"/>
      <c r="Y738" s="3"/>
      <c r="Z738" s="3"/>
      <c r="AB738" s="3"/>
      <c r="AC738" s="3"/>
      <c r="AD738" s="3"/>
      <c r="AE738" s="3"/>
      <c r="AF738" s="3"/>
      <c r="AG738" s="3"/>
      <c r="AH738" s="3"/>
      <c r="AI738" s="3"/>
      <c r="AK738" s="3"/>
      <c r="AL738" s="3"/>
      <c r="AM738" s="3"/>
      <c r="AN738" s="3"/>
      <c r="AO738" s="3"/>
      <c r="AP738" s="3"/>
      <c r="AQ738" s="3"/>
      <c r="AR738" s="3"/>
    </row>
    <row r="739" spans="1:44" ht="16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S739" s="3"/>
      <c r="T739" s="3"/>
      <c r="U739" s="3"/>
      <c r="V739" s="3"/>
      <c r="W739" s="3"/>
      <c r="X739" s="3"/>
      <c r="Y739" s="3"/>
      <c r="Z739" s="3"/>
      <c r="AB739" s="3"/>
      <c r="AC739" s="3"/>
      <c r="AD739" s="3"/>
      <c r="AE739" s="3"/>
      <c r="AF739" s="3"/>
      <c r="AG739" s="3"/>
      <c r="AH739" s="3"/>
      <c r="AI739" s="3"/>
      <c r="AK739" s="3"/>
      <c r="AL739" s="3"/>
      <c r="AM739" s="3"/>
      <c r="AN739" s="3"/>
      <c r="AO739" s="3"/>
      <c r="AP739" s="3"/>
      <c r="AQ739" s="3"/>
      <c r="AR739" s="3"/>
    </row>
    <row r="740" spans="1:44" ht="16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S740" s="3"/>
      <c r="T740" s="3"/>
      <c r="U740" s="3"/>
      <c r="V740" s="3"/>
      <c r="W740" s="3"/>
      <c r="X740" s="3"/>
      <c r="Y740" s="3"/>
      <c r="Z740" s="3"/>
      <c r="AB740" s="3"/>
      <c r="AC740" s="3"/>
      <c r="AD740" s="3"/>
      <c r="AE740" s="3"/>
      <c r="AF740" s="3"/>
      <c r="AG740" s="3"/>
      <c r="AH740" s="3"/>
      <c r="AI740" s="3"/>
      <c r="AK740" s="3"/>
      <c r="AL740" s="3"/>
      <c r="AM740" s="3"/>
      <c r="AN740" s="3"/>
      <c r="AO740" s="3"/>
      <c r="AP740" s="3"/>
      <c r="AQ740" s="3"/>
      <c r="AR740" s="3"/>
    </row>
    <row r="741" spans="1:44" ht="16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S741" s="3"/>
      <c r="T741" s="3"/>
      <c r="U741" s="3"/>
      <c r="V741" s="3"/>
      <c r="W741" s="3"/>
      <c r="X741" s="3"/>
      <c r="Y741" s="3"/>
      <c r="Z741" s="3"/>
      <c r="AB741" s="3"/>
      <c r="AC741" s="3"/>
      <c r="AD741" s="3"/>
      <c r="AE741" s="3"/>
      <c r="AF741" s="3"/>
      <c r="AG741" s="3"/>
      <c r="AH741" s="3"/>
      <c r="AI741" s="3"/>
      <c r="AK741" s="3"/>
      <c r="AL741" s="3"/>
      <c r="AM741" s="3"/>
      <c r="AN741" s="3"/>
      <c r="AO741" s="3"/>
      <c r="AP741" s="3"/>
      <c r="AQ741" s="3"/>
      <c r="AR741" s="3"/>
    </row>
    <row r="742" spans="1:44" ht="16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S742" s="3"/>
      <c r="T742" s="3"/>
      <c r="U742" s="3"/>
      <c r="V742" s="3"/>
      <c r="W742" s="3"/>
      <c r="X742" s="3"/>
      <c r="Y742" s="3"/>
      <c r="Z742" s="3"/>
      <c r="AB742" s="3"/>
      <c r="AC742" s="3"/>
      <c r="AD742" s="3"/>
      <c r="AE742" s="3"/>
      <c r="AF742" s="3"/>
      <c r="AG742" s="3"/>
      <c r="AH742" s="3"/>
      <c r="AI742" s="3"/>
      <c r="AK742" s="3"/>
      <c r="AL742" s="3"/>
      <c r="AM742" s="3"/>
      <c r="AN742" s="3"/>
      <c r="AO742" s="3"/>
      <c r="AP742" s="3"/>
      <c r="AQ742" s="3"/>
      <c r="AR742" s="3"/>
    </row>
    <row r="743" spans="1:44" ht="16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S743" s="3"/>
      <c r="T743" s="3"/>
      <c r="U743" s="3"/>
      <c r="V743" s="3"/>
      <c r="W743" s="3"/>
      <c r="X743" s="3"/>
      <c r="Y743" s="3"/>
      <c r="Z743" s="3"/>
      <c r="AB743" s="3"/>
      <c r="AC743" s="3"/>
      <c r="AD743" s="3"/>
      <c r="AE743" s="3"/>
      <c r="AF743" s="3"/>
      <c r="AG743" s="3"/>
      <c r="AH743" s="3"/>
      <c r="AI743" s="3"/>
      <c r="AK743" s="3"/>
      <c r="AL743" s="3"/>
      <c r="AM743" s="3"/>
      <c r="AN743" s="3"/>
      <c r="AO743" s="3"/>
      <c r="AP743" s="3"/>
      <c r="AQ743" s="3"/>
      <c r="AR743" s="3"/>
    </row>
    <row r="744" spans="1:44" ht="16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S744" s="3"/>
      <c r="T744" s="3"/>
      <c r="U744" s="3"/>
      <c r="V744" s="3"/>
      <c r="W744" s="3"/>
      <c r="X744" s="3"/>
      <c r="Y744" s="3"/>
      <c r="Z744" s="3"/>
      <c r="AB744" s="3"/>
      <c r="AC744" s="3"/>
      <c r="AD744" s="3"/>
      <c r="AE744" s="3"/>
      <c r="AF744" s="3"/>
      <c r="AG744" s="3"/>
      <c r="AH744" s="3"/>
      <c r="AI744" s="3"/>
      <c r="AK744" s="3"/>
      <c r="AL744" s="3"/>
      <c r="AM744" s="3"/>
      <c r="AN744" s="3"/>
      <c r="AO744" s="3"/>
      <c r="AP744" s="3"/>
      <c r="AQ744" s="3"/>
      <c r="AR744" s="3"/>
    </row>
    <row r="745" spans="1:44" ht="16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S745" s="3"/>
      <c r="T745" s="3"/>
      <c r="U745" s="3"/>
      <c r="V745" s="3"/>
      <c r="W745" s="3"/>
      <c r="X745" s="3"/>
      <c r="Y745" s="3"/>
      <c r="Z745" s="3"/>
      <c r="AB745" s="3"/>
      <c r="AC745" s="3"/>
      <c r="AD745" s="3"/>
      <c r="AE745" s="3"/>
      <c r="AF745" s="3"/>
      <c r="AG745" s="3"/>
      <c r="AH745" s="3"/>
      <c r="AI745" s="3"/>
      <c r="AK745" s="3"/>
      <c r="AL745" s="3"/>
      <c r="AM745" s="3"/>
      <c r="AN745" s="3"/>
      <c r="AO745" s="3"/>
      <c r="AP745" s="3"/>
      <c r="AQ745" s="3"/>
      <c r="AR745" s="3"/>
    </row>
    <row r="746" spans="1:44" ht="16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S746" s="3"/>
      <c r="T746" s="3"/>
      <c r="U746" s="3"/>
      <c r="V746" s="3"/>
      <c r="W746" s="3"/>
      <c r="X746" s="3"/>
      <c r="Y746" s="3"/>
      <c r="Z746" s="3"/>
      <c r="AB746" s="3"/>
      <c r="AC746" s="3"/>
      <c r="AD746" s="3"/>
      <c r="AE746" s="3"/>
      <c r="AF746" s="3"/>
      <c r="AG746" s="3"/>
      <c r="AH746" s="3"/>
      <c r="AI746" s="3"/>
      <c r="AK746" s="3"/>
      <c r="AL746" s="3"/>
      <c r="AM746" s="3"/>
      <c r="AN746" s="3"/>
      <c r="AO746" s="3"/>
      <c r="AP746" s="3"/>
      <c r="AQ746" s="3"/>
      <c r="AR746" s="3"/>
    </row>
    <row r="747" spans="1:44" ht="16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S747" s="3"/>
      <c r="T747" s="3"/>
      <c r="U747" s="3"/>
      <c r="V747" s="3"/>
      <c r="W747" s="3"/>
      <c r="X747" s="3"/>
      <c r="Y747" s="3"/>
      <c r="Z747" s="3"/>
      <c r="AB747" s="3"/>
      <c r="AC747" s="3"/>
      <c r="AD747" s="3"/>
      <c r="AE747" s="3"/>
      <c r="AF747" s="3"/>
      <c r="AG747" s="3"/>
      <c r="AH747" s="3"/>
      <c r="AI747" s="3"/>
      <c r="AK747" s="3"/>
      <c r="AL747" s="3"/>
      <c r="AM747" s="3"/>
      <c r="AN747" s="3"/>
      <c r="AO747" s="3"/>
      <c r="AP747" s="3"/>
      <c r="AQ747" s="3"/>
      <c r="AR747" s="3"/>
    </row>
    <row r="748" spans="1:44" ht="16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S748" s="3"/>
      <c r="T748" s="3"/>
      <c r="U748" s="3"/>
      <c r="V748" s="3"/>
      <c r="W748" s="3"/>
      <c r="X748" s="3"/>
      <c r="Y748" s="3"/>
      <c r="Z748" s="3"/>
      <c r="AB748" s="3"/>
      <c r="AC748" s="3"/>
      <c r="AD748" s="3"/>
      <c r="AE748" s="3"/>
      <c r="AF748" s="3"/>
      <c r="AG748" s="3"/>
      <c r="AH748" s="3"/>
      <c r="AI748" s="3"/>
      <c r="AK748" s="3"/>
      <c r="AL748" s="3"/>
      <c r="AM748" s="3"/>
      <c r="AN748" s="3"/>
      <c r="AO748" s="3"/>
      <c r="AP748" s="3"/>
      <c r="AQ748" s="3"/>
      <c r="AR748" s="3"/>
    </row>
    <row r="749" spans="1:44" ht="16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S749" s="3"/>
      <c r="T749" s="3"/>
      <c r="U749" s="3"/>
      <c r="V749" s="3"/>
      <c r="W749" s="3"/>
      <c r="X749" s="3"/>
      <c r="Y749" s="3"/>
      <c r="Z749" s="3"/>
      <c r="AB749" s="3"/>
      <c r="AC749" s="3"/>
      <c r="AD749" s="3"/>
      <c r="AE749" s="3"/>
      <c r="AF749" s="3"/>
      <c r="AG749" s="3"/>
      <c r="AH749" s="3"/>
      <c r="AI749" s="3"/>
      <c r="AK749" s="3"/>
      <c r="AL749" s="3"/>
      <c r="AM749" s="3"/>
      <c r="AN749" s="3"/>
      <c r="AO749" s="3"/>
      <c r="AP749" s="3"/>
      <c r="AQ749" s="3"/>
      <c r="AR749" s="3"/>
    </row>
    <row r="750" spans="1:44" ht="16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S750" s="3"/>
      <c r="T750" s="3"/>
      <c r="U750" s="3"/>
      <c r="V750" s="3"/>
      <c r="W750" s="3"/>
      <c r="X750" s="3"/>
      <c r="Y750" s="3"/>
      <c r="Z750" s="3"/>
      <c r="AB750" s="3"/>
      <c r="AC750" s="3"/>
      <c r="AD750" s="3"/>
      <c r="AE750" s="3"/>
      <c r="AF750" s="3"/>
      <c r="AG750" s="3"/>
      <c r="AH750" s="3"/>
      <c r="AI750" s="3"/>
      <c r="AK750" s="3"/>
      <c r="AL750" s="3"/>
      <c r="AM750" s="3"/>
      <c r="AN750" s="3"/>
      <c r="AO750" s="3"/>
      <c r="AP750" s="3"/>
      <c r="AQ750" s="3"/>
      <c r="AR750" s="3"/>
    </row>
    <row r="751" spans="1:44" ht="16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S751" s="3"/>
      <c r="T751" s="3"/>
      <c r="U751" s="3"/>
      <c r="V751" s="3"/>
      <c r="W751" s="3"/>
      <c r="X751" s="3"/>
      <c r="Y751" s="3"/>
      <c r="Z751" s="3"/>
      <c r="AB751" s="3"/>
      <c r="AC751" s="3"/>
      <c r="AD751" s="3"/>
      <c r="AE751" s="3"/>
      <c r="AF751" s="3"/>
      <c r="AG751" s="3"/>
      <c r="AH751" s="3"/>
      <c r="AI751" s="3"/>
      <c r="AK751" s="3"/>
      <c r="AL751" s="3"/>
      <c r="AM751" s="3"/>
      <c r="AN751" s="3"/>
      <c r="AO751" s="3"/>
      <c r="AP751" s="3"/>
      <c r="AQ751" s="3"/>
      <c r="AR751" s="3"/>
    </row>
    <row r="752" spans="1:44" ht="16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S752" s="3"/>
      <c r="T752" s="3"/>
      <c r="U752" s="3"/>
      <c r="V752" s="3"/>
      <c r="W752" s="3"/>
      <c r="X752" s="3"/>
      <c r="Y752" s="3"/>
      <c r="Z752" s="3"/>
      <c r="AB752" s="3"/>
      <c r="AC752" s="3"/>
      <c r="AD752" s="3"/>
      <c r="AE752" s="3"/>
      <c r="AF752" s="3"/>
      <c r="AG752" s="3"/>
      <c r="AH752" s="3"/>
      <c r="AI752" s="3"/>
      <c r="AK752" s="3"/>
      <c r="AL752" s="3"/>
      <c r="AM752" s="3"/>
      <c r="AN752" s="3"/>
      <c r="AO752" s="3"/>
      <c r="AP752" s="3"/>
      <c r="AQ752" s="3"/>
      <c r="AR752" s="3"/>
    </row>
    <row r="753" spans="1:44" ht="16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S753" s="3"/>
      <c r="T753" s="3"/>
      <c r="U753" s="3"/>
      <c r="V753" s="3"/>
      <c r="W753" s="3"/>
      <c r="X753" s="3"/>
      <c r="Y753" s="3"/>
      <c r="Z753" s="3"/>
      <c r="AB753" s="3"/>
      <c r="AC753" s="3"/>
      <c r="AD753" s="3"/>
      <c r="AE753" s="3"/>
      <c r="AF753" s="3"/>
      <c r="AG753" s="3"/>
      <c r="AH753" s="3"/>
      <c r="AI753" s="3"/>
      <c r="AK753" s="3"/>
      <c r="AL753" s="3"/>
      <c r="AM753" s="3"/>
      <c r="AN753" s="3"/>
      <c r="AO753" s="3"/>
      <c r="AP753" s="3"/>
      <c r="AQ753" s="3"/>
      <c r="AR753" s="3"/>
    </row>
    <row r="754" spans="1:44" ht="16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S754" s="3"/>
      <c r="T754" s="3"/>
      <c r="U754" s="3"/>
      <c r="V754" s="3"/>
      <c r="W754" s="3"/>
      <c r="X754" s="3"/>
      <c r="Y754" s="3"/>
      <c r="Z754" s="3"/>
      <c r="AB754" s="3"/>
      <c r="AC754" s="3"/>
      <c r="AD754" s="3"/>
      <c r="AE754" s="3"/>
      <c r="AF754" s="3"/>
      <c r="AG754" s="3"/>
      <c r="AH754" s="3"/>
      <c r="AI754" s="3"/>
      <c r="AK754" s="3"/>
      <c r="AL754" s="3"/>
      <c r="AM754" s="3"/>
      <c r="AN754" s="3"/>
      <c r="AO754" s="3"/>
      <c r="AP754" s="3"/>
      <c r="AQ754" s="3"/>
      <c r="AR754" s="3"/>
    </row>
    <row r="755" spans="1:44" ht="16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S755" s="3"/>
      <c r="T755" s="3"/>
      <c r="U755" s="3"/>
      <c r="V755" s="3"/>
      <c r="W755" s="3"/>
      <c r="X755" s="3"/>
      <c r="Y755" s="3"/>
      <c r="Z755" s="3"/>
      <c r="AB755" s="3"/>
      <c r="AC755" s="3"/>
      <c r="AD755" s="3"/>
      <c r="AE755" s="3"/>
      <c r="AF755" s="3"/>
      <c r="AG755" s="3"/>
      <c r="AH755" s="3"/>
      <c r="AI755" s="3"/>
      <c r="AK755" s="3"/>
      <c r="AL755" s="3"/>
      <c r="AM755" s="3"/>
      <c r="AN755" s="3"/>
      <c r="AO755" s="3"/>
      <c r="AP755" s="3"/>
      <c r="AQ755" s="3"/>
      <c r="AR755" s="3"/>
    </row>
    <row r="756" spans="1:44" ht="16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S756" s="3"/>
      <c r="T756" s="3"/>
      <c r="U756" s="3"/>
      <c r="V756" s="3"/>
      <c r="W756" s="3"/>
      <c r="X756" s="3"/>
      <c r="Y756" s="3"/>
      <c r="Z756" s="3"/>
      <c r="AB756" s="3"/>
      <c r="AC756" s="3"/>
      <c r="AD756" s="3"/>
      <c r="AE756" s="3"/>
      <c r="AF756" s="3"/>
      <c r="AG756" s="3"/>
      <c r="AH756" s="3"/>
      <c r="AI756" s="3"/>
      <c r="AK756" s="3"/>
      <c r="AL756" s="3"/>
      <c r="AM756" s="3"/>
      <c r="AN756" s="3"/>
      <c r="AO756" s="3"/>
      <c r="AP756" s="3"/>
      <c r="AQ756" s="3"/>
      <c r="AR756" s="3"/>
    </row>
    <row r="757" spans="1:44" ht="16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S757" s="3"/>
      <c r="T757" s="3"/>
      <c r="U757" s="3"/>
      <c r="V757" s="3"/>
      <c r="W757" s="3"/>
      <c r="X757" s="3"/>
      <c r="Y757" s="3"/>
      <c r="Z757" s="3"/>
      <c r="AB757" s="3"/>
      <c r="AC757" s="3"/>
      <c r="AD757" s="3"/>
      <c r="AE757" s="3"/>
      <c r="AF757" s="3"/>
      <c r="AG757" s="3"/>
      <c r="AH757" s="3"/>
      <c r="AI757" s="3"/>
      <c r="AK757" s="3"/>
      <c r="AL757" s="3"/>
      <c r="AM757" s="3"/>
      <c r="AN757" s="3"/>
      <c r="AO757" s="3"/>
      <c r="AP757" s="3"/>
      <c r="AQ757" s="3"/>
      <c r="AR757" s="3"/>
    </row>
    <row r="758" spans="1:44" ht="16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S758" s="3"/>
      <c r="T758" s="3"/>
      <c r="U758" s="3"/>
      <c r="V758" s="3"/>
      <c r="W758" s="3"/>
      <c r="X758" s="3"/>
      <c r="Y758" s="3"/>
      <c r="Z758" s="3"/>
      <c r="AB758" s="3"/>
      <c r="AC758" s="3"/>
      <c r="AD758" s="3"/>
      <c r="AE758" s="3"/>
      <c r="AF758" s="3"/>
      <c r="AG758" s="3"/>
      <c r="AH758" s="3"/>
      <c r="AI758" s="3"/>
      <c r="AK758" s="3"/>
      <c r="AL758" s="3"/>
      <c r="AM758" s="3"/>
      <c r="AN758" s="3"/>
      <c r="AO758" s="3"/>
      <c r="AP758" s="3"/>
      <c r="AQ758" s="3"/>
      <c r="AR758" s="3"/>
    </row>
    <row r="759" spans="1:44" ht="16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S759" s="3"/>
      <c r="T759" s="3"/>
      <c r="U759" s="3"/>
      <c r="V759" s="3"/>
      <c r="W759" s="3"/>
      <c r="X759" s="3"/>
      <c r="Y759" s="3"/>
      <c r="Z759" s="3"/>
      <c r="AB759" s="3"/>
      <c r="AC759" s="3"/>
      <c r="AD759" s="3"/>
      <c r="AE759" s="3"/>
      <c r="AF759" s="3"/>
      <c r="AG759" s="3"/>
      <c r="AH759" s="3"/>
      <c r="AI759" s="3"/>
      <c r="AK759" s="3"/>
      <c r="AL759" s="3"/>
      <c r="AM759" s="3"/>
      <c r="AN759" s="3"/>
      <c r="AO759" s="3"/>
      <c r="AP759" s="3"/>
      <c r="AQ759" s="3"/>
      <c r="AR759" s="3"/>
    </row>
    <row r="760" spans="1:44" ht="16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S760" s="3"/>
      <c r="T760" s="3"/>
      <c r="U760" s="3"/>
      <c r="V760" s="3"/>
      <c r="W760" s="3"/>
      <c r="X760" s="3"/>
      <c r="Y760" s="3"/>
      <c r="Z760" s="3"/>
      <c r="AB760" s="3"/>
      <c r="AC760" s="3"/>
      <c r="AD760" s="3"/>
      <c r="AE760" s="3"/>
      <c r="AF760" s="3"/>
      <c r="AG760" s="3"/>
      <c r="AH760" s="3"/>
      <c r="AI760" s="3"/>
      <c r="AK760" s="3"/>
      <c r="AL760" s="3"/>
      <c r="AM760" s="3"/>
      <c r="AN760" s="3"/>
      <c r="AO760" s="3"/>
      <c r="AP760" s="3"/>
      <c r="AQ760" s="3"/>
      <c r="AR760" s="3"/>
    </row>
    <row r="761" spans="1:44" ht="16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S761" s="3"/>
      <c r="T761" s="3"/>
      <c r="U761" s="3"/>
      <c r="V761" s="3"/>
      <c r="W761" s="3"/>
      <c r="X761" s="3"/>
      <c r="Y761" s="3"/>
      <c r="Z761" s="3"/>
      <c r="AB761" s="3"/>
      <c r="AC761" s="3"/>
      <c r="AD761" s="3"/>
      <c r="AE761" s="3"/>
      <c r="AF761" s="3"/>
      <c r="AG761" s="3"/>
      <c r="AH761" s="3"/>
      <c r="AI761" s="3"/>
      <c r="AK761" s="3"/>
      <c r="AL761" s="3"/>
      <c r="AM761" s="3"/>
      <c r="AN761" s="3"/>
      <c r="AO761" s="3"/>
      <c r="AP761" s="3"/>
      <c r="AQ761" s="3"/>
      <c r="AR761" s="3"/>
    </row>
    <row r="762" spans="1:44" ht="16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S762" s="3"/>
      <c r="T762" s="3"/>
      <c r="U762" s="3"/>
      <c r="V762" s="3"/>
      <c r="W762" s="3"/>
      <c r="X762" s="3"/>
      <c r="Y762" s="3"/>
      <c r="Z762" s="3"/>
      <c r="AB762" s="3"/>
      <c r="AC762" s="3"/>
      <c r="AD762" s="3"/>
      <c r="AE762" s="3"/>
      <c r="AF762" s="3"/>
      <c r="AG762" s="3"/>
      <c r="AH762" s="3"/>
      <c r="AI762" s="3"/>
      <c r="AK762" s="3"/>
      <c r="AL762" s="3"/>
      <c r="AM762" s="3"/>
      <c r="AN762" s="3"/>
      <c r="AO762" s="3"/>
      <c r="AP762" s="3"/>
      <c r="AQ762" s="3"/>
      <c r="AR762" s="3"/>
    </row>
    <row r="763" spans="1:44" ht="16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S763" s="3"/>
      <c r="T763" s="3"/>
      <c r="U763" s="3"/>
      <c r="V763" s="3"/>
      <c r="W763" s="3"/>
      <c r="X763" s="3"/>
      <c r="Y763" s="3"/>
      <c r="Z763" s="3"/>
      <c r="AB763" s="3"/>
      <c r="AC763" s="3"/>
      <c r="AD763" s="3"/>
      <c r="AE763" s="3"/>
      <c r="AF763" s="3"/>
      <c r="AG763" s="3"/>
      <c r="AH763" s="3"/>
      <c r="AI763" s="3"/>
      <c r="AK763" s="3"/>
      <c r="AL763" s="3"/>
      <c r="AM763" s="3"/>
      <c r="AN763" s="3"/>
      <c r="AO763" s="3"/>
      <c r="AP763" s="3"/>
      <c r="AQ763" s="3"/>
      <c r="AR763" s="3"/>
    </row>
    <row r="764" spans="1:44" ht="16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S764" s="3"/>
      <c r="T764" s="3"/>
      <c r="U764" s="3"/>
      <c r="V764" s="3"/>
      <c r="W764" s="3"/>
      <c r="X764" s="3"/>
      <c r="Y764" s="3"/>
      <c r="Z764" s="3"/>
      <c r="AB764" s="3"/>
      <c r="AC764" s="3"/>
      <c r="AD764" s="3"/>
      <c r="AE764" s="3"/>
      <c r="AF764" s="3"/>
      <c r="AG764" s="3"/>
      <c r="AH764" s="3"/>
      <c r="AI764" s="3"/>
      <c r="AK764" s="3"/>
      <c r="AL764" s="3"/>
      <c r="AM764" s="3"/>
      <c r="AN764" s="3"/>
      <c r="AO764" s="3"/>
      <c r="AP764" s="3"/>
      <c r="AQ764" s="3"/>
      <c r="AR764" s="3"/>
    </row>
    <row r="765" spans="1:44" ht="16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S765" s="3"/>
      <c r="T765" s="3"/>
      <c r="U765" s="3"/>
      <c r="V765" s="3"/>
      <c r="W765" s="3"/>
      <c r="X765" s="3"/>
      <c r="Y765" s="3"/>
      <c r="Z765" s="3"/>
      <c r="AB765" s="3"/>
      <c r="AC765" s="3"/>
      <c r="AD765" s="3"/>
      <c r="AE765" s="3"/>
      <c r="AF765" s="3"/>
      <c r="AG765" s="3"/>
      <c r="AH765" s="3"/>
      <c r="AI765" s="3"/>
      <c r="AK765" s="3"/>
      <c r="AL765" s="3"/>
      <c r="AM765" s="3"/>
      <c r="AN765" s="3"/>
      <c r="AO765" s="3"/>
      <c r="AP765" s="3"/>
      <c r="AQ765" s="3"/>
      <c r="AR765" s="3"/>
    </row>
    <row r="766" spans="1:44" ht="16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S766" s="3"/>
      <c r="T766" s="3"/>
      <c r="U766" s="3"/>
      <c r="V766" s="3"/>
      <c r="W766" s="3"/>
      <c r="X766" s="3"/>
      <c r="Y766" s="3"/>
      <c r="Z766" s="3"/>
      <c r="AB766" s="3"/>
      <c r="AC766" s="3"/>
      <c r="AD766" s="3"/>
      <c r="AE766" s="3"/>
      <c r="AF766" s="3"/>
      <c r="AG766" s="3"/>
      <c r="AH766" s="3"/>
      <c r="AI766" s="3"/>
      <c r="AK766" s="3"/>
      <c r="AL766" s="3"/>
      <c r="AM766" s="3"/>
      <c r="AN766" s="3"/>
      <c r="AO766" s="3"/>
      <c r="AP766" s="3"/>
      <c r="AQ766" s="3"/>
      <c r="AR766" s="3"/>
    </row>
    <row r="767" spans="1:44" ht="16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S767" s="3"/>
      <c r="T767" s="3"/>
      <c r="U767" s="3"/>
      <c r="V767" s="3"/>
      <c r="W767" s="3"/>
      <c r="X767" s="3"/>
      <c r="Y767" s="3"/>
      <c r="Z767" s="3"/>
      <c r="AB767" s="3"/>
      <c r="AC767" s="3"/>
      <c r="AD767" s="3"/>
      <c r="AE767" s="3"/>
      <c r="AF767" s="3"/>
      <c r="AG767" s="3"/>
      <c r="AH767" s="3"/>
      <c r="AI767" s="3"/>
      <c r="AK767" s="3"/>
      <c r="AL767" s="3"/>
      <c r="AM767" s="3"/>
      <c r="AN767" s="3"/>
      <c r="AO767" s="3"/>
      <c r="AP767" s="3"/>
      <c r="AQ767" s="3"/>
      <c r="AR767" s="3"/>
    </row>
    <row r="768" spans="1:44" ht="16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S768" s="3"/>
      <c r="T768" s="3"/>
      <c r="U768" s="3"/>
      <c r="V768" s="3"/>
      <c r="W768" s="3"/>
      <c r="X768" s="3"/>
      <c r="Y768" s="3"/>
      <c r="Z768" s="3"/>
      <c r="AB768" s="3"/>
      <c r="AC768" s="3"/>
      <c r="AD768" s="3"/>
      <c r="AE768" s="3"/>
      <c r="AF768" s="3"/>
      <c r="AG768" s="3"/>
      <c r="AH768" s="3"/>
      <c r="AI768" s="3"/>
      <c r="AK768" s="3"/>
      <c r="AL768" s="3"/>
      <c r="AM768" s="3"/>
      <c r="AN768" s="3"/>
      <c r="AO768" s="3"/>
      <c r="AP768" s="3"/>
      <c r="AQ768" s="3"/>
      <c r="AR768" s="3"/>
    </row>
    <row r="769" spans="1:44" ht="16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S769" s="3"/>
      <c r="T769" s="3"/>
      <c r="U769" s="3"/>
      <c r="V769" s="3"/>
      <c r="W769" s="3"/>
      <c r="X769" s="3"/>
      <c r="Y769" s="3"/>
      <c r="Z769" s="3"/>
      <c r="AB769" s="3"/>
      <c r="AC769" s="3"/>
      <c r="AD769" s="3"/>
      <c r="AE769" s="3"/>
      <c r="AF769" s="3"/>
      <c r="AG769" s="3"/>
      <c r="AH769" s="3"/>
      <c r="AI769" s="3"/>
      <c r="AK769" s="3"/>
      <c r="AL769" s="3"/>
      <c r="AM769" s="3"/>
      <c r="AN769" s="3"/>
      <c r="AO769" s="3"/>
      <c r="AP769" s="3"/>
      <c r="AQ769" s="3"/>
      <c r="AR769" s="3"/>
    </row>
    <row r="770" spans="1:44" ht="16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S770" s="3"/>
      <c r="T770" s="3"/>
      <c r="U770" s="3"/>
      <c r="V770" s="3"/>
      <c r="W770" s="3"/>
      <c r="X770" s="3"/>
      <c r="Y770" s="3"/>
      <c r="Z770" s="3"/>
      <c r="AB770" s="3"/>
      <c r="AC770" s="3"/>
      <c r="AD770" s="3"/>
      <c r="AE770" s="3"/>
      <c r="AF770" s="3"/>
      <c r="AG770" s="3"/>
      <c r="AH770" s="3"/>
      <c r="AI770" s="3"/>
      <c r="AK770" s="3"/>
      <c r="AL770" s="3"/>
      <c r="AM770" s="3"/>
      <c r="AN770" s="3"/>
      <c r="AO770" s="3"/>
      <c r="AP770" s="3"/>
      <c r="AQ770" s="3"/>
      <c r="AR770" s="3"/>
    </row>
    <row r="771" spans="1:44" ht="16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S771" s="3"/>
      <c r="T771" s="3"/>
      <c r="U771" s="3"/>
      <c r="V771" s="3"/>
      <c r="W771" s="3"/>
      <c r="X771" s="3"/>
      <c r="Y771" s="3"/>
      <c r="Z771" s="3"/>
      <c r="AB771" s="3"/>
      <c r="AC771" s="3"/>
      <c r="AD771" s="3"/>
      <c r="AE771" s="3"/>
      <c r="AF771" s="3"/>
      <c r="AG771" s="3"/>
      <c r="AH771" s="3"/>
      <c r="AI771" s="3"/>
      <c r="AK771" s="3"/>
      <c r="AL771" s="3"/>
      <c r="AM771" s="3"/>
      <c r="AN771" s="3"/>
      <c r="AO771" s="3"/>
      <c r="AP771" s="3"/>
      <c r="AQ771" s="3"/>
      <c r="AR771" s="3"/>
    </row>
    <row r="772" spans="1:44" ht="16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S772" s="3"/>
      <c r="T772" s="3"/>
      <c r="U772" s="3"/>
      <c r="V772" s="3"/>
      <c r="W772" s="3"/>
      <c r="X772" s="3"/>
      <c r="Y772" s="3"/>
      <c r="Z772" s="3"/>
      <c r="AB772" s="3"/>
      <c r="AC772" s="3"/>
      <c r="AD772" s="3"/>
      <c r="AE772" s="3"/>
      <c r="AF772" s="3"/>
      <c r="AG772" s="3"/>
      <c r="AH772" s="3"/>
      <c r="AI772" s="3"/>
      <c r="AK772" s="3"/>
      <c r="AL772" s="3"/>
      <c r="AM772" s="3"/>
      <c r="AN772" s="3"/>
      <c r="AO772" s="3"/>
      <c r="AP772" s="3"/>
      <c r="AQ772" s="3"/>
      <c r="AR772" s="3"/>
    </row>
    <row r="773" spans="1:44" ht="16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S773" s="3"/>
      <c r="T773" s="3"/>
      <c r="U773" s="3"/>
      <c r="V773" s="3"/>
      <c r="W773" s="3"/>
      <c r="X773" s="3"/>
      <c r="Y773" s="3"/>
      <c r="Z773" s="3"/>
      <c r="AB773" s="3"/>
      <c r="AC773" s="3"/>
      <c r="AD773" s="3"/>
      <c r="AE773" s="3"/>
      <c r="AF773" s="3"/>
      <c r="AG773" s="3"/>
      <c r="AH773" s="3"/>
      <c r="AI773" s="3"/>
      <c r="AK773" s="3"/>
      <c r="AL773" s="3"/>
      <c r="AM773" s="3"/>
      <c r="AN773" s="3"/>
      <c r="AO773" s="3"/>
      <c r="AP773" s="3"/>
      <c r="AQ773" s="3"/>
      <c r="AR773" s="3"/>
    </row>
    <row r="774" spans="1:44" ht="16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S774" s="3"/>
      <c r="T774" s="3"/>
      <c r="U774" s="3"/>
      <c r="V774" s="3"/>
      <c r="W774" s="3"/>
      <c r="X774" s="3"/>
      <c r="Y774" s="3"/>
      <c r="Z774" s="3"/>
      <c r="AB774" s="3"/>
      <c r="AC774" s="3"/>
      <c r="AD774" s="3"/>
      <c r="AE774" s="3"/>
      <c r="AF774" s="3"/>
      <c r="AG774" s="3"/>
      <c r="AH774" s="3"/>
      <c r="AI774" s="3"/>
      <c r="AK774" s="3"/>
      <c r="AL774" s="3"/>
      <c r="AM774" s="3"/>
      <c r="AN774" s="3"/>
      <c r="AO774" s="3"/>
      <c r="AP774" s="3"/>
      <c r="AQ774" s="3"/>
      <c r="AR774" s="3"/>
    </row>
    <row r="775" spans="1:44" ht="16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S775" s="3"/>
      <c r="T775" s="3"/>
      <c r="U775" s="3"/>
      <c r="V775" s="3"/>
      <c r="W775" s="3"/>
      <c r="X775" s="3"/>
      <c r="Y775" s="3"/>
      <c r="Z775" s="3"/>
      <c r="AB775" s="3"/>
      <c r="AC775" s="3"/>
      <c r="AD775" s="3"/>
      <c r="AE775" s="3"/>
      <c r="AF775" s="3"/>
      <c r="AG775" s="3"/>
      <c r="AH775" s="3"/>
      <c r="AI775" s="3"/>
      <c r="AK775" s="3"/>
      <c r="AL775" s="3"/>
      <c r="AM775" s="3"/>
      <c r="AN775" s="3"/>
      <c r="AO775" s="3"/>
      <c r="AP775" s="3"/>
      <c r="AQ775" s="3"/>
      <c r="AR775" s="3"/>
    </row>
    <row r="776" spans="1:44" ht="16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S776" s="3"/>
      <c r="T776" s="3"/>
      <c r="U776" s="3"/>
      <c r="V776" s="3"/>
      <c r="W776" s="3"/>
      <c r="X776" s="3"/>
      <c r="Y776" s="3"/>
      <c r="Z776" s="3"/>
      <c r="AB776" s="3"/>
      <c r="AC776" s="3"/>
      <c r="AD776" s="3"/>
      <c r="AE776" s="3"/>
      <c r="AF776" s="3"/>
      <c r="AG776" s="3"/>
      <c r="AH776" s="3"/>
      <c r="AI776" s="3"/>
      <c r="AK776" s="3"/>
      <c r="AL776" s="3"/>
      <c r="AM776" s="3"/>
      <c r="AN776" s="3"/>
      <c r="AO776" s="3"/>
      <c r="AP776" s="3"/>
      <c r="AQ776" s="3"/>
      <c r="AR776" s="3"/>
    </row>
    <row r="777" spans="1:44" ht="16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S777" s="3"/>
      <c r="T777" s="3"/>
      <c r="U777" s="3"/>
      <c r="V777" s="3"/>
      <c r="W777" s="3"/>
      <c r="X777" s="3"/>
      <c r="Y777" s="3"/>
      <c r="Z777" s="3"/>
      <c r="AB777" s="3"/>
      <c r="AC777" s="3"/>
      <c r="AD777" s="3"/>
      <c r="AE777" s="3"/>
      <c r="AF777" s="3"/>
      <c r="AG777" s="3"/>
      <c r="AH777" s="3"/>
      <c r="AI777" s="3"/>
      <c r="AK777" s="3"/>
      <c r="AL777" s="3"/>
      <c r="AM777" s="3"/>
      <c r="AN777" s="3"/>
      <c r="AO777" s="3"/>
      <c r="AP777" s="3"/>
      <c r="AQ777" s="3"/>
      <c r="AR777" s="3"/>
    </row>
    <row r="778" spans="1:44" ht="16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S778" s="3"/>
      <c r="T778" s="3"/>
      <c r="U778" s="3"/>
      <c r="V778" s="3"/>
      <c r="W778" s="3"/>
      <c r="X778" s="3"/>
      <c r="Y778" s="3"/>
      <c r="Z778" s="3"/>
      <c r="AB778" s="3"/>
      <c r="AC778" s="3"/>
      <c r="AD778" s="3"/>
      <c r="AE778" s="3"/>
      <c r="AF778" s="3"/>
      <c r="AG778" s="3"/>
      <c r="AH778" s="3"/>
      <c r="AI778" s="3"/>
      <c r="AK778" s="3"/>
      <c r="AL778" s="3"/>
      <c r="AM778" s="3"/>
      <c r="AN778" s="3"/>
      <c r="AO778" s="3"/>
      <c r="AP778" s="3"/>
      <c r="AQ778" s="3"/>
      <c r="AR778" s="3"/>
    </row>
    <row r="779" spans="1:44" ht="16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S779" s="3"/>
      <c r="T779" s="3"/>
      <c r="U779" s="3"/>
      <c r="V779" s="3"/>
      <c r="W779" s="3"/>
      <c r="X779" s="3"/>
      <c r="Y779" s="3"/>
      <c r="Z779" s="3"/>
      <c r="AB779" s="3"/>
      <c r="AC779" s="3"/>
      <c r="AD779" s="3"/>
      <c r="AE779" s="3"/>
      <c r="AF779" s="3"/>
      <c r="AG779" s="3"/>
      <c r="AH779" s="3"/>
      <c r="AI779" s="3"/>
      <c r="AK779" s="3"/>
      <c r="AL779" s="3"/>
      <c r="AM779" s="3"/>
      <c r="AN779" s="3"/>
      <c r="AO779" s="3"/>
      <c r="AP779" s="3"/>
      <c r="AQ779" s="3"/>
      <c r="AR779" s="3"/>
    </row>
    <row r="780" spans="1:44" ht="16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S780" s="3"/>
      <c r="T780" s="3"/>
      <c r="U780" s="3"/>
      <c r="V780" s="3"/>
      <c r="W780" s="3"/>
      <c r="X780" s="3"/>
      <c r="Y780" s="3"/>
      <c r="Z780" s="3"/>
      <c r="AB780" s="3"/>
      <c r="AC780" s="3"/>
      <c r="AD780" s="3"/>
      <c r="AE780" s="3"/>
      <c r="AF780" s="3"/>
      <c r="AG780" s="3"/>
      <c r="AH780" s="3"/>
      <c r="AI780" s="3"/>
      <c r="AK780" s="3"/>
      <c r="AL780" s="3"/>
      <c r="AM780" s="3"/>
      <c r="AN780" s="3"/>
      <c r="AO780" s="3"/>
      <c r="AP780" s="3"/>
      <c r="AQ780" s="3"/>
      <c r="AR780" s="3"/>
    </row>
    <row r="781" spans="1:44" ht="16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S781" s="3"/>
      <c r="T781" s="3"/>
      <c r="U781" s="3"/>
      <c r="V781" s="3"/>
      <c r="W781" s="3"/>
      <c r="X781" s="3"/>
      <c r="Y781" s="3"/>
      <c r="Z781" s="3"/>
      <c r="AB781" s="3"/>
      <c r="AC781" s="3"/>
      <c r="AD781" s="3"/>
      <c r="AE781" s="3"/>
      <c r="AF781" s="3"/>
      <c r="AG781" s="3"/>
      <c r="AH781" s="3"/>
      <c r="AI781" s="3"/>
      <c r="AK781" s="3"/>
      <c r="AL781" s="3"/>
      <c r="AM781" s="3"/>
      <c r="AN781" s="3"/>
      <c r="AO781" s="3"/>
      <c r="AP781" s="3"/>
      <c r="AQ781" s="3"/>
      <c r="AR781" s="3"/>
    </row>
    <row r="782" spans="1:44" ht="16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S782" s="3"/>
      <c r="T782" s="3"/>
      <c r="U782" s="3"/>
      <c r="V782" s="3"/>
      <c r="W782" s="3"/>
      <c r="X782" s="3"/>
      <c r="Y782" s="3"/>
      <c r="Z782" s="3"/>
      <c r="AB782" s="3"/>
      <c r="AC782" s="3"/>
      <c r="AD782" s="3"/>
      <c r="AE782" s="3"/>
      <c r="AF782" s="3"/>
      <c r="AG782" s="3"/>
      <c r="AH782" s="3"/>
      <c r="AI782" s="3"/>
      <c r="AK782" s="3"/>
      <c r="AL782" s="3"/>
      <c r="AM782" s="3"/>
      <c r="AN782" s="3"/>
      <c r="AO782" s="3"/>
      <c r="AP782" s="3"/>
      <c r="AQ782" s="3"/>
      <c r="AR782" s="3"/>
    </row>
    <row r="783" spans="1:44" ht="16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S783" s="3"/>
      <c r="T783" s="3"/>
      <c r="U783" s="3"/>
      <c r="V783" s="3"/>
      <c r="W783" s="3"/>
      <c r="X783" s="3"/>
      <c r="Y783" s="3"/>
      <c r="Z783" s="3"/>
      <c r="AB783" s="3"/>
      <c r="AC783" s="3"/>
      <c r="AD783" s="3"/>
      <c r="AE783" s="3"/>
      <c r="AF783" s="3"/>
      <c r="AG783" s="3"/>
      <c r="AH783" s="3"/>
      <c r="AI783" s="3"/>
      <c r="AK783" s="3"/>
      <c r="AL783" s="3"/>
      <c r="AM783" s="3"/>
      <c r="AN783" s="3"/>
      <c r="AO783" s="3"/>
      <c r="AP783" s="3"/>
      <c r="AQ783" s="3"/>
      <c r="AR783" s="3"/>
    </row>
    <row r="784" spans="1:44" ht="16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S784" s="3"/>
      <c r="T784" s="3"/>
      <c r="U784" s="3"/>
      <c r="V784" s="3"/>
      <c r="W784" s="3"/>
      <c r="X784" s="3"/>
      <c r="Y784" s="3"/>
      <c r="Z784" s="3"/>
      <c r="AB784" s="3"/>
      <c r="AC784" s="3"/>
      <c r="AD784" s="3"/>
      <c r="AE784" s="3"/>
      <c r="AF784" s="3"/>
      <c r="AG784" s="3"/>
      <c r="AH784" s="3"/>
      <c r="AI784" s="3"/>
      <c r="AK784" s="3"/>
      <c r="AL784" s="3"/>
      <c r="AM784" s="3"/>
      <c r="AN784" s="3"/>
      <c r="AO784" s="3"/>
      <c r="AP784" s="3"/>
      <c r="AQ784" s="3"/>
      <c r="AR784" s="3"/>
    </row>
    <row r="785" spans="1:44" ht="16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S785" s="3"/>
      <c r="T785" s="3"/>
      <c r="U785" s="3"/>
      <c r="V785" s="3"/>
      <c r="W785" s="3"/>
      <c r="X785" s="3"/>
      <c r="Y785" s="3"/>
      <c r="Z785" s="3"/>
      <c r="AB785" s="3"/>
      <c r="AC785" s="3"/>
      <c r="AD785" s="3"/>
      <c r="AE785" s="3"/>
      <c r="AF785" s="3"/>
      <c r="AG785" s="3"/>
      <c r="AH785" s="3"/>
      <c r="AI785" s="3"/>
      <c r="AK785" s="3"/>
      <c r="AL785" s="3"/>
      <c r="AM785" s="3"/>
      <c r="AN785" s="3"/>
      <c r="AO785" s="3"/>
      <c r="AP785" s="3"/>
      <c r="AQ785" s="3"/>
      <c r="AR785" s="3"/>
    </row>
    <row r="786" spans="1:44" ht="16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S786" s="3"/>
      <c r="T786" s="3"/>
      <c r="U786" s="3"/>
      <c r="V786" s="3"/>
      <c r="W786" s="3"/>
      <c r="X786" s="3"/>
      <c r="Y786" s="3"/>
      <c r="Z786" s="3"/>
      <c r="AB786" s="3"/>
      <c r="AC786" s="3"/>
      <c r="AD786" s="3"/>
      <c r="AE786" s="3"/>
      <c r="AF786" s="3"/>
      <c r="AG786" s="3"/>
      <c r="AH786" s="3"/>
      <c r="AI786" s="3"/>
      <c r="AK786" s="3"/>
      <c r="AL786" s="3"/>
      <c r="AM786" s="3"/>
      <c r="AN786" s="3"/>
      <c r="AO786" s="3"/>
      <c r="AP786" s="3"/>
      <c r="AQ786" s="3"/>
      <c r="AR786" s="3"/>
    </row>
    <row r="787" spans="1:44" ht="16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S787" s="3"/>
      <c r="T787" s="3"/>
      <c r="U787" s="3"/>
      <c r="V787" s="3"/>
      <c r="W787" s="3"/>
      <c r="X787" s="3"/>
      <c r="Y787" s="3"/>
      <c r="Z787" s="3"/>
      <c r="AB787" s="3"/>
      <c r="AC787" s="3"/>
      <c r="AD787" s="3"/>
      <c r="AE787" s="3"/>
      <c r="AF787" s="3"/>
      <c r="AG787" s="3"/>
      <c r="AH787" s="3"/>
      <c r="AI787" s="3"/>
      <c r="AK787" s="3"/>
      <c r="AL787" s="3"/>
      <c r="AM787" s="3"/>
      <c r="AN787" s="3"/>
      <c r="AO787" s="3"/>
      <c r="AP787" s="3"/>
      <c r="AQ787" s="3"/>
      <c r="AR787" s="3"/>
    </row>
    <row r="788" spans="1:44" ht="16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S788" s="3"/>
      <c r="T788" s="3"/>
      <c r="U788" s="3"/>
      <c r="V788" s="3"/>
      <c r="W788" s="3"/>
      <c r="X788" s="3"/>
      <c r="Y788" s="3"/>
      <c r="Z788" s="3"/>
      <c r="AB788" s="3"/>
      <c r="AC788" s="3"/>
      <c r="AD788" s="3"/>
      <c r="AE788" s="3"/>
      <c r="AF788" s="3"/>
      <c r="AG788" s="3"/>
      <c r="AH788" s="3"/>
      <c r="AI788" s="3"/>
      <c r="AK788" s="3"/>
      <c r="AL788" s="3"/>
      <c r="AM788" s="3"/>
      <c r="AN788" s="3"/>
      <c r="AO788" s="3"/>
      <c r="AP788" s="3"/>
      <c r="AQ788" s="3"/>
      <c r="AR788" s="3"/>
    </row>
    <row r="789" spans="1:44" ht="16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S789" s="3"/>
      <c r="T789" s="3"/>
      <c r="U789" s="3"/>
      <c r="V789" s="3"/>
      <c r="W789" s="3"/>
      <c r="X789" s="3"/>
      <c r="Y789" s="3"/>
      <c r="Z789" s="3"/>
      <c r="AB789" s="3"/>
      <c r="AC789" s="3"/>
      <c r="AD789" s="3"/>
      <c r="AE789" s="3"/>
      <c r="AF789" s="3"/>
      <c r="AG789" s="3"/>
      <c r="AH789" s="3"/>
      <c r="AI789" s="3"/>
      <c r="AK789" s="3"/>
      <c r="AL789" s="3"/>
      <c r="AM789" s="3"/>
      <c r="AN789" s="3"/>
      <c r="AO789" s="3"/>
      <c r="AP789" s="3"/>
      <c r="AQ789" s="3"/>
      <c r="AR789" s="3"/>
    </row>
    <row r="790" spans="1:44" ht="16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S790" s="3"/>
      <c r="T790" s="3"/>
      <c r="U790" s="3"/>
      <c r="V790" s="3"/>
      <c r="W790" s="3"/>
      <c r="X790" s="3"/>
      <c r="Y790" s="3"/>
      <c r="Z790" s="3"/>
      <c r="AB790" s="3"/>
      <c r="AC790" s="3"/>
      <c r="AD790" s="3"/>
      <c r="AE790" s="3"/>
      <c r="AF790" s="3"/>
      <c r="AG790" s="3"/>
      <c r="AH790" s="3"/>
      <c r="AI790" s="3"/>
      <c r="AK790" s="3"/>
      <c r="AL790" s="3"/>
      <c r="AM790" s="3"/>
      <c r="AN790" s="3"/>
      <c r="AO790" s="3"/>
      <c r="AP790" s="3"/>
      <c r="AQ790" s="3"/>
      <c r="AR790" s="3"/>
    </row>
    <row r="791" spans="1:44" ht="16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S791" s="3"/>
      <c r="T791" s="3"/>
      <c r="U791" s="3"/>
      <c r="V791" s="3"/>
      <c r="W791" s="3"/>
      <c r="X791" s="3"/>
      <c r="Y791" s="3"/>
      <c r="Z791" s="3"/>
      <c r="AB791" s="3"/>
      <c r="AC791" s="3"/>
      <c r="AD791" s="3"/>
      <c r="AE791" s="3"/>
      <c r="AF791" s="3"/>
      <c r="AG791" s="3"/>
      <c r="AH791" s="3"/>
      <c r="AI791" s="3"/>
      <c r="AK791" s="3"/>
      <c r="AL791" s="3"/>
      <c r="AM791" s="3"/>
      <c r="AN791" s="3"/>
      <c r="AO791" s="3"/>
      <c r="AP791" s="3"/>
      <c r="AQ791" s="3"/>
      <c r="AR791" s="3"/>
    </row>
    <row r="792" spans="1:44" ht="16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S792" s="3"/>
      <c r="T792" s="3"/>
      <c r="U792" s="3"/>
      <c r="V792" s="3"/>
      <c r="W792" s="3"/>
      <c r="X792" s="3"/>
      <c r="Y792" s="3"/>
      <c r="Z792" s="3"/>
      <c r="AB792" s="3"/>
      <c r="AC792" s="3"/>
      <c r="AD792" s="3"/>
      <c r="AE792" s="3"/>
      <c r="AF792" s="3"/>
      <c r="AG792" s="3"/>
      <c r="AH792" s="3"/>
      <c r="AI792" s="3"/>
      <c r="AK792" s="3"/>
      <c r="AL792" s="3"/>
      <c r="AM792" s="3"/>
      <c r="AN792" s="3"/>
      <c r="AO792" s="3"/>
      <c r="AP792" s="3"/>
      <c r="AQ792" s="3"/>
      <c r="AR792" s="3"/>
    </row>
    <row r="793" spans="1:44" ht="16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S793" s="3"/>
      <c r="T793" s="3"/>
      <c r="U793" s="3"/>
      <c r="V793" s="3"/>
      <c r="W793" s="3"/>
      <c r="X793" s="3"/>
      <c r="Y793" s="3"/>
      <c r="Z793" s="3"/>
      <c r="AB793" s="3"/>
      <c r="AC793" s="3"/>
      <c r="AD793" s="3"/>
      <c r="AE793" s="3"/>
      <c r="AF793" s="3"/>
      <c r="AG793" s="3"/>
      <c r="AH793" s="3"/>
      <c r="AI793" s="3"/>
      <c r="AK793" s="3"/>
      <c r="AL793" s="3"/>
      <c r="AM793" s="3"/>
      <c r="AN793" s="3"/>
      <c r="AO793" s="3"/>
      <c r="AP793" s="3"/>
      <c r="AQ793" s="3"/>
      <c r="AR793" s="3"/>
    </row>
    <row r="794" spans="1:44" ht="16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S794" s="3"/>
      <c r="T794" s="3"/>
      <c r="U794" s="3"/>
      <c r="V794" s="3"/>
      <c r="W794" s="3"/>
      <c r="X794" s="3"/>
      <c r="Y794" s="3"/>
      <c r="Z794" s="3"/>
      <c r="AB794" s="3"/>
      <c r="AC794" s="3"/>
      <c r="AD794" s="3"/>
      <c r="AE794" s="3"/>
      <c r="AF794" s="3"/>
      <c r="AG794" s="3"/>
      <c r="AH794" s="3"/>
      <c r="AI794" s="3"/>
      <c r="AK794" s="3"/>
      <c r="AL794" s="3"/>
      <c r="AM794" s="3"/>
      <c r="AN794" s="3"/>
      <c r="AO794" s="3"/>
      <c r="AP794" s="3"/>
      <c r="AQ794" s="3"/>
      <c r="AR794" s="3"/>
    </row>
    <row r="795" spans="1:44" ht="16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S795" s="3"/>
      <c r="T795" s="3"/>
      <c r="U795" s="3"/>
      <c r="V795" s="3"/>
      <c r="W795" s="3"/>
      <c r="X795" s="3"/>
      <c r="Y795" s="3"/>
      <c r="Z795" s="3"/>
      <c r="AB795" s="3"/>
      <c r="AC795" s="3"/>
      <c r="AD795" s="3"/>
      <c r="AE795" s="3"/>
      <c r="AF795" s="3"/>
      <c r="AG795" s="3"/>
      <c r="AH795" s="3"/>
      <c r="AI795" s="3"/>
      <c r="AK795" s="3"/>
      <c r="AL795" s="3"/>
      <c r="AM795" s="3"/>
      <c r="AN795" s="3"/>
      <c r="AO795" s="3"/>
      <c r="AP795" s="3"/>
      <c r="AQ795" s="3"/>
      <c r="AR795" s="3"/>
    </row>
    <row r="796" spans="1:44" ht="16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S796" s="3"/>
      <c r="T796" s="3"/>
      <c r="U796" s="3"/>
      <c r="V796" s="3"/>
      <c r="W796" s="3"/>
      <c r="X796" s="3"/>
      <c r="Y796" s="3"/>
      <c r="Z796" s="3"/>
      <c r="AB796" s="3"/>
      <c r="AC796" s="3"/>
      <c r="AD796" s="3"/>
      <c r="AE796" s="3"/>
      <c r="AF796" s="3"/>
      <c r="AG796" s="3"/>
      <c r="AH796" s="3"/>
      <c r="AI796" s="3"/>
      <c r="AK796" s="3"/>
      <c r="AL796" s="3"/>
      <c r="AM796" s="3"/>
      <c r="AN796" s="3"/>
      <c r="AO796" s="3"/>
      <c r="AP796" s="3"/>
      <c r="AQ796" s="3"/>
      <c r="AR796" s="3"/>
    </row>
    <row r="797" spans="1:44" ht="16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S797" s="3"/>
      <c r="T797" s="3"/>
      <c r="U797" s="3"/>
      <c r="V797" s="3"/>
      <c r="W797" s="3"/>
      <c r="X797" s="3"/>
      <c r="Y797" s="3"/>
      <c r="Z797" s="3"/>
      <c r="AB797" s="3"/>
      <c r="AC797" s="3"/>
      <c r="AD797" s="3"/>
      <c r="AE797" s="3"/>
      <c r="AF797" s="3"/>
      <c r="AG797" s="3"/>
      <c r="AH797" s="3"/>
      <c r="AI797" s="3"/>
      <c r="AK797" s="3"/>
      <c r="AL797" s="3"/>
      <c r="AM797" s="3"/>
      <c r="AN797" s="3"/>
      <c r="AO797" s="3"/>
      <c r="AP797" s="3"/>
      <c r="AQ797" s="3"/>
      <c r="AR797" s="3"/>
    </row>
    <row r="798" spans="1:44" ht="16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S798" s="3"/>
      <c r="T798" s="3"/>
      <c r="U798" s="3"/>
      <c r="V798" s="3"/>
      <c r="W798" s="3"/>
      <c r="X798" s="3"/>
      <c r="Y798" s="3"/>
      <c r="Z798" s="3"/>
      <c r="AB798" s="3"/>
      <c r="AC798" s="3"/>
      <c r="AD798" s="3"/>
      <c r="AE798" s="3"/>
      <c r="AF798" s="3"/>
      <c r="AG798" s="3"/>
      <c r="AH798" s="3"/>
      <c r="AI798" s="3"/>
      <c r="AK798" s="3"/>
      <c r="AL798" s="3"/>
      <c r="AM798" s="3"/>
      <c r="AN798" s="3"/>
      <c r="AO798" s="3"/>
      <c r="AP798" s="3"/>
      <c r="AQ798" s="3"/>
      <c r="AR798" s="3"/>
    </row>
    <row r="799" spans="1:44" ht="16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S799" s="3"/>
      <c r="T799" s="3"/>
      <c r="U799" s="3"/>
      <c r="V799" s="3"/>
      <c r="W799" s="3"/>
      <c r="X799" s="3"/>
      <c r="Y799" s="3"/>
      <c r="Z799" s="3"/>
      <c r="AB799" s="3"/>
      <c r="AC799" s="3"/>
      <c r="AD799" s="3"/>
      <c r="AE799" s="3"/>
      <c r="AF799" s="3"/>
      <c r="AG799" s="3"/>
      <c r="AH799" s="3"/>
      <c r="AI799" s="3"/>
      <c r="AK799" s="3"/>
      <c r="AL799" s="3"/>
      <c r="AM799" s="3"/>
      <c r="AN799" s="3"/>
      <c r="AO799" s="3"/>
      <c r="AP799" s="3"/>
      <c r="AQ799" s="3"/>
      <c r="AR799" s="3"/>
    </row>
    <row r="800" spans="1:44" ht="16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S800" s="3"/>
      <c r="T800" s="3"/>
      <c r="U800" s="3"/>
      <c r="V800" s="3"/>
      <c r="W800" s="3"/>
      <c r="X800" s="3"/>
      <c r="Y800" s="3"/>
      <c r="Z800" s="3"/>
      <c r="AB800" s="3"/>
      <c r="AC800" s="3"/>
      <c r="AD800" s="3"/>
      <c r="AE800" s="3"/>
      <c r="AF800" s="3"/>
      <c r="AG800" s="3"/>
      <c r="AH800" s="3"/>
      <c r="AI800" s="3"/>
      <c r="AK800" s="3"/>
      <c r="AL800" s="3"/>
      <c r="AM800" s="3"/>
      <c r="AN800" s="3"/>
      <c r="AO800" s="3"/>
      <c r="AP800" s="3"/>
      <c r="AQ800" s="3"/>
      <c r="AR800" s="3"/>
    </row>
    <row r="801" spans="1:44" ht="16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S801" s="3"/>
      <c r="T801" s="3"/>
      <c r="U801" s="3"/>
      <c r="V801" s="3"/>
      <c r="W801" s="3"/>
      <c r="X801" s="3"/>
      <c r="Y801" s="3"/>
      <c r="Z801" s="3"/>
      <c r="AB801" s="3"/>
      <c r="AC801" s="3"/>
      <c r="AD801" s="3"/>
      <c r="AE801" s="3"/>
      <c r="AF801" s="3"/>
      <c r="AG801" s="3"/>
      <c r="AH801" s="3"/>
      <c r="AI801" s="3"/>
      <c r="AK801" s="3"/>
      <c r="AL801" s="3"/>
      <c r="AM801" s="3"/>
      <c r="AN801" s="3"/>
      <c r="AO801" s="3"/>
      <c r="AP801" s="3"/>
      <c r="AQ801" s="3"/>
      <c r="AR801" s="3"/>
    </row>
    <row r="802" spans="1:44" ht="16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S802" s="3"/>
      <c r="T802" s="3"/>
      <c r="U802" s="3"/>
      <c r="V802" s="3"/>
      <c r="W802" s="3"/>
      <c r="X802" s="3"/>
      <c r="Y802" s="3"/>
      <c r="Z802" s="3"/>
      <c r="AB802" s="3"/>
      <c r="AC802" s="3"/>
      <c r="AD802" s="3"/>
      <c r="AE802" s="3"/>
      <c r="AF802" s="3"/>
      <c r="AG802" s="3"/>
      <c r="AH802" s="3"/>
      <c r="AI802" s="3"/>
      <c r="AK802" s="3"/>
      <c r="AL802" s="3"/>
      <c r="AM802" s="3"/>
      <c r="AN802" s="3"/>
      <c r="AO802" s="3"/>
      <c r="AP802" s="3"/>
      <c r="AQ802" s="3"/>
      <c r="AR802" s="3"/>
    </row>
    <row r="803" spans="1:44" ht="16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S803" s="3"/>
      <c r="T803" s="3"/>
      <c r="U803" s="3"/>
      <c r="V803" s="3"/>
      <c r="W803" s="3"/>
      <c r="X803" s="3"/>
      <c r="Y803" s="3"/>
      <c r="Z803" s="3"/>
      <c r="AB803" s="3"/>
      <c r="AC803" s="3"/>
      <c r="AD803" s="3"/>
      <c r="AE803" s="3"/>
      <c r="AF803" s="3"/>
      <c r="AG803" s="3"/>
      <c r="AH803" s="3"/>
      <c r="AI803" s="3"/>
      <c r="AK803" s="3"/>
      <c r="AL803" s="3"/>
      <c r="AM803" s="3"/>
      <c r="AN803" s="3"/>
      <c r="AO803" s="3"/>
      <c r="AP803" s="3"/>
      <c r="AQ803" s="3"/>
      <c r="AR803" s="3"/>
    </row>
    <row r="804" spans="1:44" ht="16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S804" s="3"/>
      <c r="T804" s="3"/>
      <c r="U804" s="3"/>
      <c r="V804" s="3"/>
      <c r="W804" s="3"/>
      <c r="X804" s="3"/>
      <c r="Y804" s="3"/>
      <c r="Z804" s="3"/>
      <c r="AB804" s="3"/>
      <c r="AC804" s="3"/>
      <c r="AD804" s="3"/>
      <c r="AE804" s="3"/>
      <c r="AF804" s="3"/>
      <c r="AG804" s="3"/>
      <c r="AH804" s="3"/>
      <c r="AI804" s="3"/>
      <c r="AK804" s="3"/>
      <c r="AL804" s="3"/>
      <c r="AM804" s="3"/>
      <c r="AN804" s="3"/>
      <c r="AO804" s="3"/>
      <c r="AP804" s="3"/>
      <c r="AQ804" s="3"/>
      <c r="AR804" s="3"/>
    </row>
    <row r="805" spans="1:44" ht="16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S805" s="3"/>
      <c r="T805" s="3"/>
      <c r="U805" s="3"/>
      <c r="V805" s="3"/>
      <c r="W805" s="3"/>
      <c r="X805" s="3"/>
      <c r="Y805" s="3"/>
      <c r="Z805" s="3"/>
      <c r="AB805" s="3"/>
      <c r="AC805" s="3"/>
      <c r="AD805" s="3"/>
      <c r="AE805" s="3"/>
      <c r="AF805" s="3"/>
      <c r="AG805" s="3"/>
      <c r="AH805" s="3"/>
      <c r="AI805" s="3"/>
      <c r="AK805" s="3"/>
      <c r="AL805" s="3"/>
      <c r="AM805" s="3"/>
      <c r="AN805" s="3"/>
      <c r="AO805" s="3"/>
      <c r="AP805" s="3"/>
      <c r="AQ805" s="3"/>
      <c r="AR805" s="3"/>
    </row>
    <row r="806" spans="1:44" ht="16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S806" s="3"/>
      <c r="T806" s="3"/>
      <c r="U806" s="3"/>
      <c r="V806" s="3"/>
      <c r="W806" s="3"/>
      <c r="X806" s="3"/>
      <c r="Y806" s="3"/>
      <c r="Z806" s="3"/>
      <c r="AB806" s="3"/>
      <c r="AC806" s="3"/>
      <c r="AD806" s="3"/>
      <c r="AE806" s="3"/>
      <c r="AF806" s="3"/>
      <c r="AG806" s="3"/>
      <c r="AH806" s="3"/>
      <c r="AI806" s="3"/>
      <c r="AK806" s="3"/>
      <c r="AL806" s="3"/>
      <c r="AM806" s="3"/>
      <c r="AN806" s="3"/>
      <c r="AO806" s="3"/>
      <c r="AP806" s="3"/>
      <c r="AQ806" s="3"/>
      <c r="AR806" s="3"/>
    </row>
    <row r="807" spans="1:44" ht="16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S807" s="3"/>
      <c r="T807" s="3"/>
      <c r="U807" s="3"/>
      <c r="V807" s="3"/>
      <c r="W807" s="3"/>
      <c r="X807" s="3"/>
      <c r="Y807" s="3"/>
      <c r="Z807" s="3"/>
      <c r="AB807" s="3"/>
      <c r="AC807" s="3"/>
      <c r="AD807" s="3"/>
      <c r="AE807" s="3"/>
      <c r="AF807" s="3"/>
      <c r="AG807" s="3"/>
      <c r="AH807" s="3"/>
      <c r="AI807" s="3"/>
      <c r="AK807" s="3"/>
      <c r="AL807" s="3"/>
      <c r="AM807" s="3"/>
      <c r="AN807" s="3"/>
      <c r="AO807" s="3"/>
      <c r="AP807" s="3"/>
      <c r="AQ807" s="3"/>
      <c r="AR807" s="3"/>
    </row>
    <row r="808" spans="1:44" ht="16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S808" s="3"/>
      <c r="T808" s="3"/>
      <c r="U808" s="3"/>
      <c r="V808" s="3"/>
      <c r="W808" s="3"/>
      <c r="X808" s="3"/>
      <c r="Y808" s="3"/>
      <c r="Z808" s="3"/>
      <c r="AB808" s="3"/>
      <c r="AC808" s="3"/>
      <c r="AD808" s="3"/>
      <c r="AE808" s="3"/>
      <c r="AF808" s="3"/>
      <c r="AG808" s="3"/>
      <c r="AH808" s="3"/>
      <c r="AI808" s="3"/>
      <c r="AK808" s="3"/>
      <c r="AL808" s="3"/>
      <c r="AM808" s="3"/>
      <c r="AN808" s="3"/>
      <c r="AO808" s="3"/>
      <c r="AP808" s="3"/>
      <c r="AQ808" s="3"/>
      <c r="AR808" s="3"/>
    </row>
    <row r="809" spans="1:44" ht="16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S809" s="3"/>
      <c r="T809" s="3"/>
      <c r="U809" s="3"/>
      <c r="V809" s="3"/>
      <c r="W809" s="3"/>
      <c r="X809" s="3"/>
      <c r="Y809" s="3"/>
      <c r="Z809" s="3"/>
      <c r="AB809" s="3"/>
      <c r="AC809" s="3"/>
      <c r="AD809" s="3"/>
      <c r="AE809" s="3"/>
      <c r="AF809" s="3"/>
      <c r="AG809" s="3"/>
      <c r="AH809" s="3"/>
      <c r="AI809" s="3"/>
      <c r="AK809" s="3"/>
      <c r="AL809" s="3"/>
      <c r="AM809" s="3"/>
      <c r="AN809" s="3"/>
      <c r="AO809" s="3"/>
      <c r="AP809" s="3"/>
      <c r="AQ809" s="3"/>
      <c r="AR809" s="3"/>
    </row>
    <row r="810" spans="1:44" ht="16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S810" s="3"/>
      <c r="T810" s="3"/>
      <c r="U810" s="3"/>
      <c r="V810" s="3"/>
      <c r="W810" s="3"/>
      <c r="X810" s="3"/>
      <c r="Y810" s="3"/>
      <c r="Z810" s="3"/>
      <c r="AB810" s="3"/>
      <c r="AC810" s="3"/>
      <c r="AD810" s="3"/>
      <c r="AE810" s="3"/>
      <c r="AF810" s="3"/>
      <c r="AG810" s="3"/>
      <c r="AH810" s="3"/>
      <c r="AI810" s="3"/>
      <c r="AK810" s="3"/>
      <c r="AL810" s="3"/>
      <c r="AM810" s="3"/>
      <c r="AN810" s="3"/>
      <c r="AO810" s="3"/>
      <c r="AP810" s="3"/>
      <c r="AQ810" s="3"/>
      <c r="AR810" s="3"/>
    </row>
    <row r="811" spans="1:44" ht="16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S811" s="3"/>
      <c r="T811" s="3"/>
      <c r="U811" s="3"/>
      <c r="V811" s="3"/>
      <c r="W811" s="3"/>
      <c r="X811" s="3"/>
      <c r="Y811" s="3"/>
      <c r="Z811" s="3"/>
      <c r="AB811" s="3"/>
      <c r="AC811" s="3"/>
      <c r="AD811" s="3"/>
      <c r="AE811" s="3"/>
      <c r="AF811" s="3"/>
      <c r="AG811" s="3"/>
      <c r="AH811" s="3"/>
      <c r="AI811" s="3"/>
      <c r="AK811" s="3"/>
      <c r="AL811" s="3"/>
      <c r="AM811" s="3"/>
      <c r="AN811" s="3"/>
      <c r="AO811" s="3"/>
      <c r="AP811" s="3"/>
      <c r="AQ811" s="3"/>
      <c r="AR811" s="3"/>
    </row>
    <row r="812" spans="1:44" ht="16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S812" s="3"/>
      <c r="T812" s="3"/>
      <c r="U812" s="3"/>
      <c r="V812" s="3"/>
      <c r="W812" s="3"/>
      <c r="X812" s="3"/>
      <c r="Y812" s="3"/>
      <c r="Z812" s="3"/>
      <c r="AB812" s="3"/>
      <c r="AC812" s="3"/>
      <c r="AD812" s="3"/>
      <c r="AE812" s="3"/>
      <c r="AF812" s="3"/>
      <c r="AG812" s="3"/>
      <c r="AH812" s="3"/>
      <c r="AI812" s="3"/>
      <c r="AK812" s="3"/>
      <c r="AL812" s="3"/>
      <c r="AM812" s="3"/>
      <c r="AN812" s="3"/>
      <c r="AO812" s="3"/>
      <c r="AP812" s="3"/>
      <c r="AQ812" s="3"/>
      <c r="AR812" s="3"/>
    </row>
    <row r="813" spans="1:44" ht="16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S813" s="3"/>
      <c r="T813" s="3"/>
      <c r="U813" s="3"/>
      <c r="V813" s="3"/>
      <c r="W813" s="3"/>
      <c r="X813" s="3"/>
      <c r="Y813" s="3"/>
      <c r="Z813" s="3"/>
      <c r="AB813" s="3"/>
      <c r="AC813" s="3"/>
      <c r="AD813" s="3"/>
      <c r="AE813" s="3"/>
      <c r="AF813" s="3"/>
      <c r="AG813" s="3"/>
      <c r="AH813" s="3"/>
      <c r="AI813" s="3"/>
      <c r="AK813" s="3"/>
      <c r="AL813" s="3"/>
      <c r="AM813" s="3"/>
      <c r="AN813" s="3"/>
      <c r="AO813" s="3"/>
      <c r="AP813" s="3"/>
      <c r="AQ813" s="3"/>
      <c r="AR813" s="3"/>
    </row>
    <row r="814" spans="1:44" ht="16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S814" s="3"/>
      <c r="T814" s="3"/>
      <c r="U814" s="3"/>
      <c r="V814" s="3"/>
      <c r="W814" s="3"/>
      <c r="X814" s="3"/>
      <c r="Y814" s="3"/>
      <c r="Z814" s="3"/>
      <c r="AB814" s="3"/>
      <c r="AC814" s="3"/>
      <c r="AD814" s="3"/>
      <c r="AE814" s="3"/>
      <c r="AF814" s="3"/>
      <c r="AG814" s="3"/>
      <c r="AH814" s="3"/>
      <c r="AI814" s="3"/>
      <c r="AK814" s="3"/>
      <c r="AL814" s="3"/>
      <c r="AM814" s="3"/>
      <c r="AN814" s="3"/>
      <c r="AO814" s="3"/>
      <c r="AP814" s="3"/>
      <c r="AQ814" s="3"/>
      <c r="AR814" s="3"/>
    </row>
    <row r="815" spans="1:44" ht="16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S815" s="3"/>
      <c r="T815" s="3"/>
      <c r="U815" s="3"/>
      <c r="V815" s="3"/>
      <c r="W815" s="3"/>
      <c r="X815" s="3"/>
      <c r="Y815" s="3"/>
      <c r="Z815" s="3"/>
      <c r="AB815" s="3"/>
      <c r="AC815" s="3"/>
      <c r="AD815" s="3"/>
      <c r="AE815" s="3"/>
      <c r="AF815" s="3"/>
      <c r="AG815" s="3"/>
      <c r="AH815" s="3"/>
      <c r="AI815" s="3"/>
      <c r="AK815" s="3"/>
      <c r="AL815" s="3"/>
      <c r="AM815" s="3"/>
      <c r="AN815" s="3"/>
      <c r="AO815" s="3"/>
      <c r="AP815" s="3"/>
      <c r="AQ815" s="3"/>
      <c r="AR815" s="3"/>
    </row>
    <row r="816" spans="1:44" ht="16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S816" s="3"/>
      <c r="T816" s="3"/>
      <c r="U816" s="3"/>
      <c r="V816" s="3"/>
      <c r="W816" s="3"/>
      <c r="X816" s="3"/>
      <c r="Y816" s="3"/>
      <c r="Z816" s="3"/>
      <c r="AB816" s="3"/>
      <c r="AC816" s="3"/>
      <c r="AD816" s="3"/>
      <c r="AE816" s="3"/>
      <c r="AF816" s="3"/>
      <c r="AG816" s="3"/>
      <c r="AH816" s="3"/>
      <c r="AI816" s="3"/>
      <c r="AK816" s="3"/>
      <c r="AL816" s="3"/>
      <c r="AM816" s="3"/>
      <c r="AN816" s="3"/>
      <c r="AO816" s="3"/>
      <c r="AP816" s="3"/>
      <c r="AQ816" s="3"/>
      <c r="AR816" s="3"/>
    </row>
    <row r="817" spans="1:44" ht="16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S817" s="3"/>
      <c r="T817" s="3"/>
      <c r="U817" s="3"/>
      <c r="V817" s="3"/>
      <c r="W817" s="3"/>
      <c r="X817" s="3"/>
      <c r="Y817" s="3"/>
      <c r="Z817" s="3"/>
      <c r="AB817" s="3"/>
      <c r="AC817" s="3"/>
      <c r="AD817" s="3"/>
      <c r="AE817" s="3"/>
      <c r="AF817" s="3"/>
      <c r="AG817" s="3"/>
      <c r="AH817" s="3"/>
      <c r="AI817" s="3"/>
      <c r="AK817" s="3"/>
      <c r="AL817" s="3"/>
      <c r="AM817" s="3"/>
      <c r="AN817" s="3"/>
      <c r="AO817" s="3"/>
      <c r="AP817" s="3"/>
      <c r="AQ817" s="3"/>
      <c r="AR817" s="3"/>
    </row>
    <row r="818" spans="1:44" ht="16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S818" s="3"/>
      <c r="T818" s="3"/>
      <c r="U818" s="3"/>
      <c r="V818" s="3"/>
      <c r="W818" s="3"/>
      <c r="X818" s="3"/>
      <c r="Y818" s="3"/>
      <c r="Z818" s="3"/>
      <c r="AB818" s="3"/>
      <c r="AC818" s="3"/>
      <c r="AD818" s="3"/>
      <c r="AE818" s="3"/>
      <c r="AF818" s="3"/>
      <c r="AG818" s="3"/>
      <c r="AH818" s="3"/>
      <c r="AI818" s="3"/>
      <c r="AK818" s="3"/>
      <c r="AL818" s="3"/>
      <c r="AM818" s="3"/>
      <c r="AN818" s="3"/>
      <c r="AO818" s="3"/>
      <c r="AP818" s="3"/>
      <c r="AQ818" s="3"/>
      <c r="AR818" s="3"/>
    </row>
    <row r="819" spans="1:44" ht="16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S819" s="3"/>
      <c r="T819" s="3"/>
      <c r="U819" s="3"/>
      <c r="V819" s="3"/>
      <c r="W819" s="3"/>
      <c r="X819" s="3"/>
      <c r="Y819" s="3"/>
      <c r="Z819" s="3"/>
      <c r="AB819" s="3"/>
      <c r="AC819" s="3"/>
      <c r="AD819" s="3"/>
      <c r="AE819" s="3"/>
      <c r="AF819" s="3"/>
      <c r="AG819" s="3"/>
      <c r="AH819" s="3"/>
      <c r="AI819" s="3"/>
      <c r="AK819" s="3"/>
      <c r="AL819" s="3"/>
      <c r="AM819" s="3"/>
      <c r="AN819" s="3"/>
      <c r="AO819" s="3"/>
      <c r="AP819" s="3"/>
      <c r="AQ819" s="3"/>
      <c r="AR819" s="3"/>
    </row>
    <row r="820" spans="1:44" ht="16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S820" s="3"/>
      <c r="T820" s="3"/>
      <c r="U820" s="3"/>
      <c r="V820" s="3"/>
      <c r="W820" s="3"/>
      <c r="X820" s="3"/>
      <c r="Y820" s="3"/>
      <c r="Z820" s="3"/>
      <c r="AB820" s="3"/>
      <c r="AC820" s="3"/>
      <c r="AD820" s="3"/>
      <c r="AE820" s="3"/>
      <c r="AF820" s="3"/>
      <c r="AG820" s="3"/>
      <c r="AH820" s="3"/>
      <c r="AI820" s="3"/>
      <c r="AK820" s="3"/>
      <c r="AL820" s="3"/>
      <c r="AM820" s="3"/>
      <c r="AN820" s="3"/>
      <c r="AO820" s="3"/>
      <c r="AP820" s="3"/>
      <c r="AQ820" s="3"/>
      <c r="AR820" s="3"/>
    </row>
    <row r="821" spans="1:44" ht="16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S821" s="3"/>
      <c r="T821" s="3"/>
      <c r="U821" s="3"/>
      <c r="V821" s="3"/>
      <c r="W821" s="3"/>
      <c r="X821" s="3"/>
      <c r="Y821" s="3"/>
      <c r="Z821" s="3"/>
      <c r="AB821" s="3"/>
      <c r="AC821" s="3"/>
      <c r="AD821" s="3"/>
      <c r="AE821" s="3"/>
      <c r="AF821" s="3"/>
      <c r="AG821" s="3"/>
      <c r="AH821" s="3"/>
      <c r="AI821" s="3"/>
      <c r="AK821" s="3"/>
      <c r="AL821" s="3"/>
      <c r="AM821" s="3"/>
      <c r="AN821" s="3"/>
      <c r="AO821" s="3"/>
      <c r="AP821" s="3"/>
      <c r="AQ821" s="3"/>
      <c r="AR821" s="3"/>
    </row>
    <row r="822" spans="1:44" ht="16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S822" s="3"/>
      <c r="T822" s="3"/>
      <c r="U822" s="3"/>
      <c r="V822" s="3"/>
      <c r="W822" s="3"/>
      <c r="X822" s="3"/>
      <c r="Y822" s="3"/>
      <c r="Z822" s="3"/>
      <c r="AB822" s="3"/>
      <c r="AC822" s="3"/>
      <c r="AD822" s="3"/>
      <c r="AE822" s="3"/>
      <c r="AF822" s="3"/>
      <c r="AG822" s="3"/>
      <c r="AH822" s="3"/>
      <c r="AI822" s="3"/>
      <c r="AK822" s="3"/>
      <c r="AL822" s="3"/>
      <c r="AM822" s="3"/>
      <c r="AN822" s="3"/>
      <c r="AO822" s="3"/>
      <c r="AP822" s="3"/>
      <c r="AQ822" s="3"/>
      <c r="AR822" s="3"/>
    </row>
    <row r="823" spans="1:44" ht="16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S823" s="3"/>
      <c r="T823" s="3"/>
      <c r="U823" s="3"/>
      <c r="V823" s="3"/>
      <c r="W823" s="3"/>
      <c r="X823" s="3"/>
      <c r="Y823" s="3"/>
      <c r="Z823" s="3"/>
      <c r="AB823" s="3"/>
      <c r="AC823" s="3"/>
      <c r="AD823" s="3"/>
      <c r="AE823" s="3"/>
      <c r="AF823" s="3"/>
      <c r="AG823" s="3"/>
      <c r="AH823" s="3"/>
      <c r="AI823" s="3"/>
      <c r="AK823" s="3"/>
      <c r="AL823" s="3"/>
      <c r="AM823" s="3"/>
      <c r="AN823" s="3"/>
      <c r="AO823" s="3"/>
      <c r="AP823" s="3"/>
      <c r="AQ823" s="3"/>
      <c r="AR823" s="3"/>
    </row>
    <row r="824" spans="1:44" ht="16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S824" s="3"/>
      <c r="T824" s="3"/>
      <c r="U824" s="3"/>
      <c r="V824" s="3"/>
      <c r="W824" s="3"/>
      <c r="X824" s="3"/>
      <c r="Y824" s="3"/>
      <c r="Z824" s="3"/>
      <c r="AB824" s="3"/>
      <c r="AC824" s="3"/>
      <c r="AD824" s="3"/>
      <c r="AE824" s="3"/>
      <c r="AF824" s="3"/>
      <c r="AG824" s="3"/>
      <c r="AH824" s="3"/>
      <c r="AI824" s="3"/>
      <c r="AK824" s="3"/>
      <c r="AL824" s="3"/>
      <c r="AM824" s="3"/>
      <c r="AN824" s="3"/>
      <c r="AO824" s="3"/>
      <c r="AP824" s="3"/>
      <c r="AQ824" s="3"/>
      <c r="AR824" s="3"/>
    </row>
    <row r="825" spans="1:44" ht="16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S825" s="3"/>
      <c r="T825" s="3"/>
      <c r="U825" s="3"/>
      <c r="V825" s="3"/>
      <c r="W825" s="3"/>
      <c r="X825" s="3"/>
      <c r="Y825" s="3"/>
      <c r="Z825" s="3"/>
      <c r="AB825" s="3"/>
      <c r="AC825" s="3"/>
      <c r="AD825" s="3"/>
      <c r="AE825" s="3"/>
      <c r="AF825" s="3"/>
      <c r="AG825" s="3"/>
      <c r="AH825" s="3"/>
      <c r="AI825" s="3"/>
      <c r="AK825" s="3"/>
      <c r="AL825" s="3"/>
      <c r="AM825" s="3"/>
      <c r="AN825" s="3"/>
      <c r="AO825" s="3"/>
      <c r="AP825" s="3"/>
      <c r="AQ825" s="3"/>
      <c r="AR825" s="3"/>
    </row>
    <row r="826" spans="1:44" ht="16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S826" s="3"/>
      <c r="T826" s="3"/>
      <c r="U826" s="3"/>
      <c r="V826" s="3"/>
      <c r="W826" s="3"/>
      <c r="X826" s="3"/>
      <c r="Y826" s="3"/>
      <c r="Z826" s="3"/>
      <c r="AB826" s="3"/>
      <c r="AC826" s="3"/>
      <c r="AD826" s="3"/>
      <c r="AE826" s="3"/>
      <c r="AF826" s="3"/>
      <c r="AG826" s="3"/>
      <c r="AH826" s="3"/>
      <c r="AI826" s="3"/>
      <c r="AK826" s="3"/>
      <c r="AL826" s="3"/>
      <c r="AM826" s="3"/>
      <c r="AN826" s="3"/>
      <c r="AO826" s="3"/>
      <c r="AP826" s="3"/>
      <c r="AQ826" s="3"/>
      <c r="AR826" s="3"/>
    </row>
    <row r="827" spans="1:44" ht="16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S827" s="3"/>
      <c r="T827" s="3"/>
      <c r="U827" s="3"/>
      <c r="V827" s="3"/>
      <c r="W827" s="3"/>
      <c r="X827" s="3"/>
      <c r="Y827" s="3"/>
      <c r="Z827" s="3"/>
      <c r="AB827" s="3"/>
      <c r="AC827" s="3"/>
      <c r="AD827" s="3"/>
      <c r="AE827" s="3"/>
      <c r="AF827" s="3"/>
      <c r="AG827" s="3"/>
      <c r="AH827" s="3"/>
      <c r="AI827" s="3"/>
      <c r="AK827" s="3"/>
      <c r="AL827" s="3"/>
      <c r="AM827" s="3"/>
      <c r="AN827" s="3"/>
      <c r="AO827" s="3"/>
      <c r="AP827" s="3"/>
      <c r="AQ827" s="3"/>
      <c r="AR827" s="3"/>
    </row>
    <row r="828" spans="1:44" ht="16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S828" s="3"/>
      <c r="T828" s="3"/>
      <c r="U828" s="3"/>
      <c r="V828" s="3"/>
      <c r="W828" s="3"/>
      <c r="X828" s="3"/>
      <c r="Y828" s="3"/>
      <c r="Z828" s="3"/>
      <c r="AB828" s="3"/>
      <c r="AC828" s="3"/>
      <c r="AD828" s="3"/>
      <c r="AE828" s="3"/>
      <c r="AF828" s="3"/>
      <c r="AG828" s="3"/>
      <c r="AH828" s="3"/>
      <c r="AI828" s="3"/>
      <c r="AK828" s="3"/>
      <c r="AL828" s="3"/>
      <c r="AM828" s="3"/>
      <c r="AN828" s="3"/>
      <c r="AO828" s="3"/>
      <c r="AP828" s="3"/>
      <c r="AQ828" s="3"/>
      <c r="AR828" s="3"/>
    </row>
    <row r="829" spans="1:44" ht="16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S829" s="3"/>
      <c r="T829" s="3"/>
      <c r="U829" s="3"/>
      <c r="V829" s="3"/>
      <c r="W829" s="3"/>
      <c r="X829" s="3"/>
      <c r="Y829" s="3"/>
      <c r="Z829" s="3"/>
      <c r="AB829" s="3"/>
      <c r="AC829" s="3"/>
      <c r="AD829" s="3"/>
      <c r="AE829" s="3"/>
      <c r="AF829" s="3"/>
      <c r="AG829" s="3"/>
      <c r="AH829" s="3"/>
      <c r="AI829" s="3"/>
      <c r="AK829" s="3"/>
      <c r="AL829" s="3"/>
      <c r="AM829" s="3"/>
      <c r="AN829" s="3"/>
      <c r="AO829" s="3"/>
      <c r="AP829" s="3"/>
      <c r="AQ829" s="3"/>
      <c r="AR829" s="3"/>
    </row>
    <row r="830" spans="1:44" ht="16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S830" s="3"/>
      <c r="T830" s="3"/>
      <c r="U830" s="3"/>
      <c r="V830" s="3"/>
      <c r="W830" s="3"/>
      <c r="X830" s="3"/>
      <c r="Y830" s="3"/>
      <c r="Z830" s="3"/>
      <c r="AB830" s="3"/>
      <c r="AC830" s="3"/>
      <c r="AD830" s="3"/>
      <c r="AE830" s="3"/>
      <c r="AF830" s="3"/>
      <c r="AG830" s="3"/>
      <c r="AH830" s="3"/>
      <c r="AI830" s="3"/>
      <c r="AK830" s="3"/>
      <c r="AL830" s="3"/>
      <c r="AM830" s="3"/>
      <c r="AN830" s="3"/>
      <c r="AO830" s="3"/>
      <c r="AP830" s="3"/>
      <c r="AQ830" s="3"/>
      <c r="AR830" s="3"/>
    </row>
    <row r="831" spans="1:44" ht="16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S831" s="3"/>
      <c r="T831" s="3"/>
      <c r="U831" s="3"/>
      <c r="V831" s="3"/>
      <c r="W831" s="3"/>
      <c r="X831" s="3"/>
      <c r="Y831" s="3"/>
      <c r="Z831" s="3"/>
      <c r="AB831" s="3"/>
      <c r="AC831" s="3"/>
      <c r="AD831" s="3"/>
      <c r="AE831" s="3"/>
      <c r="AF831" s="3"/>
      <c r="AG831" s="3"/>
      <c r="AH831" s="3"/>
      <c r="AI831" s="3"/>
      <c r="AK831" s="3"/>
      <c r="AL831" s="3"/>
      <c r="AM831" s="3"/>
      <c r="AN831" s="3"/>
      <c r="AO831" s="3"/>
      <c r="AP831" s="3"/>
      <c r="AQ831" s="3"/>
      <c r="AR831" s="3"/>
    </row>
    <row r="832" spans="1:44" ht="16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S832" s="3"/>
      <c r="T832" s="3"/>
      <c r="U832" s="3"/>
      <c r="V832" s="3"/>
      <c r="W832" s="3"/>
      <c r="X832" s="3"/>
      <c r="Y832" s="3"/>
      <c r="Z832" s="3"/>
      <c r="AB832" s="3"/>
      <c r="AC832" s="3"/>
      <c r="AD832" s="3"/>
      <c r="AE832" s="3"/>
      <c r="AF832" s="3"/>
      <c r="AG832" s="3"/>
      <c r="AH832" s="3"/>
      <c r="AI832" s="3"/>
      <c r="AK832" s="3"/>
      <c r="AL832" s="3"/>
      <c r="AM832" s="3"/>
      <c r="AN832" s="3"/>
      <c r="AO832" s="3"/>
      <c r="AP832" s="3"/>
      <c r="AQ832" s="3"/>
      <c r="AR832" s="3"/>
    </row>
    <row r="833" spans="1:44" ht="16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S833" s="3"/>
      <c r="T833" s="3"/>
      <c r="U833" s="3"/>
      <c r="V833" s="3"/>
      <c r="W833" s="3"/>
      <c r="X833" s="3"/>
      <c r="Y833" s="3"/>
      <c r="Z833" s="3"/>
      <c r="AB833" s="3"/>
      <c r="AC833" s="3"/>
      <c r="AD833" s="3"/>
      <c r="AE833" s="3"/>
      <c r="AF833" s="3"/>
      <c r="AG833" s="3"/>
      <c r="AH833" s="3"/>
      <c r="AI833" s="3"/>
      <c r="AK833" s="3"/>
      <c r="AL833" s="3"/>
      <c r="AM833" s="3"/>
      <c r="AN833" s="3"/>
      <c r="AO833" s="3"/>
      <c r="AP833" s="3"/>
      <c r="AQ833" s="3"/>
      <c r="AR833" s="3"/>
    </row>
    <row r="834" spans="1:44" ht="16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S834" s="3"/>
      <c r="T834" s="3"/>
      <c r="U834" s="3"/>
      <c r="V834" s="3"/>
      <c r="W834" s="3"/>
      <c r="X834" s="3"/>
      <c r="Y834" s="3"/>
      <c r="Z834" s="3"/>
      <c r="AB834" s="3"/>
      <c r="AC834" s="3"/>
      <c r="AD834" s="3"/>
      <c r="AE834" s="3"/>
      <c r="AF834" s="3"/>
      <c r="AG834" s="3"/>
      <c r="AH834" s="3"/>
      <c r="AI834" s="3"/>
      <c r="AK834" s="3"/>
      <c r="AL834" s="3"/>
      <c r="AM834" s="3"/>
      <c r="AN834" s="3"/>
      <c r="AO834" s="3"/>
      <c r="AP834" s="3"/>
      <c r="AQ834" s="3"/>
      <c r="AR834" s="3"/>
    </row>
    <row r="835" spans="1:44" ht="16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S835" s="3"/>
      <c r="T835" s="3"/>
      <c r="U835" s="3"/>
      <c r="V835" s="3"/>
      <c r="W835" s="3"/>
      <c r="X835" s="3"/>
      <c r="Y835" s="3"/>
      <c r="Z835" s="3"/>
      <c r="AB835" s="3"/>
      <c r="AC835" s="3"/>
      <c r="AD835" s="3"/>
      <c r="AE835" s="3"/>
      <c r="AF835" s="3"/>
      <c r="AG835" s="3"/>
      <c r="AH835" s="3"/>
      <c r="AI835" s="3"/>
      <c r="AK835" s="3"/>
      <c r="AL835" s="3"/>
      <c r="AM835" s="3"/>
      <c r="AN835" s="3"/>
      <c r="AO835" s="3"/>
      <c r="AP835" s="3"/>
      <c r="AQ835" s="3"/>
      <c r="AR835" s="3"/>
    </row>
    <row r="836" spans="1:44" ht="16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S836" s="3"/>
      <c r="T836" s="3"/>
      <c r="U836" s="3"/>
      <c r="V836" s="3"/>
      <c r="W836" s="3"/>
      <c r="X836" s="3"/>
      <c r="Y836" s="3"/>
      <c r="Z836" s="3"/>
      <c r="AB836" s="3"/>
      <c r="AC836" s="3"/>
      <c r="AD836" s="3"/>
      <c r="AE836" s="3"/>
      <c r="AF836" s="3"/>
      <c r="AG836" s="3"/>
      <c r="AH836" s="3"/>
      <c r="AI836" s="3"/>
      <c r="AK836" s="3"/>
      <c r="AL836" s="3"/>
      <c r="AM836" s="3"/>
      <c r="AN836" s="3"/>
      <c r="AO836" s="3"/>
      <c r="AP836" s="3"/>
      <c r="AQ836" s="3"/>
      <c r="AR836" s="3"/>
    </row>
    <row r="837" spans="1:44" ht="16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S837" s="3"/>
      <c r="T837" s="3"/>
      <c r="U837" s="3"/>
      <c r="V837" s="3"/>
      <c r="W837" s="3"/>
      <c r="X837" s="3"/>
      <c r="Y837" s="3"/>
      <c r="Z837" s="3"/>
      <c r="AB837" s="3"/>
      <c r="AC837" s="3"/>
      <c r="AD837" s="3"/>
      <c r="AE837" s="3"/>
      <c r="AF837" s="3"/>
      <c r="AG837" s="3"/>
      <c r="AH837" s="3"/>
      <c r="AI837" s="3"/>
      <c r="AK837" s="3"/>
      <c r="AL837" s="3"/>
      <c r="AM837" s="3"/>
      <c r="AN837" s="3"/>
      <c r="AO837" s="3"/>
      <c r="AP837" s="3"/>
      <c r="AQ837" s="3"/>
      <c r="AR837" s="3"/>
    </row>
    <row r="838" spans="1:44" ht="16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S838" s="3"/>
      <c r="T838" s="3"/>
      <c r="U838" s="3"/>
      <c r="V838" s="3"/>
      <c r="W838" s="3"/>
      <c r="X838" s="3"/>
      <c r="Y838" s="3"/>
      <c r="Z838" s="3"/>
      <c r="AB838" s="3"/>
      <c r="AC838" s="3"/>
      <c r="AD838" s="3"/>
      <c r="AE838" s="3"/>
      <c r="AF838" s="3"/>
      <c r="AG838" s="3"/>
      <c r="AH838" s="3"/>
      <c r="AI838" s="3"/>
      <c r="AK838" s="3"/>
      <c r="AL838" s="3"/>
      <c r="AM838" s="3"/>
      <c r="AN838" s="3"/>
      <c r="AO838" s="3"/>
      <c r="AP838" s="3"/>
      <c r="AQ838" s="3"/>
      <c r="AR838" s="3"/>
    </row>
    <row r="839" spans="1:44" ht="16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S839" s="3"/>
      <c r="T839" s="3"/>
      <c r="U839" s="3"/>
      <c r="V839" s="3"/>
      <c r="W839" s="3"/>
      <c r="X839" s="3"/>
      <c r="Y839" s="3"/>
      <c r="Z839" s="3"/>
      <c r="AB839" s="3"/>
      <c r="AC839" s="3"/>
      <c r="AD839" s="3"/>
      <c r="AE839" s="3"/>
      <c r="AF839" s="3"/>
      <c r="AG839" s="3"/>
      <c r="AH839" s="3"/>
      <c r="AI839" s="3"/>
      <c r="AK839" s="3"/>
      <c r="AL839" s="3"/>
      <c r="AM839" s="3"/>
      <c r="AN839" s="3"/>
      <c r="AO839" s="3"/>
      <c r="AP839" s="3"/>
      <c r="AQ839" s="3"/>
      <c r="AR839" s="3"/>
    </row>
    <row r="840" spans="1:44" ht="16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S840" s="3"/>
      <c r="T840" s="3"/>
      <c r="U840" s="3"/>
      <c r="V840" s="3"/>
      <c r="W840" s="3"/>
      <c r="X840" s="3"/>
      <c r="Y840" s="3"/>
      <c r="Z840" s="3"/>
      <c r="AB840" s="3"/>
      <c r="AC840" s="3"/>
      <c r="AD840" s="3"/>
      <c r="AE840" s="3"/>
      <c r="AF840" s="3"/>
      <c r="AG840" s="3"/>
      <c r="AH840" s="3"/>
      <c r="AI840" s="3"/>
      <c r="AK840" s="3"/>
      <c r="AL840" s="3"/>
      <c r="AM840" s="3"/>
      <c r="AN840" s="3"/>
      <c r="AO840" s="3"/>
      <c r="AP840" s="3"/>
      <c r="AQ840" s="3"/>
      <c r="AR840" s="3"/>
    </row>
    <row r="841" spans="1:44" ht="16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S841" s="3"/>
      <c r="T841" s="3"/>
      <c r="U841" s="3"/>
      <c r="V841" s="3"/>
      <c r="W841" s="3"/>
      <c r="X841" s="3"/>
      <c r="Y841" s="3"/>
      <c r="Z841" s="3"/>
      <c r="AB841" s="3"/>
      <c r="AC841" s="3"/>
      <c r="AD841" s="3"/>
      <c r="AE841" s="3"/>
      <c r="AF841" s="3"/>
      <c r="AG841" s="3"/>
      <c r="AH841" s="3"/>
      <c r="AI841" s="3"/>
      <c r="AK841" s="3"/>
      <c r="AL841" s="3"/>
      <c r="AM841" s="3"/>
      <c r="AN841" s="3"/>
      <c r="AO841" s="3"/>
      <c r="AP841" s="3"/>
      <c r="AQ841" s="3"/>
      <c r="AR841" s="3"/>
    </row>
    <row r="842" spans="1:44" ht="16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S842" s="3"/>
      <c r="T842" s="3"/>
      <c r="U842" s="3"/>
      <c r="V842" s="3"/>
      <c r="W842" s="3"/>
      <c r="X842" s="3"/>
      <c r="Y842" s="3"/>
      <c r="Z842" s="3"/>
      <c r="AB842" s="3"/>
      <c r="AC842" s="3"/>
      <c r="AD842" s="3"/>
      <c r="AE842" s="3"/>
      <c r="AF842" s="3"/>
      <c r="AG842" s="3"/>
      <c r="AH842" s="3"/>
      <c r="AI842" s="3"/>
      <c r="AK842" s="3"/>
      <c r="AL842" s="3"/>
      <c r="AM842" s="3"/>
      <c r="AN842" s="3"/>
      <c r="AO842" s="3"/>
      <c r="AP842" s="3"/>
      <c r="AQ842" s="3"/>
      <c r="AR842" s="3"/>
    </row>
    <row r="843" spans="1:44" ht="16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S843" s="3"/>
      <c r="T843" s="3"/>
      <c r="U843" s="3"/>
      <c r="V843" s="3"/>
      <c r="W843" s="3"/>
      <c r="X843" s="3"/>
      <c r="Y843" s="3"/>
      <c r="Z843" s="3"/>
      <c r="AB843" s="3"/>
      <c r="AC843" s="3"/>
      <c r="AD843" s="3"/>
      <c r="AE843" s="3"/>
      <c r="AF843" s="3"/>
      <c r="AG843" s="3"/>
      <c r="AH843" s="3"/>
      <c r="AI843" s="3"/>
      <c r="AK843" s="3"/>
      <c r="AL843" s="3"/>
      <c r="AM843" s="3"/>
      <c r="AN843" s="3"/>
      <c r="AO843" s="3"/>
      <c r="AP843" s="3"/>
      <c r="AQ843" s="3"/>
      <c r="AR843" s="3"/>
    </row>
    <row r="844" spans="1:44" ht="16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S844" s="3"/>
      <c r="T844" s="3"/>
      <c r="U844" s="3"/>
      <c r="V844" s="3"/>
      <c r="W844" s="3"/>
      <c r="X844" s="3"/>
      <c r="Y844" s="3"/>
      <c r="Z844" s="3"/>
      <c r="AB844" s="3"/>
      <c r="AC844" s="3"/>
      <c r="AD844" s="3"/>
      <c r="AE844" s="3"/>
      <c r="AF844" s="3"/>
      <c r="AG844" s="3"/>
      <c r="AH844" s="3"/>
      <c r="AI844" s="3"/>
      <c r="AK844" s="3"/>
      <c r="AL844" s="3"/>
      <c r="AM844" s="3"/>
      <c r="AN844" s="3"/>
      <c r="AO844" s="3"/>
      <c r="AP844" s="3"/>
      <c r="AQ844" s="3"/>
      <c r="AR844" s="3"/>
    </row>
    <row r="845" spans="1:44" ht="16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S845" s="3"/>
      <c r="T845" s="3"/>
      <c r="U845" s="3"/>
      <c r="V845" s="3"/>
      <c r="W845" s="3"/>
      <c r="X845" s="3"/>
      <c r="Y845" s="3"/>
      <c r="Z845" s="3"/>
      <c r="AB845" s="3"/>
      <c r="AC845" s="3"/>
      <c r="AD845" s="3"/>
      <c r="AE845" s="3"/>
      <c r="AF845" s="3"/>
      <c r="AG845" s="3"/>
      <c r="AH845" s="3"/>
      <c r="AI845" s="3"/>
      <c r="AK845" s="3"/>
      <c r="AL845" s="3"/>
      <c r="AM845" s="3"/>
      <c r="AN845" s="3"/>
      <c r="AO845" s="3"/>
      <c r="AP845" s="3"/>
      <c r="AQ845" s="3"/>
      <c r="AR845" s="3"/>
    </row>
    <row r="846" spans="1:44" ht="16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S846" s="3"/>
      <c r="T846" s="3"/>
      <c r="U846" s="3"/>
      <c r="V846" s="3"/>
      <c r="W846" s="3"/>
      <c r="X846" s="3"/>
      <c r="Y846" s="3"/>
      <c r="Z846" s="3"/>
      <c r="AB846" s="3"/>
      <c r="AC846" s="3"/>
      <c r="AD846" s="3"/>
      <c r="AE846" s="3"/>
      <c r="AF846" s="3"/>
      <c r="AG846" s="3"/>
      <c r="AH846" s="3"/>
      <c r="AI846" s="3"/>
      <c r="AK846" s="3"/>
      <c r="AL846" s="3"/>
      <c r="AM846" s="3"/>
      <c r="AN846" s="3"/>
      <c r="AO846" s="3"/>
      <c r="AP846" s="3"/>
      <c r="AQ846" s="3"/>
      <c r="AR846" s="3"/>
    </row>
    <row r="847" spans="1:44" ht="16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S847" s="3"/>
      <c r="T847" s="3"/>
      <c r="U847" s="3"/>
      <c r="V847" s="3"/>
      <c r="W847" s="3"/>
      <c r="X847" s="3"/>
      <c r="Y847" s="3"/>
      <c r="Z847" s="3"/>
      <c r="AB847" s="3"/>
      <c r="AC847" s="3"/>
      <c r="AD847" s="3"/>
      <c r="AE847" s="3"/>
      <c r="AF847" s="3"/>
      <c r="AG847" s="3"/>
      <c r="AH847" s="3"/>
      <c r="AI847" s="3"/>
      <c r="AK847" s="3"/>
      <c r="AL847" s="3"/>
      <c r="AM847" s="3"/>
      <c r="AN847" s="3"/>
      <c r="AO847" s="3"/>
      <c r="AP847" s="3"/>
      <c r="AQ847" s="3"/>
      <c r="AR847" s="3"/>
    </row>
    <row r="848" spans="1:44" ht="16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S848" s="3"/>
      <c r="T848" s="3"/>
      <c r="U848" s="3"/>
      <c r="V848" s="3"/>
      <c r="W848" s="3"/>
      <c r="X848" s="3"/>
      <c r="Y848" s="3"/>
      <c r="Z848" s="3"/>
      <c r="AB848" s="3"/>
      <c r="AC848" s="3"/>
      <c r="AD848" s="3"/>
      <c r="AE848" s="3"/>
      <c r="AF848" s="3"/>
      <c r="AG848" s="3"/>
      <c r="AH848" s="3"/>
      <c r="AI848" s="3"/>
      <c r="AK848" s="3"/>
      <c r="AL848" s="3"/>
      <c r="AM848" s="3"/>
      <c r="AN848" s="3"/>
      <c r="AO848" s="3"/>
      <c r="AP848" s="3"/>
      <c r="AQ848" s="3"/>
      <c r="AR848" s="3"/>
    </row>
    <row r="849" spans="1:44" ht="16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S849" s="3"/>
      <c r="T849" s="3"/>
      <c r="U849" s="3"/>
      <c r="V849" s="3"/>
      <c r="W849" s="3"/>
      <c r="X849" s="3"/>
      <c r="Y849" s="3"/>
      <c r="Z849" s="3"/>
      <c r="AB849" s="3"/>
      <c r="AC849" s="3"/>
      <c r="AD849" s="3"/>
      <c r="AE849" s="3"/>
      <c r="AF849" s="3"/>
      <c r="AG849" s="3"/>
      <c r="AH849" s="3"/>
      <c r="AI849" s="3"/>
      <c r="AK849" s="3"/>
      <c r="AL849" s="3"/>
      <c r="AM849" s="3"/>
      <c r="AN849" s="3"/>
      <c r="AO849" s="3"/>
      <c r="AP849" s="3"/>
      <c r="AQ849" s="3"/>
      <c r="AR849" s="3"/>
    </row>
    <row r="850" spans="1:44" ht="16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S850" s="3"/>
      <c r="T850" s="3"/>
      <c r="U850" s="3"/>
      <c r="V850" s="3"/>
      <c r="W850" s="3"/>
      <c r="X850" s="3"/>
      <c r="Y850" s="3"/>
      <c r="Z850" s="3"/>
      <c r="AB850" s="3"/>
      <c r="AC850" s="3"/>
      <c r="AD850" s="3"/>
      <c r="AE850" s="3"/>
      <c r="AF850" s="3"/>
      <c r="AG850" s="3"/>
      <c r="AH850" s="3"/>
      <c r="AI850" s="3"/>
      <c r="AK850" s="3"/>
      <c r="AL850" s="3"/>
      <c r="AM850" s="3"/>
      <c r="AN850" s="3"/>
      <c r="AO850" s="3"/>
      <c r="AP850" s="3"/>
      <c r="AQ850" s="3"/>
      <c r="AR850" s="3"/>
    </row>
    <row r="851" spans="1:44" ht="16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S851" s="3"/>
      <c r="T851" s="3"/>
      <c r="U851" s="3"/>
      <c r="V851" s="3"/>
      <c r="W851" s="3"/>
      <c r="X851" s="3"/>
      <c r="Y851" s="3"/>
      <c r="Z851" s="3"/>
      <c r="AB851" s="3"/>
      <c r="AC851" s="3"/>
      <c r="AD851" s="3"/>
      <c r="AE851" s="3"/>
      <c r="AF851" s="3"/>
      <c r="AG851" s="3"/>
      <c r="AH851" s="3"/>
      <c r="AI851" s="3"/>
      <c r="AK851" s="3"/>
      <c r="AL851" s="3"/>
      <c r="AM851" s="3"/>
      <c r="AN851" s="3"/>
      <c r="AO851" s="3"/>
      <c r="AP851" s="3"/>
      <c r="AQ851" s="3"/>
      <c r="AR851" s="3"/>
    </row>
    <row r="852" spans="1:44" ht="16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S852" s="3"/>
      <c r="T852" s="3"/>
      <c r="U852" s="3"/>
      <c r="V852" s="3"/>
      <c r="W852" s="3"/>
      <c r="X852" s="3"/>
      <c r="Y852" s="3"/>
      <c r="Z852" s="3"/>
      <c r="AB852" s="3"/>
      <c r="AC852" s="3"/>
      <c r="AD852" s="3"/>
      <c r="AE852" s="3"/>
      <c r="AF852" s="3"/>
      <c r="AG852" s="3"/>
      <c r="AH852" s="3"/>
      <c r="AI852" s="3"/>
      <c r="AK852" s="3"/>
      <c r="AL852" s="3"/>
      <c r="AM852" s="3"/>
      <c r="AN852" s="3"/>
      <c r="AO852" s="3"/>
      <c r="AP852" s="3"/>
      <c r="AQ852" s="3"/>
      <c r="AR852" s="3"/>
    </row>
    <row r="853" spans="1:44" ht="16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S853" s="3"/>
      <c r="T853" s="3"/>
      <c r="U853" s="3"/>
      <c r="V853" s="3"/>
      <c r="W853" s="3"/>
      <c r="X853" s="3"/>
      <c r="Y853" s="3"/>
      <c r="Z853" s="3"/>
      <c r="AB853" s="3"/>
      <c r="AC853" s="3"/>
      <c r="AD853" s="3"/>
      <c r="AE853" s="3"/>
      <c r="AF853" s="3"/>
      <c r="AG853" s="3"/>
      <c r="AH853" s="3"/>
      <c r="AI853" s="3"/>
      <c r="AK853" s="3"/>
      <c r="AL853" s="3"/>
      <c r="AM853" s="3"/>
      <c r="AN853" s="3"/>
      <c r="AO853" s="3"/>
      <c r="AP853" s="3"/>
      <c r="AQ853" s="3"/>
      <c r="AR853" s="3"/>
    </row>
    <row r="854" spans="1:44" ht="16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S854" s="3"/>
      <c r="T854" s="3"/>
      <c r="U854" s="3"/>
      <c r="V854" s="3"/>
      <c r="W854" s="3"/>
      <c r="X854" s="3"/>
      <c r="Y854" s="3"/>
      <c r="Z854" s="3"/>
      <c r="AB854" s="3"/>
      <c r="AC854" s="3"/>
      <c r="AD854" s="3"/>
      <c r="AE854" s="3"/>
      <c r="AF854" s="3"/>
      <c r="AG854" s="3"/>
      <c r="AH854" s="3"/>
      <c r="AI854" s="3"/>
      <c r="AK854" s="3"/>
      <c r="AL854" s="3"/>
      <c r="AM854" s="3"/>
      <c r="AN854" s="3"/>
      <c r="AO854" s="3"/>
      <c r="AP854" s="3"/>
      <c r="AQ854" s="3"/>
      <c r="AR854" s="3"/>
    </row>
    <row r="855" spans="1:44" ht="16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S855" s="3"/>
      <c r="T855" s="3"/>
      <c r="U855" s="3"/>
      <c r="V855" s="3"/>
      <c r="W855" s="3"/>
      <c r="X855" s="3"/>
      <c r="Y855" s="3"/>
      <c r="Z855" s="3"/>
      <c r="AB855" s="3"/>
      <c r="AC855" s="3"/>
      <c r="AD855" s="3"/>
      <c r="AE855" s="3"/>
      <c r="AF855" s="3"/>
      <c r="AG855" s="3"/>
      <c r="AH855" s="3"/>
      <c r="AI855" s="3"/>
      <c r="AK855" s="3"/>
      <c r="AL855" s="3"/>
      <c r="AM855" s="3"/>
      <c r="AN855" s="3"/>
      <c r="AO855" s="3"/>
      <c r="AP855" s="3"/>
      <c r="AQ855" s="3"/>
      <c r="AR855" s="3"/>
    </row>
    <row r="856" spans="1:44" ht="16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S856" s="3"/>
      <c r="T856" s="3"/>
      <c r="U856" s="3"/>
      <c r="V856" s="3"/>
      <c r="W856" s="3"/>
      <c r="X856" s="3"/>
      <c r="Y856" s="3"/>
      <c r="Z856" s="3"/>
      <c r="AB856" s="3"/>
      <c r="AC856" s="3"/>
      <c r="AD856" s="3"/>
      <c r="AE856" s="3"/>
      <c r="AF856" s="3"/>
      <c r="AG856" s="3"/>
      <c r="AH856" s="3"/>
      <c r="AI856" s="3"/>
      <c r="AK856" s="3"/>
      <c r="AL856" s="3"/>
      <c r="AM856" s="3"/>
      <c r="AN856" s="3"/>
      <c r="AO856" s="3"/>
      <c r="AP856" s="3"/>
      <c r="AQ856" s="3"/>
      <c r="AR856" s="3"/>
    </row>
    <row r="857" spans="1:44" ht="16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S857" s="3"/>
      <c r="T857" s="3"/>
      <c r="U857" s="3"/>
      <c r="V857" s="3"/>
      <c r="W857" s="3"/>
      <c r="X857" s="3"/>
      <c r="Y857" s="3"/>
      <c r="Z857" s="3"/>
      <c r="AB857" s="3"/>
      <c r="AC857" s="3"/>
      <c r="AD857" s="3"/>
      <c r="AE857" s="3"/>
      <c r="AF857" s="3"/>
      <c r="AG857" s="3"/>
      <c r="AH857" s="3"/>
      <c r="AI857" s="3"/>
      <c r="AK857" s="3"/>
      <c r="AL857" s="3"/>
      <c r="AM857" s="3"/>
      <c r="AN857" s="3"/>
      <c r="AO857" s="3"/>
      <c r="AP857" s="3"/>
      <c r="AQ857" s="3"/>
      <c r="AR857" s="3"/>
    </row>
    <row r="858" spans="1:44" ht="16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S858" s="3"/>
      <c r="T858" s="3"/>
      <c r="U858" s="3"/>
      <c r="V858" s="3"/>
      <c r="W858" s="3"/>
      <c r="X858" s="3"/>
      <c r="Y858" s="3"/>
      <c r="Z858" s="3"/>
      <c r="AB858" s="3"/>
      <c r="AC858" s="3"/>
      <c r="AD858" s="3"/>
      <c r="AE858" s="3"/>
      <c r="AF858" s="3"/>
      <c r="AG858" s="3"/>
      <c r="AH858" s="3"/>
      <c r="AI858" s="3"/>
      <c r="AK858" s="3"/>
      <c r="AL858" s="3"/>
      <c r="AM858" s="3"/>
      <c r="AN858" s="3"/>
      <c r="AO858" s="3"/>
      <c r="AP858" s="3"/>
      <c r="AQ858" s="3"/>
      <c r="AR858" s="3"/>
    </row>
    <row r="859" spans="1:44" ht="16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S859" s="3"/>
      <c r="T859" s="3"/>
      <c r="U859" s="3"/>
      <c r="V859" s="3"/>
      <c r="W859" s="3"/>
      <c r="X859" s="3"/>
      <c r="Y859" s="3"/>
      <c r="Z859" s="3"/>
      <c r="AB859" s="3"/>
      <c r="AC859" s="3"/>
      <c r="AD859" s="3"/>
      <c r="AE859" s="3"/>
      <c r="AF859" s="3"/>
      <c r="AG859" s="3"/>
      <c r="AH859" s="3"/>
      <c r="AI859" s="3"/>
      <c r="AK859" s="3"/>
      <c r="AL859" s="3"/>
      <c r="AM859" s="3"/>
      <c r="AN859" s="3"/>
      <c r="AO859" s="3"/>
      <c r="AP859" s="3"/>
      <c r="AQ859" s="3"/>
      <c r="AR859" s="3"/>
    </row>
    <row r="860" spans="1:44" ht="16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S860" s="3"/>
      <c r="T860" s="3"/>
      <c r="U860" s="3"/>
      <c r="V860" s="3"/>
      <c r="W860" s="3"/>
      <c r="X860" s="3"/>
      <c r="Y860" s="3"/>
      <c r="Z860" s="3"/>
      <c r="AB860" s="3"/>
      <c r="AC860" s="3"/>
      <c r="AD860" s="3"/>
      <c r="AE860" s="3"/>
      <c r="AF860" s="3"/>
      <c r="AG860" s="3"/>
      <c r="AH860" s="3"/>
      <c r="AI860" s="3"/>
      <c r="AK860" s="3"/>
      <c r="AL860" s="3"/>
      <c r="AM860" s="3"/>
      <c r="AN860" s="3"/>
      <c r="AO860" s="3"/>
      <c r="AP860" s="3"/>
      <c r="AQ860" s="3"/>
      <c r="AR860" s="3"/>
    </row>
    <row r="861" spans="1:44" ht="16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S861" s="3"/>
      <c r="T861" s="3"/>
      <c r="U861" s="3"/>
      <c r="V861" s="3"/>
      <c r="W861" s="3"/>
      <c r="X861" s="3"/>
      <c r="Y861" s="3"/>
      <c r="Z861" s="3"/>
      <c r="AB861" s="3"/>
      <c r="AC861" s="3"/>
      <c r="AD861" s="3"/>
      <c r="AE861" s="3"/>
      <c r="AF861" s="3"/>
      <c r="AG861" s="3"/>
      <c r="AH861" s="3"/>
      <c r="AI861" s="3"/>
      <c r="AK861" s="3"/>
      <c r="AL861" s="3"/>
      <c r="AM861" s="3"/>
      <c r="AN861" s="3"/>
      <c r="AO861" s="3"/>
      <c r="AP861" s="3"/>
      <c r="AQ861" s="3"/>
      <c r="AR861" s="3"/>
    </row>
    <row r="862" spans="1:44" ht="16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S862" s="3"/>
      <c r="T862" s="3"/>
      <c r="U862" s="3"/>
      <c r="V862" s="3"/>
      <c r="W862" s="3"/>
      <c r="X862" s="3"/>
      <c r="Y862" s="3"/>
      <c r="Z862" s="3"/>
      <c r="AB862" s="3"/>
      <c r="AC862" s="3"/>
      <c r="AD862" s="3"/>
      <c r="AE862" s="3"/>
      <c r="AF862" s="3"/>
      <c r="AG862" s="3"/>
      <c r="AH862" s="3"/>
      <c r="AI862" s="3"/>
      <c r="AK862" s="3"/>
      <c r="AL862" s="3"/>
      <c r="AM862" s="3"/>
      <c r="AN862" s="3"/>
      <c r="AO862" s="3"/>
      <c r="AP862" s="3"/>
      <c r="AQ862" s="3"/>
      <c r="AR862" s="3"/>
    </row>
    <row r="863" spans="1:44" ht="16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S863" s="3"/>
      <c r="T863" s="3"/>
      <c r="U863" s="3"/>
      <c r="V863" s="3"/>
      <c r="W863" s="3"/>
      <c r="X863" s="3"/>
      <c r="Y863" s="3"/>
      <c r="Z863" s="3"/>
      <c r="AB863" s="3"/>
      <c r="AC863" s="3"/>
      <c r="AD863" s="3"/>
      <c r="AE863" s="3"/>
      <c r="AF863" s="3"/>
      <c r="AG863" s="3"/>
      <c r="AH863" s="3"/>
      <c r="AI863" s="3"/>
      <c r="AK863" s="3"/>
      <c r="AL863" s="3"/>
      <c r="AM863" s="3"/>
      <c r="AN863" s="3"/>
      <c r="AO863" s="3"/>
      <c r="AP863" s="3"/>
      <c r="AQ863" s="3"/>
      <c r="AR863" s="3"/>
    </row>
    <row r="864" spans="1:44" ht="16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S864" s="3"/>
      <c r="T864" s="3"/>
      <c r="U864" s="3"/>
      <c r="V864" s="3"/>
      <c r="W864" s="3"/>
      <c r="X864" s="3"/>
      <c r="Y864" s="3"/>
      <c r="Z864" s="3"/>
      <c r="AB864" s="3"/>
      <c r="AC864" s="3"/>
      <c r="AD864" s="3"/>
      <c r="AE864" s="3"/>
      <c r="AF864" s="3"/>
      <c r="AG864" s="3"/>
      <c r="AH864" s="3"/>
      <c r="AI864" s="3"/>
      <c r="AK864" s="3"/>
      <c r="AL864" s="3"/>
      <c r="AM864" s="3"/>
      <c r="AN864" s="3"/>
      <c r="AO864" s="3"/>
      <c r="AP864" s="3"/>
      <c r="AQ864" s="3"/>
      <c r="AR864" s="3"/>
    </row>
    <row r="865" spans="1:44" ht="16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S865" s="3"/>
      <c r="T865" s="3"/>
      <c r="U865" s="3"/>
      <c r="V865" s="3"/>
      <c r="W865" s="3"/>
      <c r="X865" s="3"/>
      <c r="Y865" s="3"/>
      <c r="Z865" s="3"/>
      <c r="AB865" s="3"/>
      <c r="AC865" s="3"/>
      <c r="AD865" s="3"/>
      <c r="AE865" s="3"/>
      <c r="AF865" s="3"/>
      <c r="AG865" s="3"/>
      <c r="AH865" s="3"/>
      <c r="AI865" s="3"/>
      <c r="AK865" s="3"/>
      <c r="AL865" s="3"/>
      <c r="AM865" s="3"/>
      <c r="AN865" s="3"/>
      <c r="AO865" s="3"/>
      <c r="AP865" s="3"/>
      <c r="AQ865" s="3"/>
      <c r="AR865" s="3"/>
    </row>
    <row r="866" spans="1:44" ht="16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S866" s="3"/>
      <c r="T866" s="3"/>
      <c r="U866" s="3"/>
      <c r="V866" s="3"/>
      <c r="W866" s="3"/>
      <c r="X866" s="3"/>
      <c r="Y866" s="3"/>
      <c r="Z866" s="3"/>
      <c r="AB866" s="3"/>
      <c r="AC866" s="3"/>
      <c r="AD866" s="3"/>
      <c r="AE866" s="3"/>
      <c r="AF866" s="3"/>
      <c r="AG866" s="3"/>
      <c r="AH866" s="3"/>
      <c r="AI866" s="3"/>
      <c r="AK866" s="3"/>
      <c r="AL866" s="3"/>
      <c r="AM866" s="3"/>
      <c r="AN866" s="3"/>
      <c r="AO866" s="3"/>
      <c r="AP866" s="3"/>
      <c r="AQ866" s="3"/>
      <c r="AR866" s="3"/>
    </row>
    <row r="867" spans="1:44" ht="16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S867" s="3"/>
      <c r="T867" s="3"/>
      <c r="U867" s="3"/>
      <c r="V867" s="3"/>
      <c r="W867" s="3"/>
      <c r="X867" s="3"/>
      <c r="Y867" s="3"/>
      <c r="Z867" s="3"/>
      <c r="AB867" s="3"/>
      <c r="AC867" s="3"/>
      <c r="AD867" s="3"/>
      <c r="AE867" s="3"/>
      <c r="AF867" s="3"/>
      <c r="AG867" s="3"/>
      <c r="AH867" s="3"/>
      <c r="AI867" s="3"/>
      <c r="AK867" s="3"/>
      <c r="AL867" s="3"/>
      <c r="AM867" s="3"/>
      <c r="AN867" s="3"/>
      <c r="AO867" s="3"/>
      <c r="AP867" s="3"/>
      <c r="AQ867" s="3"/>
      <c r="AR867" s="3"/>
    </row>
    <row r="868" spans="1:44" ht="16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S868" s="3"/>
      <c r="T868" s="3"/>
      <c r="U868" s="3"/>
      <c r="V868" s="3"/>
      <c r="W868" s="3"/>
      <c r="X868" s="3"/>
      <c r="Y868" s="3"/>
      <c r="Z868" s="3"/>
      <c r="AB868" s="3"/>
      <c r="AC868" s="3"/>
      <c r="AD868" s="3"/>
      <c r="AE868" s="3"/>
      <c r="AF868" s="3"/>
      <c r="AG868" s="3"/>
      <c r="AH868" s="3"/>
      <c r="AI868" s="3"/>
      <c r="AK868" s="3"/>
      <c r="AL868" s="3"/>
      <c r="AM868" s="3"/>
      <c r="AN868" s="3"/>
      <c r="AO868" s="3"/>
      <c r="AP868" s="3"/>
      <c r="AQ868" s="3"/>
      <c r="AR868" s="3"/>
    </row>
    <row r="869" spans="1:44" ht="16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S869" s="3"/>
      <c r="T869" s="3"/>
      <c r="U869" s="3"/>
      <c r="V869" s="3"/>
      <c r="W869" s="3"/>
      <c r="X869" s="3"/>
      <c r="Y869" s="3"/>
      <c r="Z869" s="3"/>
      <c r="AB869" s="3"/>
      <c r="AC869" s="3"/>
      <c r="AD869" s="3"/>
      <c r="AE869" s="3"/>
      <c r="AF869" s="3"/>
      <c r="AG869" s="3"/>
      <c r="AH869" s="3"/>
      <c r="AI869" s="3"/>
      <c r="AK869" s="3"/>
      <c r="AL869" s="3"/>
      <c r="AM869" s="3"/>
      <c r="AN869" s="3"/>
      <c r="AO869" s="3"/>
      <c r="AP869" s="3"/>
      <c r="AQ869" s="3"/>
      <c r="AR869" s="3"/>
    </row>
    <row r="870" spans="1:44" ht="16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S870" s="3"/>
      <c r="T870" s="3"/>
      <c r="U870" s="3"/>
      <c r="V870" s="3"/>
      <c r="W870" s="3"/>
      <c r="X870" s="3"/>
      <c r="Y870" s="3"/>
      <c r="Z870" s="3"/>
      <c r="AB870" s="3"/>
      <c r="AC870" s="3"/>
      <c r="AD870" s="3"/>
      <c r="AE870" s="3"/>
      <c r="AF870" s="3"/>
      <c r="AG870" s="3"/>
      <c r="AH870" s="3"/>
      <c r="AI870" s="3"/>
      <c r="AK870" s="3"/>
      <c r="AL870" s="3"/>
      <c r="AM870" s="3"/>
      <c r="AN870" s="3"/>
      <c r="AO870" s="3"/>
      <c r="AP870" s="3"/>
      <c r="AQ870" s="3"/>
      <c r="AR870" s="3"/>
    </row>
    <row r="871" spans="1:44" ht="16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S871" s="3"/>
      <c r="T871" s="3"/>
      <c r="U871" s="3"/>
      <c r="V871" s="3"/>
      <c r="W871" s="3"/>
      <c r="X871" s="3"/>
      <c r="Y871" s="3"/>
      <c r="Z871" s="3"/>
      <c r="AB871" s="3"/>
      <c r="AC871" s="3"/>
      <c r="AD871" s="3"/>
      <c r="AE871" s="3"/>
      <c r="AF871" s="3"/>
      <c r="AG871" s="3"/>
      <c r="AH871" s="3"/>
      <c r="AI871" s="3"/>
      <c r="AK871" s="3"/>
      <c r="AL871" s="3"/>
      <c r="AM871" s="3"/>
      <c r="AN871" s="3"/>
      <c r="AO871" s="3"/>
      <c r="AP871" s="3"/>
      <c r="AQ871" s="3"/>
      <c r="AR871" s="3"/>
    </row>
    <row r="872" spans="1:44" ht="16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S872" s="3"/>
      <c r="T872" s="3"/>
      <c r="U872" s="3"/>
      <c r="V872" s="3"/>
      <c r="W872" s="3"/>
      <c r="X872" s="3"/>
      <c r="Y872" s="3"/>
      <c r="Z872" s="3"/>
      <c r="AB872" s="3"/>
      <c r="AC872" s="3"/>
      <c r="AD872" s="3"/>
      <c r="AE872" s="3"/>
      <c r="AF872" s="3"/>
      <c r="AG872" s="3"/>
      <c r="AH872" s="3"/>
      <c r="AI872" s="3"/>
      <c r="AK872" s="3"/>
      <c r="AL872" s="3"/>
      <c r="AM872" s="3"/>
      <c r="AN872" s="3"/>
      <c r="AO872" s="3"/>
      <c r="AP872" s="3"/>
      <c r="AQ872" s="3"/>
      <c r="AR872" s="3"/>
    </row>
    <row r="873" spans="1:44" ht="16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S873" s="3"/>
      <c r="T873" s="3"/>
      <c r="U873" s="3"/>
      <c r="V873" s="3"/>
      <c r="W873" s="3"/>
      <c r="X873" s="3"/>
      <c r="Y873" s="3"/>
      <c r="Z873" s="3"/>
      <c r="AB873" s="3"/>
      <c r="AC873" s="3"/>
      <c r="AD873" s="3"/>
      <c r="AE873" s="3"/>
      <c r="AF873" s="3"/>
      <c r="AG873" s="3"/>
      <c r="AH873" s="3"/>
      <c r="AI873" s="3"/>
      <c r="AK873" s="3"/>
      <c r="AL873" s="3"/>
      <c r="AM873" s="3"/>
      <c r="AN873" s="3"/>
      <c r="AO873" s="3"/>
      <c r="AP873" s="3"/>
      <c r="AQ873" s="3"/>
      <c r="AR873" s="3"/>
    </row>
    <row r="874" spans="1:44" ht="16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S874" s="3"/>
      <c r="T874" s="3"/>
      <c r="U874" s="3"/>
      <c r="V874" s="3"/>
      <c r="W874" s="3"/>
      <c r="X874" s="3"/>
      <c r="Y874" s="3"/>
      <c r="Z874" s="3"/>
      <c r="AB874" s="3"/>
      <c r="AC874" s="3"/>
      <c r="AD874" s="3"/>
      <c r="AE874" s="3"/>
      <c r="AF874" s="3"/>
      <c r="AG874" s="3"/>
      <c r="AH874" s="3"/>
      <c r="AI874" s="3"/>
      <c r="AK874" s="3"/>
      <c r="AL874" s="3"/>
      <c r="AM874" s="3"/>
      <c r="AN874" s="3"/>
      <c r="AO874" s="3"/>
      <c r="AP874" s="3"/>
      <c r="AQ874" s="3"/>
      <c r="AR874" s="3"/>
    </row>
    <row r="875" spans="1:44" ht="16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S875" s="3"/>
      <c r="T875" s="3"/>
      <c r="U875" s="3"/>
      <c r="V875" s="3"/>
      <c r="W875" s="3"/>
      <c r="X875" s="3"/>
      <c r="Y875" s="3"/>
      <c r="Z875" s="3"/>
      <c r="AB875" s="3"/>
      <c r="AC875" s="3"/>
      <c r="AD875" s="3"/>
      <c r="AE875" s="3"/>
      <c r="AF875" s="3"/>
      <c r="AG875" s="3"/>
      <c r="AH875" s="3"/>
      <c r="AI875" s="3"/>
      <c r="AK875" s="3"/>
      <c r="AL875" s="3"/>
      <c r="AM875" s="3"/>
      <c r="AN875" s="3"/>
      <c r="AO875" s="3"/>
      <c r="AP875" s="3"/>
      <c r="AQ875" s="3"/>
      <c r="AR875" s="3"/>
    </row>
    <row r="876" spans="1:44" ht="16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S876" s="3"/>
      <c r="T876" s="3"/>
      <c r="U876" s="3"/>
      <c r="V876" s="3"/>
      <c r="W876" s="3"/>
      <c r="X876" s="3"/>
      <c r="Y876" s="3"/>
      <c r="Z876" s="3"/>
      <c r="AB876" s="3"/>
      <c r="AC876" s="3"/>
      <c r="AD876" s="3"/>
      <c r="AE876" s="3"/>
      <c r="AF876" s="3"/>
      <c r="AG876" s="3"/>
      <c r="AH876" s="3"/>
      <c r="AI876" s="3"/>
      <c r="AK876" s="3"/>
      <c r="AL876" s="3"/>
      <c r="AM876" s="3"/>
      <c r="AN876" s="3"/>
      <c r="AO876" s="3"/>
      <c r="AP876" s="3"/>
      <c r="AQ876" s="3"/>
      <c r="AR876" s="3"/>
    </row>
    <row r="877" spans="1:44" ht="16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S877" s="3"/>
      <c r="T877" s="3"/>
      <c r="U877" s="3"/>
      <c r="V877" s="3"/>
      <c r="W877" s="3"/>
      <c r="X877" s="3"/>
      <c r="Y877" s="3"/>
      <c r="Z877" s="3"/>
      <c r="AB877" s="3"/>
      <c r="AC877" s="3"/>
      <c r="AD877" s="3"/>
      <c r="AE877" s="3"/>
      <c r="AF877" s="3"/>
      <c r="AG877" s="3"/>
      <c r="AH877" s="3"/>
      <c r="AI877" s="3"/>
      <c r="AK877" s="3"/>
      <c r="AL877" s="3"/>
      <c r="AM877" s="3"/>
      <c r="AN877" s="3"/>
      <c r="AO877" s="3"/>
      <c r="AP877" s="3"/>
      <c r="AQ877" s="3"/>
      <c r="AR877" s="3"/>
    </row>
    <row r="878" spans="1:44" ht="16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S878" s="3"/>
      <c r="T878" s="3"/>
      <c r="U878" s="3"/>
      <c r="V878" s="3"/>
      <c r="W878" s="3"/>
      <c r="X878" s="3"/>
      <c r="Y878" s="3"/>
      <c r="Z878" s="3"/>
      <c r="AB878" s="3"/>
      <c r="AC878" s="3"/>
      <c r="AD878" s="3"/>
      <c r="AE878" s="3"/>
      <c r="AF878" s="3"/>
      <c r="AG878" s="3"/>
      <c r="AH878" s="3"/>
      <c r="AI878" s="3"/>
      <c r="AK878" s="3"/>
      <c r="AL878" s="3"/>
      <c r="AM878" s="3"/>
      <c r="AN878" s="3"/>
      <c r="AO878" s="3"/>
      <c r="AP878" s="3"/>
      <c r="AQ878" s="3"/>
      <c r="AR878" s="3"/>
    </row>
    <row r="879" spans="1:44" ht="16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S879" s="3"/>
      <c r="T879" s="3"/>
      <c r="U879" s="3"/>
      <c r="V879" s="3"/>
      <c r="W879" s="3"/>
      <c r="X879" s="3"/>
      <c r="Y879" s="3"/>
      <c r="Z879" s="3"/>
      <c r="AB879" s="3"/>
      <c r="AC879" s="3"/>
      <c r="AD879" s="3"/>
      <c r="AE879" s="3"/>
      <c r="AF879" s="3"/>
      <c r="AG879" s="3"/>
      <c r="AH879" s="3"/>
      <c r="AI879" s="3"/>
      <c r="AK879" s="3"/>
      <c r="AL879" s="3"/>
      <c r="AM879" s="3"/>
      <c r="AN879" s="3"/>
      <c r="AO879" s="3"/>
      <c r="AP879" s="3"/>
      <c r="AQ879" s="3"/>
      <c r="AR879" s="3"/>
    </row>
    <row r="880" spans="1:44" ht="16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S880" s="3"/>
      <c r="T880" s="3"/>
      <c r="U880" s="3"/>
      <c r="V880" s="3"/>
      <c r="W880" s="3"/>
      <c r="X880" s="3"/>
      <c r="Y880" s="3"/>
      <c r="Z880" s="3"/>
      <c r="AB880" s="3"/>
      <c r="AC880" s="3"/>
      <c r="AD880" s="3"/>
      <c r="AE880" s="3"/>
      <c r="AF880" s="3"/>
      <c r="AG880" s="3"/>
      <c r="AH880" s="3"/>
      <c r="AI880" s="3"/>
      <c r="AK880" s="3"/>
      <c r="AL880" s="3"/>
      <c r="AM880" s="3"/>
      <c r="AN880" s="3"/>
      <c r="AO880" s="3"/>
      <c r="AP880" s="3"/>
      <c r="AQ880" s="3"/>
      <c r="AR880" s="3"/>
    </row>
    <row r="881" spans="1:44" ht="16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S881" s="3"/>
      <c r="T881" s="3"/>
      <c r="U881" s="3"/>
      <c r="V881" s="3"/>
      <c r="W881" s="3"/>
      <c r="X881" s="3"/>
      <c r="Y881" s="3"/>
      <c r="Z881" s="3"/>
      <c r="AB881" s="3"/>
      <c r="AC881" s="3"/>
      <c r="AD881" s="3"/>
      <c r="AE881" s="3"/>
      <c r="AF881" s="3"/>
      <c r="AG881" s="3"/>
      <c r="AH881" s="3"/>
      <c r="AI881" s="3"/>
      <c r="AK881" s="3"/>
      <c r="AL881" s="3"/>
      <c r="AM881" s="3"/>
      <c r="AN881" s="3"/>
      <c r="AO881" s="3"/>
      <c r="AP881" s="3"/>
      <c r="AQ881" s="3"/>
      <c r="AR881" s="3"/>
    </row>
    <row r="882" spans="1:44" ht="16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S882" s="3"/>
      <c r="T882" s="3"/>
      <c r="U882" s="3"/>
      <c r="V882" s="3"/>
      <c r="W882" s="3"/>
      <c r="X882" s="3"/>
      <c r="Y882" s="3"/>
      <c r="Z882" s="3"/>
      <c r="AB882" s="3"/>
      <c r="AC882" s="3"/>
      <c r="AD882" s="3"/>
      <c r="AE882" s="3"/>
      <c r="AF882" s="3"/>
      <c r="AG882" s="3"/>
      <c r="AH882" s="3"/>
      <c r="AI882" s="3"/>
      <c r="AK882" s="3"/>
      <c r="AL882" s="3"/>
      <c r="AM882" s="3"/>
      <c r="AN882" s="3"/>
      <c r="AO882" s="3"/>
      <c r="AP882" s="3"/>
      <c r="AQ882" s="3"/>
      <c r="AR882" s="3"/>
    </row>
    <row r="883" spans="1:44" ht="16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S883" s="3"/>
      <c r="T883" s="3"/>
      <c r="U883" s="3"/>
      <c r="V883" s="3"/>
      <c r="W883" s="3"/>
      <c r="X883" s="3"/>
      <c r="Y883" s="3"/>
      <c r="Z883" s="3"/>
      <c r="AB883" s="3"/>
      <c r="AC883" s="3"/>
      <c r="AD883" s="3"/>
      <c r="AE883" s="3"/>
      <c r="AF883" s="3"/>
      <c r="AG883" s="3"/>
      <c r="AH883" s="3"/>
      <c r="AI883" s="3"/>
      <c r="AK883" s="3"/>
      <c r="AL883" s="3"/>
      <c r="AM883" s="3"/>
      <c r="AN883" s="3"/>
      <c r="AO883" s="3"/>
      <c r="AP883" s="3"/>
      <c r="AQ883" s="3"/>
      <c r="AR883" s="3"/>
    </row>
    <row r="884" spans="1:44" ht="16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S884" s="3"/>
      <c r="T884" s="3"/>
      <c r="U884" s="3"/>
      <c r="V884" s="3"/>
      <c r="W884" s="3"/>
      <c r="X884" s="3"/>
      <c r="Y884" s="3"/>
      <c r="Z884" s="3"/>
      <c r="AB884" s="3"/>
      <c r="AC884" s="3"/>
      <c r="AD884" s="3"/>
      <c r="AE884" s="3"/>
      <c r="AF884" s="3"/>
      <c r="AG884" s="3"/>
      <c r="AH884" s="3"/>
      <c r="AI884" s="3"/>
      <c r="AK884" s="3"/>
      <c r="AL884" s="3"/>
      <c r="AM884" s="3"/>
      <c r="AN884" s="3"/>
      <c r="AO884" s="3"/>
      <c r="AP884" s="3"/>
      <c r="AQ884" s="3"/>
      <c r="AR884" s="3"/>
    </row>
    <row r="885" spans="1:44" ht="16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S885" s="3"/>
      <c r="T885" s="3"/>
      <c r="U885" s="3"/>
      <c r="V885" s="3"/>
      <c r="W885" s="3"/>
      <c r="X885" s="3"/>
      <c r="Y885" s="3"/>
      <c r="Z885" s="3"/>
      <c r="AB885" s="3"/>
      <c r="AC885" s="3"/>
      <c r="AD885" s="3"/>
      <c r="AE885" s="3"/>
      <c r="AF885" s="3"/>
      <c r="AG885" s="3"/>
      <c r="AH885" s="3"/>
      <c r="AI885" s="3"/>
      <c r="AK885" s="3"/>
      <c r="AL885" s="3"/>
      <c r="AM885" s="3"/>
      <c r="AN885" s="3"/>
      <c r="AO885" s="3"/>
      <c r="AP885" s="3"/>
      <c r="AQ885" s="3"/>
      <c r="AR885" s="3"/>
    </row>
    <row r="886" spans="1:44" ht="16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S886" s="3"/>
      <c r="T886" s="3"/>
      <c r="U886" s="3"/>
      <c r="V886" s="3"/>
      <c r="W886" s="3"/>
      <c r="X886" s="3"/>
      <c r="Y886" s="3"/>
      <c r="Z886" s="3"/>
      <c r="AB886" s="3"/>
      <c r="AC886" s="3"/>
      <c r="AD886" s="3"/>
      <c r="AE886" s="3"/>
      <c r="AF886" s="3"/>
      <c r="AG886" s="3"/>
      <c r="AH886" s="3"/>
      <c r="AI886" s="3"/>
      <c r="AK886" s="3"/>
      <c r="AL886" s="3"/>
      <c r="AM886" s="3"/>
      <c r="AN886" s="3"/>
      <c r="AO886" s="3"/>
      <c r="AP886" s="3"/>
      <c r="AQ886" s="3"/>
      <c r="AR886" s="3"/>
    </row>
    <row r="887" spans="1:44" ht="16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S887" s="3"/>
      <c r="T887" s="3"/>
      <c r="U887" s="3"/>
      <c r="V887" s="3"/>
      <c r="W887" s="3"/>
      <c r="X887" s="3"/>
      <c r="Y887" s="3"/>
      <c r="Z887" s="3"/>
      <c r="AB887" s="3"/>
      <c r="AC887" s="3"/>
      <c r="AD887" s="3"/>
      <c r="AE887" s="3"/>
      <c r="AF887" s="3"/>
      <c r="AG887" s="3"/>
      <c r="AH887" s="3"/>
      <c r="AI887" s="3"/>
      <c r="AK887" s="3"/>
      <c r="AL887" s="3"/>
      <c r="AM887" s="3"/>
      <c r="AN887" s="3"/>
      <c r="AO887" s="3"/>
      <c r="AP887" s="3"/>
      <c r="AQ887" s="3"/>
      <c r="AR887" s="3"/>
    </row>
    <row r="888" spans="1:44" ht="16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S888" s="3"/>
      <c r="T888" s="3"/>
      <c r="U888" s="3"/>
      <c r="V888" s="3"/>
      <c r="W888" s="3"/>
      <c r="X888" s="3"/>
      <c r="Y888" s="3"/>
      <c r="Z888" s="3"/>
      <c r="AB888" s="3"/>
      <c r="AC888" s="3"/>
      <c r="AD888" s="3"/>
      <c r="AE888" s="3"/>
      <c r="AF888" s="3"/>
      <c r="AG888" s="3"/>
      <c r="AH888" s="3"/>
      <c r="AI888" s="3"/>
      <c r="AK888" s="3"/>
      <c r="AL888" s="3"/>
      <c r="AM888" s="3"/>
      <c r="AN888" s="3"/>
      <c r="AO888" s="3"/>
      <c r="AP888" s="3"/>
      <c r="AQ888" s="3"/>
      <c r="AR888" s="3"/>
    </row>
    <row r="889" spans="1:44" ht="16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S889" s="3"/>
      <c r="T889" s="3"/>
      <c r="U889" s="3"/>
      <c r="V889" s="3"/>
      <c r="W889" s="3"/>
      <c r="X889" s="3"/>
      <c r="Y889" s="3"/>
      <c r="Z889" s="3"/>
      <c r="AB889" s="3"/>
      <c r="AC889" s="3"/>
      <c r="AD889" s="3"/>
      <c r="AE889" s="3"/>
      <c r="AF889" s="3"/>
      <c r="AG889" s="3"/>
      <c r="AH889" s="3"/>
      <c r="AI889" s="3"/>
      <c r="AK889" s="3"/>
      <c r="AL889" s="3"/>
      <c r="AM889" s="3"/>
      <c r="AN889" s="3"/>
      <c r="AO889" s="3"/>
      <c r="AP889" s="3"/>
      <c r="AQ889" s="3"/>
      <c r="AR889" s="3"/>
    </row>
    <row r="890" spans="1:44" ht="16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S890" s="3"/>
      <c r="T890" s="3"/>
      <c r="U890" s="3"/>
      <c r="V890" s="3"/>
      <c r="W890" s="3"/>
      <c r="X890" s="3"/>
      <c r="Y890" s="3"/>
      <c r="Z890" s="3"/>
      <c r="AB890" s="3"/>
      <c r="AC890" s="3"/>
      <c r="AD890" s="3"/>
      <c r="AE890" s="3"/>
      <c r="AF890" s="3"/>
      <c r="AG890" s="3"/>
      <c r="AH890" s="3"/>
      <c r="AI890" s="3"/>
      <c r="AK890" s="3"/>
      <c r="AL890" s="3"/>
      <c r="AM890" s="3"/>
      <c r="AN890" s="3"/>
      <c r="AO890" s="3"/>
      <c r="AP890" s="3"/>
      <c r="AQ890" s="3"/>
      <c r="AR890" s="3"/>
    </row>
    <row r="891" spans="1:44" ht="16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S891" s="3"/>
      <c r="T891" s="3"/>
      <c r="U891" s="3"/>
      <c r="V891" s="3"/>
      <c r="W891" s="3"/>
      <c r="X891" s="3"/>
      <c r="Y891" s="3"/>
      <c r="Z891" s="3"/>
      <c r="AB891" s="3"/>
      <c r="AC891" s="3"/>
      <c r="AD891" s="3"/>
      <c r="AE891" s="3"/>
      <c r="AF891" s="3"/>
      <c r="AG891" s="3"/>
      <c r="AH891" s="3"/>
      <c r="AI891" s="3"/>
      <c r="AK891" s="3"/>
      <c r="AL891" s="3"/>
      <c r="AM891" s="3"/>
      <c r="AN891" s="3"/>
      <c r="AO891" s="3"/>
      <c r="AP891" s="3"/>
      <c r="AQ891" s="3"/>
      <c r="AR891" s="3"/>
    </row>
    <row r="892" spans="1:44" ht="16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S892" s="3"/>
      <c r="T892" s="3"/>
      <c r="U892" s="3"/>
      <c r="V892" s="3"/>
      <c r="W892" s="3"/>
      <c r="X892" s="3"/>
      <c r="Y892" s="3"/>
      <c r="Z892" s="3"/>
      <c r="AB892" s="3"/>
      <c r="AC892" s="3"/>
      <c r="AD892" s="3"/>
      <c r="AE892" s="3"/>
      <c r="AF892" s="3"/>
      <c r="AG892" s="3"/>
      <c r="AH892" s="3"/>
      <c r="AI892" s="3"/>
      <c r="AK892" s="3"/>
      <c r="AL892" s="3"/>
      <c r="AM892" s="3"/>
      <c r="AN892" s="3"/>
      <c r="AO892" s="3"/>
      <c r="AP892" s="3"/>
      <c r="AQ892" s="3"/>
      <c r="AR892" s="3"/>
    </row>
    <row r="893" spans="1:44" ht="16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S893" s="3"/>
      <c r="T893" s="3"/>
      <c r="U893" s="3"/>
      <c r="V893" s="3"/>
      <c r="W893" s="3"/>
      <c r="X893" s="3"/>
      <c r="Y893" s="3"/>
      <c r="Z893" s="3"/>
      <c r="AB893" s="3"/>
      <c r="AC893" s="3"/>
      <c r="AD893" s="3"/>
      <c r="AE893" s="3"/>
      <c r="AF893" s="3"/>
      <c r="AG893" s="3"/>
      <c r="AH893" s="3"/>
      <c r="AI893" s="3"/>
      <c r="AK893" s="3"/>
      <c r="AL893" s="3"/>
      <c r="AM893" s="3"/>
      <c r="AN893" s="3"/>
      <c r="AO893" s="3"/>
      <c r="AP893" s="3"/>
      <c r="AQ893" s="3"/>
      <c r="AR893" s="3"/>
    </row>
    <row r="894" spans="1:44" ht="16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S894" s="3"/>
      <c r="T894" s="3"/>
      <c r="U894" s="3"/>
      <c r="V894" s="3"/>
      <c r="W894" s="3"/>
      <c r="X894" s="3"/>
      <c r="Y894" s="3"/>
      <c r="Z894" s="3"/>
      <c r="AB894" s="3"/>
      <c r="AC894" s="3"/>
      <c r="AD894" s="3"/>
      <c r="AE894" s="3"/>
      <c r="AF894" s="3"/>
      <c r="AG894" s="3"/>
      <c r="AH894" s="3"/>
      <c r="AI894" s="3"/>
      <c r="AK894" s="3"/>
      <c r="AL894" s="3"/>
      <c r="AM894" s="3"/>
      <c r="AN894" s="3"/>
      <c r="AO894" s="3"/>
      <c r="AP894" s="3"/>
      <c r="AQ894" s="3"/>
      <c r="AR894" s="3"/>
    </row>
    <row r="895" spans="1:44" ht="16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S895" s="3"/>
      <c r="T895" s="3"/>
      <c r="U895" s="3"/>
      <c r="V895" s="3"/>
      <c r="W895" s="3"/>
      <c r="X895" s="3"/>
      <c r="Y895" s="3"/>
      <c r="Z895" s="3"/>
      <c r="AB895" s="3"/>
      <c r="AC895" s="3"/>
      <c r="AD895" s="3"/>
      <c r="AE895" s="3"/>
      <c r="AF895" s="3"/>
      <c r="AG895" s="3"/>
      <c r="AH895" s="3"/>
      <c r="AI895" s="3"/>
      <c r="AK895" s="3"/>
      <c r="AL895" s="3"/>
      <c r="AM895" s="3"/>
      <c r="AN895" s="3"/>
      <c r="AO895" s="3"/>
      <c r="AP895" s="3"/>
      <c r="AQ895" s="3"/>
      <c r="AR895" s="3"/>
    </row>
    <row r="896" spans="1:44" ht="16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S896" s="3"/>
      <c r="T896" s="3"/>
      <c r="U896" s="3"/>
      <c r="V896" s="3"/>
      <c r="W896" s="3"/>
      <c r="X896" s="3"/>
      <c r="Y896" s="3"/>
      <c r="Z896" s="3"/>
      <c r="AB896" s="3"/>
      <c r="AC896" s="3"/>
      <c r="AD896" s="3"/>
      <c r="AE896" s="3"/>
      <c r="AF896" s="3"/>
      <c r="AG896" s="3"/>
      <c r="AH896" s="3"/>
      <c r="AI896" s="3"/>
      <c r="AK896" s="3"/>
      <c r="AL896" s="3"/>
      <c r="AM896" s="3"/>
      <c r="AN896" s="3"/>
      <c r="AO896" s="3"/>
      <c r="AP896" s="3"/>
      <c r="AQ896" s="3"/>
      <c r="AR896" s="3"/>
    </row>
    <row r="897" spans="1:44" ht="16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S897" s="3"/>
      <c r="T897" s="3"/>
      <c r="U897" s="3"/>
      <c r="V897" s="3"/>
      <c r="W897" s="3"/>
      <c r="X897" s="3"/>
      <c r="Y897" s="3"/>
      <c r="Z897" s="3"/>
      <c r="AB897" s="3"/>
      <c r="AC897" s="3"/>
      <c r="AD897" s="3"/>
      <c r="AE897" s="3"/>
      <c r="AF897" s="3"/>
      <c r="AG897" s="3"/>
      <c r="AH897" s="3"/>
      <c r="AI897" s="3"/>
      <c r="AK897" s="3"/>
      <c r="AL897" s="3"/>
      <c r="AM897" s="3"/>
      <c r="AN897" s="3"/>
      <c r="AO897" s="3"/>
      <c r="AP897" s="3"/>
      <c r="AQ897" s="3"/>
      <c r="AR897" s="3"/>
    </row>
    <row r="898" spans="1:44" ht="16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S898" s="3"/>
      <c r="T898" s="3"/>
      <c r="U898" s="3"/>
      <c r="V898" s="3"/>
      <c r="W898" s="3"/>
      <c r="X898" s="3"/>
      <c r="Y898" s="3"/>
      <c r="Z898" s="3"/>
      <c r="AB898" s="3"/>
      <c r="AC898" s="3"/>
      <c r="AD898" s="3"/>
      <c r="AE898" s="3"/>
      <c r="AF898" s="3"/>
      <c r="AG898" s="3"/>
      <c r="AH898" s="3"/>
      <c r="AI898" s="3"/>
      <c r="AK898" s="3"/>
      <c r="AL898" s="3"/>
      <c r="AM898" s="3"/>
      <c r="AN898" s="3"/>
      <c r="AO898" s="3"/>
      <c r="AP898" s="3"/>
      <c r="AQ898" s="3"/>
      <c r="AR898" s="3"/>
    </row>
    <row r="899" spans="1:44" ht="16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S899" s="3"/>
      <c r="T899" s="3"/>
      <c r="U899" s="3"/>
      <c r="V899" s="3"/>
      <c r="W899" s="3"/>
      <c r="X899" s="3"/>
      <c r="Y899" s="3"/>
      <c r="Z899" s="3"/>
      <c r="AB899" s="3"/>
      <c r="AC899" s="3"/>
      <c r="AD899" s="3"/>
      <c r="AE899" s="3"/>
      <c r="AF899" s="3"/>
      <c r="AG899" s="3"/>
      <c r="AH899" s="3"/>
      <c r="AI899" s="3"/>
      <c r="AK899" s="3"/>
      <c r="AL899" s="3"/>
      <c r="AM899" s="3"/>
      <c r="AN899" s="3"/>
      <c r="AO899" s="3"/>
      <c r="AP899" s="3"/>
      <c r="AQ899" s="3"/>
      <c r="AR899" s="3"/>
    </row>
    <row r="900" spans="1:44" ht="16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S900" s="3"/>
      <c r="T900" s="3"/>
      <c r="U900" s="3"/>
      <c r="V900" s="3"/>
      <c r="W900" s="3"/>
      <c r="X900" s="3"/>
      <c r="Y900" s="3"/>
      <c r="Z900" s="3"/>
      <c r="AB900" s="3"/>
      <c r="AC900" s="3"/>
      <c r="AD900" s="3"/>
      <c r="AE900" s="3"/>
      <c r="AF900" s="3"/>
      <c r="AG900" s="3"/>
      <c r="AH900" s="3"/>
      <c r="AI900" s="3"/>
      <c r="AK900" s="3"/>
      <c r="AL900" s="3"/>
      <c r="AM900" s="3"/>
      <c r="AN900" s="3"/>
      <c r="AO900" s="3"/>
      <c r="AP900" s="3"/>
      <c r="AQ900" s="3"/>
      <c r="AR900" s="3"/>
    </row>
    <row r="901" spans="1:44" ht="16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S901" s="3"/>
      <c r="T901" s="3"/>
      <c r="U901" s="3"/>
      <c r="V901" s="3"/>
      <c r="W901" s="3"/>
      <c r="X901" s="3"/>
      <c r="Y901" s="3"/>
      <c r="Z901" s="3"/>
      <c r="AB901" s="3"/>
      <c r="AC901" s="3"/>
      <c r="AD901" s="3"/>
      <c r="AE901" s="3"/>
      <c r="AF901" s="3"/>
      <c r="AG901" s="3"/>
      <c r="AH901" s="3"/>
      <c r="AI901" s="3"/>
      <c r="AK901" s="3"/>
      <c r="AL901" s="3"/>
      <c r="AM901" s="3"/>
      <c r="AN901" s="3"/>
      <c r="AO901" s="3"/>
      <c r="AP901" s="3"/>
      <c r="AQ901" s="3"/>
      <c r="AR901" s="3"/>
    </row>
    <row r="902" spans="1:44" ht="16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S902" s="3"/>
      <c r="T902" s="3"/>
      <c r="U902" s="3"/>
      <c r="V902" s="3"/>
      <c r="W902" s="3"/>
      <c r="X902" s="3"/>
      <c r="Y902" s="3"/>
      <c r="Z902" s="3"/>
      <c r="AB902" s="3"/>
      <c r="AC902" s="3"/>
      <c r="AD902" s="3"/>
      <c r="AE902" s="3"/>
      <c r="AF902" s="3"/>
      <c r="AG902" s="3"/>
      <c r="AH902" s="3"/>
      <c r="AI902" s="3"/>
      <c r="AK902" s="3"/>
      <c r="AL902" s="3"/>
      <c r="AM902" s="3"/>
      <c r="AN902" s="3"/>
      <c r="AO902" s="3"/>
      <c r="AP902" s="3"/>
      <c r="AQ902" s="3"/>
      <c r="AR902" s="3"/>
    </row>
    <row r="903" spans="1:44" ht="16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S903" s="3"/>
      <c r="T903" s="3"/>
      <c r="U903" s="3"/>
      <c r="V903" s="3"/>
      <c r="W903" s="3"/>
      <c r="X903" s="3"/>
      <c r="Y903" s="3"/>
      <c r="Z903" s="3"/>
      <c r="AB903" s="3"/>
      <c r="AC903" s="3"/>
      <c r="AD903" s="3"/>
      <c r="AE903" s="3"/>
      <c r="AF903" s="3"/>
      <c r="AG903" s="3"/>
      <c r="AH903" s="3"/>
      <c r="AI903" s="3"/>
      <c r="AK903" s="3"/>
      <c r="AL903" s="3"/>
      <c r="AM903" s="3"/>
      <c r="AN903" s="3"/>
      <c r="AO903" s="3"/>
      <c r="AP903" s="3"/>
      <c r="AQ903" s="3"/>
      <c r="AR903" s="3"/>
    </row>
    <row r="904" spans="1:44" ht="16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S904" s="3"/>
      <c r="T904" s="3"/>
      <c r="U904" s="3"/>
      <c r="V904" s="3"/>
      <c r="W904" s="3"/>
      <c r="X904" s="3"/>
      <c r="Y904" s="3"/>
      <c r="Z904" s="3"/>
      <c r="AB904" s="3"/>
      <c r="AC904" s="3"/>
      <c r="AD904" s="3"/>
      <c r="AE904" s="3"/>
      <c r="AF904" s="3"/>
      <c r="AG904" s="3"/>
      <c r="AH904" s="3"/>
      <c r="AI904" s="3"/>
      <c r="AK904" s="3"/>
      <c r="AL904" s="3"/>
      <c r="AM904" s="3"/>
      <c r="AN904" s="3"/>
      <c r="AO904" s="3"/>
      <c r="AP904" s="3"/>
      <c r="AQ904" s="3"/>
      <c r="AR904" s="3"/>
    </row>
    <row r="905" spans="1:44" ht="16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S905" s="3"/>
      <c r="T905" s="3"/>
      <c r="U905" s="3"/>
      <c r="V905" s="3"/>
      <c r="W905" s="3"/>
      <c r="X905" s="3"/>
      <c r="Y905" s="3"/>
      <c r="Z905" s="3"/>
      <c r="AB905" s="3"/>
      <c r="AC905" s="3"/>
      <c r="AD905" s="3"/>
      <c r="AE905" s="3"/>
      <c r="AF905" s="3"/>
      <c r="AG905" s="3"/>
      <c r="AH905" s="3"/>
      <c r="AI905" s="3"/>
      <c r="AK905" s="3"/>
      <c r="AL905" s="3"/>
      <c r="AM905" s="3"/>
      <c r="AN905" s="3"/>
      <c r="AO905" s="3"/>
      <c r="AP905" s="3"/>
      <c r="AQ905" s="3"/>
      <c r="AR905" s="3"/>
    </row>
    <row r="906" spans="1:44" ht="16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S906" s="3"/>
      <c r="T906" s="3"/>
      <c r="U906" s="3"/>
      <c r="V906" s="3"/>
      <c r="W906" s="3"/>
      <c r="X906" s="3"/>
      <c r="Y906" s="3"/>
      <c r="Z906" s="3"/>
      <c r="AB906" s="3"/>
      <c r="AC906" s="3"/>
      <c r="AD906" s="3"/>
      <c r="AE906" s="3"/>
      <c r="AF906" s="3"/>
      <c r="AG906" s="3"/>
      <c r="AH906" s="3"/>
      <c r="AI906" s="3"/>
      <c r="AK906" s="3"/>
      <c r="AL906" s="3"/>
      <c r="AM906" s="3"/>
      <c r="AN906" s="3"/>
      <c r="AO906" s="3"/>
      <c r="AP906" s="3"/>
      <c r="AQ906" s="3"/>
      <c r="AR906" s="3"/>
    </row>
    <row r="907" spans="1:44" ht="16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S907" s="3"/>
      <c r="T907" s="3"/>
      <c r="U907" s="3"/>
      <c r="V907" s="3"/>
      <c r="W907" s="3"/>
      <c r="X907" s="3"/>
      <c r="Y907" s="3"/>
      <c r="Z907" s="3"/>
      <c r="AB907" s="3"/>
      <c r="AC907" s="3"/>
      <c r="AD907" s="3"/>
      <c r="AE907" s="3"/>
      <c r="AF907" s="3"/>
      <c r="AG907" s="3"/>
      <c r="AH907" s="3"/>
      <c r="AI907" s="3"/>
      <c r="AK907" s="3"/>
      <c r="AL907" s="3"/>
      <c r="AM907" s="3"/>
      <c r="AN907" s="3"/>
      <c r="AO907" s="3"/>
      <c r="AP907" s="3"/>
      <c r="AQ907" s="3"/>
      <c r="AR907" s="3"/>
    </row>
    <row r="908" spans="1:44" ht="16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S908" s="3"/>
      <c r="T908" s="3"/>
      <c r="U908" s="3"/>
      <c r="V908" s="3"/>
      <c r="W908" s="3"/>
      <c r="X908" s="3"/>
      <c r="Y908" s="3"/>
      <c r="Z908" s="3"/>
      <c r="AB908" s="3"/>
      <c r="AC908" s="3"/>
      <c r="AD908" s="3"/>
      <c r="AE908" s="3"/>
      <c r="AF908" s="3"/>
      <c r="AG908" s="3"/>
      <c r="AH908" s="3"/>
      <c r="AI908" s="3"/>
      <c r="AK908" s="3"/>
      <c r="AL908" s="3"/>
      <c r="AM908" s="3"/>
      <c r="AN908" s="3"/>
      <c r="AO908" s="3"/>
      <c r="AP908" s="3"/>
      <c r="AQ908" s="3"/>
      <c r="AR908" s="3"/>
    </row>
    <row r="909" spans="1:44" ht="16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S909" s="3"/>
      <c r="T909" s="3"/>
      <c r="U909" s="3"/>
      <c r="V909" s="3"/>
      <c r="W909" s="3"/>
      <c r="X909" s="3"/>
      <c r="Y909" s="3"/>
      <c r="Z909" s="3"/>
      <c r="AB909" s="3"/>
      <c r="AC909" s="3"/>
      <c r="AD909" s="3"/>
      <c r="AE909" s="3"/>
      <c r="AF909" s="3"/>
      <c r="AG909" s="3"/>
      <c r="AH909" s="3"/>
      <c r="AI909" s="3"/>
      <c r="AK909" s="3"/>
      <c r="AL909" s="3"/>
      <c r="AM909" s="3"/>
      <c r="AN909" s="3"/>
      <c r="AO909" s="3"/>
      <c r="AP909" s="3"/>
      <c r="AQ909" s="3"/>
      <c r="AR909" s="3"/>
    </row>
    <row r="910" spans="1:44" ht="16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S910" s="3"/>
      <c r="T910" s="3"/>
      <c r="U910" s="3"/>
      <c r="V910" s="3"/>
      <c r="W910" s="3"/>
      <c r="X910" s="3"/>
      <c r="Y910" s="3"/>
      <c r="Z910" s="3"/>
      <c r="AB910" s="3"/>
      <c r="AC910" s="3"/>
      <c r="AD910" s="3"/>
      <c r="AE910" s="3"/>
      <c r="AF910" s="3"/>
      <c r="AG910" s="3"/>
      <c r="AH910" s="3"/>
      <c r="AI910" s="3"/>
      <c r="AK910" s="3"/>
      <c r="AL910" s="3"/>
      <c r="AM910" s="3"/>
      <c r="AN910" s="3"/>
      <c r="AO910" s="3"/>
      <c r="AP910" s="3"/>
      <c r="AQ910" s="3"/>
      <c r="AR910" s="3"/>
    </row>
    <row r="911" spans="1:44" ht="16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S911" s="3"/>
      <c r="T911" s="3"/>
      <c r="U911" s="3"/>
      <c r="V911" s="3"/>
      <c r="W911" s="3"/>
      <c r="X911" s="3"/>
      <c r="Y911" s="3"/>
      <c r="Z911" s="3"/>
      <c r="AB911" s="3"/>
      <c r="AC911" s="3"/>
      <c r="AD911" s="3"/>
      <c r="AE911" s="3"/>
      <c r="AF911" s="3"/>
      <c r="AG911" s="3"/>
      <c r="AH911" s="3"/>
      <c r="AI911" s="3"/>
      <c r="AK911" s="3"/>
      <c r="AL911" s="3"/>
      <c r="AM911" s="3"/>
      <c r="AN911" s="3"/>
      <c r="AO911" s="3"/>
      <c r="AP911" s="3"/>
      <c r="AQ911" s="3"/>
      <c r="AR911" s="3"/>
    </row>
    <row r="912" spans="1:44" ht="16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S912" s="3"/>
      <c r="T912" s="3"/>
      <c r="U912" s="3"/>
      <c r="V912" s="3"/>
      <c r="W912" s="3"/>
      <c r="X912" s="3"/>
      <c r="Y912" s="3"/>
      <c r="Z912" s="3"/>
      <c r="AB912" s="3"/>
      <c r="AC912" s="3"/>
      <c r="AD912" s="3"/>
      <c r="AE912" s="3"/>
      <c r="AF912" s="3"/>
      <c r="AG912" s="3"/>
      <c r="AH912" s="3"/>
      <c r="AI912" s="3"/>
      <c r="AK912" s="3"/>
      <c r="AL912" s="3"/>
      <c r="AM912" s="3"/>
      <c r="AN912" s="3"/>
      <c r="AO912" s="3"/>
      <c r="AP912" s="3"/>
      <c r="AQ912" s="3"/>
      <c r="AR912" s="3"/>
    </row>
    <row r="913" spans="1:44" ht="16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S913" s="3"/>
      <c r="T913" s="3"/>
      <c r="U913" s="3"/>
      <c r="V913" s="3"/>
      <c r="W913" s="3"/>
      <c r="X913" s="3"/>
      <c r="Y913" s="3"/>
      <c r="Z913" s="3"/>
      <c r="AB913" s="3"/>
      <c r="AC913" s="3"/>
      <c r="AD913" s="3"/>
      <c r="AE913" s="3"/>
      <c r="AF913" s="3"/>
      <c r="AG913" s="3"/>
      <c r="AH913" s="3"/>
      <c r="AI913" s="3"/>
      <c r="AK913" s="3"/>
      <c r="AL913" s="3"/>
      <c r="AM913" s="3"/>
      <c r="AN913" s="3"/>
      <c r="AO913" s="3"/>
      <c r="AP913" s="3"/>
      <c r="AQ913" s="3"/>
      <c r="AR913" s="3"/>
    </row>
    <row r="914" spans="1:44" ht="16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S914" s="3"/>
      <c r="T914" s="3"/>
      <c r="U914" s="3"/>
      <c r="V914" s="3"/>
      <c r="W914" s="3"/>
      <c r="X914" s="3"/>
      <c r="Y914" s="3"/>
      <c r="Z914" s="3"/>
      <c r="AB914" s="3"/>
      <c r="AC914" s="3"/>
      <c r="AD914" s="3"/>
      <c r="AE914" s="3"/>
      <c r="AF914" s="3"/>
      <c r="AG914" s="3"/>
      <c r="AH914" s="3"/>
      <c r="AI914" s="3"/>
      <c r="AK914" s="3"/>
      <c r="AL914" s="3"/>
      <c r="AM914" s="3"/>
      <c r="AN914" s="3"/>
      <c r="AO914" s="3"/>
      <c r="AP914" s="3"/>
      <c r="AQ914" s="3"/>
      <c r="AR914" s="3"/>
    </row>
    <row r="915" spans="1:44" ht="16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S915" s="3"/>
      <c r="T915" s="3"/>
      <c r="U915" s="3"/>
      <c r="V915" s="3"/>
      <c r="W915" s="3"/>
      <c r="X915" s="3"/>
      <c r="Y915" s="3"/>
      <c r="Z915" s="3"/>
      <c r="AB915" s="3"/>
      <c r="AC915" s="3"/>
      <c r="AD915" s="3"/>
      <c r="AE915" s="3"/>
      <c r="AF915" s="3"/>
      <c r="AG915" s="3"/>
      <c r="AH915" s="3"/>
      <c r="AI915" s="3"/>
      <c r="AK915" s="3"/>
      <c r="AL915" s="3"/>
      <c r="AM915" s="3"/>
      <c r="AN915" s="3"/>
      <c r="AO915" s="3"/>
      <c r="AP915" s="3"/>
      <c r="AQ915" s="3"/>
      <c r="AR915" s="3"/>
    </row>
    <row r="916" spans="1:44" ht="16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S916" s="3"/>
      <c r="T916" s="3"/>
      <c r="U916" s="3"/>
      <c r="V916" s="3"/>
      <c r="W916" s="3"/>
      <c r="X916" s="3"/>
      <c r="Y916" s="3"/>
      <c r="Z916" s="3"/>
      <c r="AB916" s="3"/>
      <c r="AC916" s="3"/>
      <c r="AD916" s="3"/>
      <c r="AE916" s="3"/>
      <c r="AF916" s="3"/>
      <c r="AG916" s="3"/>
      <c r="AH916" s="3"/>
      <c r="AI916" s="3"/>
      <c r="AK916" s="3"/>
      <c r="AL916" s="3"/>
      <c r="AM916" s="3"/>
      <c r="AN916" s="3"/>
      <c r="AO916" s="3"/>
      <c r="AP916" s="3"/>
      <c r="AQ916" s="3"/>
      <c r="AR916" s="3"/>
    </row>
    <row r="917" spans="1:44" ht="16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S917" s="3"/>
      <c r="T917" s="3"/>
      <c r="U917" s="3"/>
      <c r="V917" s="3"/>
      <c r="W917" s="3"/>
      <c r="X917" s="3"/>
      <c r="Y917" s="3"/>
      <c r="Z917" s="3"/>
      <c r="AB917" s="3"/>
      <c r="AC917" s="3"/>
      <c r="AD917" s="3"/>
      <c r="AE917" s="3"/>
      <c r="AF917" s="3"/>
      <c r="AG917" s="3"/>
      <c r="AH917" s="3"/>
      <c r="AI917" s="3"/>
      <c r="AK917" s="3"/>
      <c r="AL917" s="3"/>
      <c r="AM917" s="3"/>
      <c r="AN917" s="3"/>
      <c r="AO917" s="3"/>
      <c r="AP917" s="3"/>
      <c r="AQ917" s="3"/>
      <c r="AR917" s="3"/>
    </row>
    <row r="918" spans="1:44" ht="16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S918" s="3"/>
      <c r="T918" s="3"/>
      <c r="U918" s="3"/>
      <c r="V918" s="3"/>
      <c r="W918" s="3"/>
      <c r="X918" s="3"/>
      <c r="Y918" s="3"/>
      <c r="Z918" s="3"/>
      <c r="AB918" s="3"/>
      <c r="AC918" s="3"/>
      <c r="AD918" s="3"/>
      <c r="AE918" s="3"/>
      <c r="AF918" s="3"/>
      <c r="AG918" s="3"/>
      <c r="AH918" s="3"/>
      <c r="AI918" s="3"/>
      <c r="AK918" s="3"/>
      <c r="AL918" s="3"/>
      <c r="AM918" s="3"/>
      <c r="AN918" s="3"/>
      <c r="AO918" s="3"/>
      <c r="AP918" s="3"/>
      <c r="AQ918" s="3"/>
      <c r="AR918" s="3"/>
    </row>
    <row r="919" spans="1:44" ht="16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S919" s="3"/>
      <c r="T919" s="3"/>
      <c r="U919" s="3"/>
      <c r="V919" s="3"/>
      <c r="W919" s="3"/>
      <c r="X919" s="3"/>
      <c r="Y919" s="3"/>
      <c r="Z919" s="3"/>
      <c r="AB919" s="3"/>
      <c r="AC919" s="3"/>
      <c r="AD919" s="3"/>
      <c r="AE919" s="3"/>
      <c r="AF919" s="3"/>
      <c r="AG919" s="3"/>
      <c r="AH919" s="3"/>
      <c r="AI919" s="3"/>
      <c r="AK919" s="3"/>
      <c r="AL919" s="3"/>
      <c r="AM919" s="3"/>
      <c r="AN919" s="3"/>
      <c r="AO919" s="3"/>
      <c r="AP919" s="3"/>
      <c r="AQ919" s="3"/>
      <c r="AR919" s="3"/>
    </row>
    <row r="920" spans="1:44" ht="16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S920" s="3"/>
      <c r="T920" s="3"/>
      <c r="U920" s="3"/>
      <c r="V920" s="3"/>
      <c r="W920" s="3"/>
      <c r="X920" s="3"/>
      <c r="Y920" s="3"/>
      <c r="Z920" s="3"/>
      <c r="AB920" s="3"/>
      <c r="AC920" s="3"/>
      <c r="AD920" s="3"/>
      <c r="AE920" s="3"/>
      <c r="AF920" s="3"/>
      <c r="AG920" s="3"/>
      <c r="AH920" s="3"/>
      <c r="AI920" s="3"/>
      <c r="AK920" s="3"/>
      <c r="AL920" s="3"/>
      <c r="AM920" s="3"/>
      <c r="AN920" s="3"/>
      <c r="AO920" s="3"/>
      <c r="AP920" s="3"/>
      <c r="AQ920" s="3"/>
      <c r="AR920" s="3"/>
    </row>
    <row r="921" spans="1:44" ht="16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S921" s="3"/>
      <c r="T921" s="3"/>
      <c r="U921" s="3"/>
      <c r="V921" s="3"/>
      <c r="W921" s="3"/>
      <c r="X921" s="3"/>
      <c r="Y921" s="3"/>
      <c r="Z921" s="3"/>
      <c r="AB921" s="3"/>
      <c r="AC921" s="3"/>
      <c r="AD921" s="3"/>
      <c r="AE921" s="3"/>
      <c r="AF921" s="3"/>
      <c r="AG921" s="3"/>
      <c r="AH921" s="3"/>
      <c r="AI921" s="3"/>
      <c r="AK921" s="3"/>
      <c r="AL921" s="3"/>
      <c r="AM921" s="3"/>
      <c r="AN921" s="3"/>
      <c r="AO921" s="3"/>
      <c r="AP921" s="3"/>
      <c r="AQ921" s="3"/>
      <c r="AR921" s="3"/>
    </row>
    <row r="922" spans="1:44" ht="16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S922" s="3"/>
      <c r="T922" s="3"/>
      <c r="U922" s="3"/>
      <c r="V922" s="3"/>
      <c r="W922" s="3"/>
      <c r="X922" s="3"/>
      <c r="Y922" s="3"/>
      <c r="Z922" s="3"/>
      <c r="AB922" s="3"/>
      <c r="AC922" s="3"/>
      <c r="AD922" s="3"/>
      <c r="AE922" s="3"/>
      <c r="AF922" s="3"/>
      <c r="AG922" s="3"/>
      <c r="AH922" s="3"/>
      <c r="AI922" s="3"/>
      <c r="AK922" s="3"/>
      <c r="AL922" s="3"/>
      <c r="AM922" s="3"/>
      <c r="AN922" s="3"/>
      <c r="AO922" s="3"/>
      <c r="AP922" s="3"/>
      <c r="AQ922" s="3"/>
      <c r="AR922" s="3"/>
    </row>
    <row r="923" spans="1:44" ht="16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S923" s="3"/>
      <c r="T923" s="3"/>
      <c r="U923" s="3"/>
      <c r="V923" s="3"/>
      <c r="W923" s="3"/>
      <c r="X923" s="3"/>
      <c r="Y923" s="3"/>
      <c r="Z923" s="3"/>
      <c r="AB923" s="3"/>
      <c r="AC923" s="3"/>
      <c r="AD923" s="3"/>
      <c r="AE923" s="3"/>
      <c r="AF923" s="3"/>
      <c r="AG923" s="3"/>
      <c r="AH923" s="3"/>
      <c r="AI923" s="3"/>
      <c r="AK923" s="3"/>
      <c r="AL923" s="3"/>
      <c r="AM923" s="3"/>
      <c r="AN923" s="3"/>
      <c r="AO923" s="3"/>
      <c r="AP923" s="3"/>
      <c r="AQ923" s="3"/>
      <c r="AR923" s="3"/>
    </row>
    <row r="924" spans="1:44" ht="16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S924" s="3"/>
      <c r="T924" s="3"/>
      <c r="U924" s="3"/>
      <c r="V924" s="3"/>
      <c r="W924" s="3"/>
      <c r="X924" s="3"/>
      <c r="Y924" s="3"/>
      <c r="Z924" s="3"/>
      <c r="AB924" s="3"/>
      <c r="AC924" s="3"/>
      <c r="AD924" s="3"/>
      <c r="AE924" s="3"/>
      <c r="AF924" s="3"/>
      <c r="AG924" s="3"/>
      <c r="AH924" s="3"/>
      <c r="AI924" s="3"/>
      <c r="AK924" s="3"/>
      <c r="AL924" s="3"/>
      <c r="AM924" s="3"/>
      <c r="AN924" s="3"/>
      <c r="AO924" s="3"/>
      <c r="AP924" s="3"/>
      <c r="AQ924" s="3"/>
      <c r="AR924" s="3"/>
    </row>
    <row r="925" spans="1:44" ht="16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S925" s="3"/>
      <c r="T925" s="3"/>
      <c r="U925" s="3"/>
      <c r="V925" s="3"/>
      <c r="W925" s="3"/>
      <c r="X925" s="3"/>
      <c r="Y925" s="3"/>
      <c r="Z925" s="3"/>
      <c r="AB925" s="3"/>
      <c r="AC925" s="3"/>
      <c r="AD925" s="3"/>
      <c r="AE925" s="3"/>
      <c r="AF925" s="3"/>
      <c r="AG925" s="3"/>
      <c r="AH925" s="3"/>
      <c r="AI925" s="3"/>
      <c r="AK925" s="3"/>
      <c r="AL925" s="3"/>
      <c r="AM925" s="3"/>
      <c r="AN925" s="3"/>
      <c r="AO925" s="3"/>
      <c r="AP925" s="3"/>
      <c r="AQ925" s="3"/>
      <c r="AR925" s="3"/>
    </row>
    <row r="926" spans="1:44" ht="16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S926" s="3"/>
      <c r="T926" s="3"/>
      <c r="U926" s="3"/>
      <c r="V926" s="3"/>
      <c r="W926" s="3"/>
      <c r="X926" s="3"/>
      <c r="Y926" s="3"/>
      <c r="Z926" s="3"/>
      <c r="AB926" s="3"/>
      <c r="AC926" s="3"/>
      <c r="AD926" s="3"/>
      <c r="AE926" s="3"/>
      <c r="AF926" s="3"/>
      <c r="AG926" s="3"/>
      <c r="AH926" s="3"/>
      <c r="AI926" s="3"/>
      <c r="AK926" s="3"/>
      <c r="AL926" s="3"/>
      <c r="AM926" s="3"/>
      <c r="AN926" s="3"/>
      <c r="AO926" s="3"/>
      <c r="AP926" s="3"/>
      <c r="AQ926" s="3"/>
      <c r="AR926" s="3"/>
    </row>
    <row r="927" spans="1:44" ht="16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S927" s="3"/>
      <c r="T927" s="3"/>
      <c r="U927" s="3"/>
      <c r="V927" s="3"/>
      <c r="W927" s="3"/>
      <c r="X927" s="3"/>
      <c r="Y927" s="3"/>
      <c r="Z927" s="3"/>
      <c r="AB927" s="3"/>
      <c r="AC927" s="3"/>
      <c r="AD927" s="3"/>
      <c r="AE927" s="3"/>
      <c r="AF927" s="3"/>
      <c r="AG927" s="3"/>
      <c r="AH927" s="3"/>
      <c r="AI927" s="3"/>
      <c r="AK927" s="3"/>
      <c r="AL927" s="3"/>
      <c r="AM927" s="3"/>
      <c r="AN927" s="3"/>
      <c r="AO927" s="3"/>
      <c r="AP927" s="3"/>
      <c r="AQ927" s="3"/>
      <c r="AR927" s="3"/>
    </row>
    <row r="928" spans="1:44" ht="16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S928" s="3"/>
      <c r="T928" s="3"/>
      <c r="U928" s="3"/>
      <c r="V928" s="3"/>
      <c r="W928" s="3"/>
      <c r="X928" s="3"/>
      <c r="Y928" s="3"/>
      <c r="Z928" s="3"/>
      <c r="AB928" s="3"/>
      <c r="AC928" s="3"/>
      <c r="AD928" s="3"/>
      <c r="AE928" s="3"/>
      <c r="AF928" s="3"/>
      <c r="AG928" s="3"/>
      <c r="AH928" s="3"/>
      <c r="AI928" s="3"/>
      <c r="AK928" s="3"/>
      <c r="AL928" s="3"/>
      <c r="AM928" s="3"/>
      <c r="AN928" s="3"/>
      <c r="AO928" s="3"/>
      <c r="AP928" s="3"/>
      <c r="AQ928" s="3"/>
      <c r="AR928" s="3"/>
    </row>
    <row r="929" spans="1:44" ht="16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S929" s="3"/>
      <c r="T929" s="3"/>
      <c r="U929" s="3"/>
      <c r="V929" s="3"/>
      <c r="W929" s="3"/>
      <c r="X929" s="3"/>
      <c r="Y929" s="3"/>
      <c r="Z929" s="3"/>
      <c r="AB929" s="3"/>
      <c r="AC929" s="3"/>
      <c r="AD929" s="3"/>
      <c r="AE929" s="3"/>
      <c r="AF929" s="3"/>
      <c r="AG929" s="3"/>
      <c r="AH929" s="3"/>
      <c r="AI929" s="3"/>
      <c r="AK929" s="3"/>
      <c r="AL929" s="3"/>
      <c r="AM929" s="3"/>
      <c r="AN929" s="3"/>
      <c r="AO929" s="3"/>
      <c r="AP929" s="3"/>
      <c r="AQ929" s="3"/>
      <c r="AR929" s="3"/>
    </row>
    <row r="930" spans="1:44" ht="16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S930" s="3"/>
      <c r="T930" s="3"/>
      <c r="U930" s="3"/>
      <c r="V930" s="3"/>
      <c r="W930" s="3"/>
      <c r="X930" s="3"/>
      <c r="Y930" s="3"/>
      <c r="Z930" s="3"/>
      <c r="AB930" s="3"/>
      <c r="AC930" s="3"/>
      <c r="AD930" s="3"/>
      <c r="AE930" s="3"/>
      <c r="AF930" s="3"/>
      <c r="AG930" s="3"/>
      <c r="AH930" s="3"/>
      <c r="AI930" s="3"/>
      <c r="AK930" s="3"/>
      <c r="AL930" s="3"/>
      <c r="AM930" s="3"/>
      <c r="AN930" s="3"/>
      <c r="AO930" s="3"/>
      <c r="AP930" s="3"/>
      <c r="AQ930" s="3"/>
      <c r="AR930" s="3"/>
    </row>
    <row r="931" spans="1:44" ht="16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S931" s="3"/>
      <c r="T931" s="3"/>
      <c r="U931" s="3"/>
      <c r="V931" s="3"/>
      <c r="W931" s="3"/>
      <c r="X931" s="3"/>
      <c r="Y931" s="3"/>
      <c r="Z931" s="3"/>
      <c r="AB931" s="3"/>
      <c r="AC931" s="3"/>
      <c r="AD931" s="3"/>
      <c r="AE931" s="3"/>
      <c r="AF931" s="3"/>
      <c r="AG931" s="3"/>
      <c r="AH931" s="3"/>
      <c r="AI931" s="3"/>
      <c r="AK931" s="3"/>
      <c r="AL931" s="3"/>
      <c r="AM931" s="3"/>
      <c r="AN931" s="3"/>
      <c r="AO931" s="3"/>
      <c r="AP931" s="3"/>
      <c r="AQ931" s="3"/>
      <c r="AR931" s="3"/>
    </row>
    <row r="932" spans="1:44" ht="16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S932" s="3"/>
      <c r="T932" s="3"/>
      <c r="U932" s="3"/>
      <c r="V932" s="3"/>
      <c r="W932" s="3"/>
      <c r="X932" s="3"/>
      <c r="Y932" s="3"/>
      <c r="Z932" s="3"/>
      <c r="AB932" s="3"/>
      <c r="AC932" s="3"/>
      <c r="AD932" s="3"/>
      <c r="AE932" s="3"/>
      <c r="AF932" s="3"/>
      <c r="AG932" s="3"/>
      <c r="AH932" s="3"/>
      <c r="AI932" s="3"/>
      <c r="AK932" s="3"/>
      <c r="AL932" s="3"/>
      <c r="AM932" s="3"/>
      <c r="AN932" s="3"/>
      <c r="AO932" s="3"/>
      <c r="AP932" s="3"/>
      <c r="AQ932" s="3"/>
      <c r="AR932" s="3"/>
    </row>
    <row r="933" spans="1:44" ht="16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S933" s="3"/>
      <c r="T933" s="3"/>
      <c r="U933" s="3"/>
      <c r="V933" s="3"/>
      <c r="W933" s="3"/>
      <c r="X933" s="3"/>
      <c r="Y933" s="3"/>
      <c r="Z933" s="3"/>
      <c r="AB933" s="3"/>
      <c r="AC933" s="3"/>
      <c r="AD933" s="3"/>
      <c r="AE933" s="3"/>
      <c r="AF933" s="3"/>
      <c r="AG933" s="3"/>
      <c r="AH933" s="3"/>
      <c r="AI933" s="3"/>
      <c r="AK933" s="3"/>
      <c r="AL933" s="3"/>
      <c r="AM933" s="3"/>
      <c r="AN933" s="3"/>
      <c r="AO933" s="3"/>
      <c r="AP933" s="3"/>
      <c r="AQ933" s="3"/>
      <c r="AR933" s="3"/>
    </row>
    <row r="934" spans="1:44" ht="16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S934" s="3"/>
      <c r="T934" s="3"/>
      <c r="U934" s="3"/>
      <c r="V934" s="3"/>
      <c r="W934" s="3"/>
      <c r="X934" s="3"/>
      <c r="Y934" s="3"/>
      <c r="Z934" s="3"/>
      <c r="AB934" s="3"/>
      <c r="AC934" s="3"/>
      <c r="AD934" s="3"/>
      <c r="AE934" s="3"/>
      <c r="AF934" s="3"/>
      <c r="AG934" s="3"/>
      <c r="AH934" s="3"/>
      <c r="AI934" s="3"/>
      <c r="AK934" s="3"/>
      <c r="AL934" s="3"/>
      <c r="AM934" s="3"/>
      <c r="AN934" s="3"/>
      <c r="AO934" s="3"/>
      <c r="AP934" s="3"/>
      <c r="AQ934" s="3"/>
      <c r="AR934" s="3"/>
    </row>
    <row r="935" spans="1:44" ht="16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S935" s="3"/>
      <c r="T935" s="3"/>
      <c r="U935" s="3"/>
      <c r="V935" s="3"/>
      <c r="W935" s="3"/>
      <c r="X935" s="3"/>
      <c r="Y935" s="3"/>
      <c r="Z935" s="3"/>
      <c r="AB935" s="3"/>
      <c r="AC935" s="3"/>
      <c r="AD935" s="3"/>
      <c r="AE935" s="3"/>
      <c r="AF935" s="3"/>
      <c r="AG935" s="3"/>
      <c r="AH935" s="3"/>
      <c r="AI935" s="3"/>
      <c r="AK935" s="3"/>
      <c r="AL935" s="3"/>
      <c r="AM935" s="3"/>
      <c r="AN935" s="3"/>
      <c r="AO935" s="3"/>
      <c r="AP935" s="3"/>
      <c r="AQ935" s="3"/>
      <c r="AR935" s="3"/>
    </row>
    <row r="936" spans="1:44" ht="16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S936" s="3"/>
      <c r="T936" s="3"/>
      <c r="U936" s="3"/>
      <c r="V936" s="3"/>
      <c r="W936" s="3"/>
      <c r="X936" s="3"/>
      <c r="Y936" s="3"/>
      <c r="Z936" s="3"/>
      <c r="AB936" s="3"/>
      <c r="AC936" s="3"/>
      <c r="AD936" s="3"/>
      <c r="AE936" s="3"/>
      <c r="AF936" s="3"/>
      <c r="AG936" s="3"/>
      <c r="AH936" s="3"/>
      <c r="AI936" s="3"/>
      <c r="AK936" s="3"/>
      <c r="AL936" s="3"/>
      <c r="AM936" s="3"/>
      <c r="AN936" s="3"/>
      <c r="AO936" s="3"/>
      <c r="AP936" s="3"/>
      <c r="AQ936" s="3"/>
      <c r="AR936" s="3"/>
    </row>
    <row r="937" spans="1:44" ht="16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S937" s="3"/>
      <c r="T937" s="3"/>
      <c r="U937" s="3"/>
      <c r="V937" s="3"/>
      <c r="W937" s="3"/>
      <c r="X937" s="3"/>
      <c r="Y937" s="3"/>
      <c r="Z937" s="3"/>
      <c r="AB937" s="3"/>
      <c r="AC937" s="3"/>
      <c r="AD937" s="3"/>
      <c r="AE937" s="3"/>
      <c r="AF937" s="3"/>
      <c r="AG937" s="3"/>
      <c r="AH937" s="3"/>
      <c r="AI937" s="3"/>
      <c r="AK937" s="3"/>
      <c r="AL937" s="3"/>
      <c r="AM937" s="3"/>
      <c r="AN937" s="3"/>
      <c r="AO937" s="3"/>
      <c r="AP937" s="3"/>
      <c r="AQ937" s="3"/>
      <c r="AR937" s="3"/>
    </row>
    <row r="938" spans="1:44" ht="16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S938" s="3"/>
      <c r="T938" s="3"/>
      <c r="U938" s="3"/>
      <c r="V938" s="3"/>
      <c r="W938" s="3"/>
      <c r="X938" s="3"/>
      <c r="Y938" s="3"/>
      <c r="Z938" s="3"/>
      <c r="AB938" s="3"/>
      <c r="AC938" s="3"/>
      <c r="AD938" s="3"/>
      <c r="AE938" s="3"/>
      <c r="AF938" s="3"/>
      <c r="AG938" s="3"/>
      <c r="AH938" s="3"/>
      <c r="AI938" s="3"/>
      <c r="AK938" s="3"/>
      <c r="AL938" s="3"/>
      <c r="AM938" s="3"/>
      <c r="AN938" s="3"/>
      <c r="AO938" s="3"/>
      <c r="AP938" s="3"/>
      <c r="AQ938" s="3"/>
      <c r="AR938" s="3"/>
    </row>
    <row r="939" spans="1:44" ht="16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S939" s="3"/>
      <c r="T939" s="3"/>
      <c r="U939" s="3"/>
      <c r="V939" s="3"/>
      <c r="W939" s="3"/>
      <c r="X939" s="3"/>
      <c r="Y939" s="3"/>
      <c r="Z939" s="3"/>
      <c r="AB939" s="3"/>
      <c r="AC939" s="3"/>
      <c r="AD939" s="3"/>
      <c r="AE939" s="3"/>
      <c r="AF939" s="3"/>
      <c r="AG939" s="3"/>
      <c r="AH939" s="3"/>
      <c r="AI939" s="3"/>
      <c r="AK939" s="3"/>
      <c r="AL939" s="3"/>
      <c r="AM939" s="3"/>
      <c r="AN939" s="3"/>
      <c r="AO939" s="3"/>
      <c r="AP939" s="3"/>
      <c r="AQ939" s="3"/>
      <c r="AR939" s="3"/>
    </row>
    <row r="940" spans="1:44" ht="16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S940" s="3"/>
      <c r="T940" s="3"/>
      <c r="U940" s="3"/>
      <c r="V940" s="3"/>
      <c r="W940" s="3"/>
      <c r="X940" s="3"/>
      <c r="Y940" s="3"/>
      <c r="Z940" s="3"/>
      <c r="AB940" s="3"/>
      <c r="AC940" s="3"/>
      <c r="AD940" s="3"/>
      <c r="AE940" s="3"/>
      <c r="AF940" s="3"/>
      <c r="AG940" s="3"/>
      <c r="AH940" s="3"/>
      <c r="AI940" s="3"/>
      <c r="AK940" s="3"/>
      <c r="AL940" s="3"/>
      <c r="AM940" s="3"/>
      <c r="AN940" s="3"/>
      <c r="AO940" s="3"/>
      <c r="AP940" s="3"/>
      <c r="AQ940" s="3"/>
      <c r="AR940" s="3"/>
    </row>
    <row r="941" spans="1:44" ht="16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S941" s="3"/>
      <c r="T941" s="3"/>
      <c r="U941" s="3"/>
      <c r="V941" s="3"/>
      <c r="W941" s="3"/>
      <c r="X941" s="3"/>
      <c r="Y941" s="3"/>
      <c r="Z941" s="3"/>
      <c r="AB941" s="3"/>
      <c r="AC941" s="3"/>
      <c r="AD941" s="3"/>
      <c r="AE941" s="3"/>
      <c r="AF941" s="3"/>
      <c r="AG941" s="3"/>
      <c r="AH941" s="3"/>
      <c r="AI941" s="3"/>
      <c r="AK941" s="3"/>
      <c r="AL941" s="3"/>
      <c r="AM941" s="3"/>
      <c r="AN941" s="3"/>
      <c r="AO941" s="3"/>
      <c r="AP941" s="3"/>
      <c r="AQ941" s="3"/>
      <c r="AR941" s="3"/>
    </row>
    <row r="942" spans="1:44" ht="16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S942" s="3"/>
      <c r="T942" s="3"/>
      <c r="U942" s="3"/>
      <c r="V942" s="3"/>
      <c r="W942" s="3"/>
      <c r="X942" s="3"/>
      <c r="Y942" s="3"/>
      <c r="Z942" s="3"/>
      <c r="AB942" s="3"/>
      <c r="AC942" s="3"/>
      <c r="AD942" s="3"/>
      <c r="AE942" s="3"/>
      <c r="AF942" s="3"/>
      <c r="AG942" s="3"/>
      <c r="AH942" s="3"/>
      <c r="AI942" s="3"/>
      <c r="AK942" s="3"/>
      <c r="AL942" s="3"/>
      <c r="AM942" s="3"/>
      <c r="AN942" s="3"/>
      <c r="AO942" s="3"/>
      <c r="AP942" s="3"/>
      <c r="AQ942" s="3"/>
      <c r="AR942" s="3"/>
    </row>
    <row r="943" spans="1:44" ht="16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S943" s="3"/>
      <c r="T943" s="3"/>
      <c r="U943" s="3"/>
      <c r="V943" s="3"/>
      <c r="W943" s="3"/>
      <c r="X943" s="3"/>
      <c r="Y943" s="3"/>
      <c r="Z943" s="3"/>
      <c r="AB943" s="3"/>
      <c r="AC943" s="3"/>
      <c r="AD943" s="3"/>
      <c r="AE943" s="3"/>
      <c r="AF943" s="3"/>
      <c r="AG943" s="3"/>
      <c r="AH943" s="3"/>
      <c r="AI943" s="3"/>
      <c r="AK943" s="3"/>
      <c r="AL943" s="3"/>
      <c r="AM943" s="3"/>
      <c r="AN943" s="3"/>
      <c r="AO943" s="3"/>
      <c r="AP943" s="3"/>
      <c r="AQ943" s="3"/>
      <c r="AR943" s="3"/>
    </row>
    <row r="944" spans="1:44" ht="16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S944" s="3"/>
      <c r="T944" s="3"/>
      <c r="U944" s="3"/>
      <c r="V944" s="3"/>
      <c r="W944" s="3"/>
      <c r="X944" s="3"/>
      <c r="Y944" s="3"/>
      <c r="Z944" s="3"/>
      <c r="AB944" s="3"/>
      <c r="AC944" s="3"/>
      <c r="AD944" s="3"/>
      <c r="AE944" s="3"/>
      <c r="AF944" s="3"/>
      <c r="AG944" s="3"/>
      <c r="AH944" s="3"/>
      <c r="AI944" s="3"/>
      <c r="AK944" s="3"/>
      <c r="AL944" s="3"/>
      <c r="AM944" s="3"/>
      <c r="AN944" s="3"/>
      <c r="AO944" s="3"/>
      <c r="AP944" s="3"/>
      <c r="AQ944" s="3"/>
      <c r="AR944" s="3"/>
    </row>
    <row r="945" spans="1:44" ht="16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S945" s="3"/>
      <c r="T945" s="3"/>
      <c r="U945" s="3"/>
      <c r="V945" s="3"/>
      <c r="W945" s="3"/>
      <c r="X945" s="3"/>
      <c r="Y945" s="3"/>
      <c r="Z945" s="3"/>
      <c r="AB945" s="3"/>
      <c r="AC945" s="3"/>
      <c r="AD945" s="3"/>
      <c r="AE945" s="3"/>
      <c r="AF945" s="3"/>
      <c r="AG945" s="3"/>
      <c r="AH945" s="3"/>
      <c r="AI945" s="3"/>
      <c r="AK945" s="3"/>
      <c r="AL945" s="3"/>
      <c r="AM945" s="3"/>
      <c r="AN945" s="3"/>
      <c r="AO945" s="3"/>
      <c r="AP945" s="3"/>
      <c r="AQ945" s="3"/>
      <c r="AR945" s="3"/>
    </row>
    <row r="946" spans="1:44" ht="16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S946" s="3"/>
      <c r="T946" s="3"/>
      <c r="U946" s="3"/>
      <c r="V946" s="3"/>
      <c r="W946" s="3"/>
      <c r="X946" s="3"/>
      <c r="Y946" s="3"/>
      <c r="Z946" s="3"/>
      <c r="AB946" s="3"/>
      <c r="AC946" s="3"/>
      <c r="AD946" s="3"/>
      <c r="AE946" s="3"/>
      <c r="AF946" s="3"/>
      <c r="AG946" s="3"/>
      <c r="AH946" s="3"/>
      <c r="AI946" s="3"/>
      <c r="AK946" s="3"/>
      <c r="AL946" s="3"/>
      <c r="AM946" s="3"/>
      <c r="AN946" s="3"/>
      <c r="AO946" s="3"/>
      <c r="AP946" s="3"/>
      <c r="AQ946" s="3"/>
      <c r="AR946" s="3"/>
    </row>
    <row r="947" spans="1:44" ht="16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S947" s="3"/>
      <c r="T947" s="3"/>
      <c r="U947" s="3"/>
      <c r="V947" s="3"/>
      <c r="W947" s="3"/>
      <c r="X947" s="3"/>
      <c r="Y947" s="3"/>
      <c r="Z947" s="3"/>
      <c r="AB947" s="3"/>
      <c r="AC947" s="3"/>
      <c r="AD947" s="3"/>
      <c r="AE947" s="3"/>
      <c r="AF947" s="3"/>
      <c r="AG947" s="3"/>
      <c r="AH947" s="3"/>
      <c r="AI947" s="3"/>
      <c r="AK947" s="3"/>
      <c r="AL947" s="3"/>
      <c r="AM947" s="3"/>
      <c r="AN947" s="3"/>
      <c r="AO947" s="3"/>
      <c r="AP947" s="3"/>
      <c r="AQ947" s="3"/>
      <c r="AR947" s="3"/>
    </row>
    <row r="948" spans="1:44" ht="16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S948" s="3"/>
      <c r="T948" s="3"/>
      <c r="U948" s="3"/>
      <c r="V948" s="3"/>
      <c r="W948" s="3"/>
      <c r="X948" s="3"/>
      <c r="Y948" s="3"/>
      <c r="Z948" s="3"/>
      <c r="AB948" s="3"/>
      <c r="AC948" s="3"/>
      <c r="AD948" s="3"/>
      <c r="AE948" s="3"/>
      <c r="AF948" s="3"/>
      <c r="AG948" s="3"/>
      <c r="AH948" s="3"/>
      <c r="AI948" s="3"/>
      <c r="AK948" s="3"/>
      <c r="AL948" s="3"/>
      <c r="AM948" s="3"/>
      <c r="AN948" s="3"/>
      <c r="AO948" s="3"/>
      <c r="AP948" s="3"/>
      <c r="AQ948" s="3"/>
      <c r="AR948" s="3"/>
    </row>
    <row r="949" spans="1:44" ht="16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S949" s="3"/>
      <c r="T949" s="3"/>
      <c r="U949" s="3"/>
      <c r="V949" s="3"/>
      <c r="W949" s="3"/>
      <c r="X949" s="3"/>
      <c r="Y949" s="3"/>
      <c r="Z949" s="3"/>
      <c r="AB949" s="3"/>
      <c r="AC949" s="3"/>
      <c r="AD949" s="3"/>
      <c r="AE949" s="3"/>
      <c r="AF949" s="3"/>
      <c r="AG949" s="3"/>
      <c r="AH949" s="3"/>
      <c r="AI949" s="3"/>
      <c r="AK949" s="3"/>
      <c r="AL949" s="3"/>
      <c r="AM949" s="3"/>
      <c r="AN949" s="3"/>
      <c r="AO949" s="3"/>
      <c r="AP949" s="3"/>
      <c r="AQ949" s="3"/>
      <c r="AR949" s="3"/>
    </row>
    <row r="950" spans="1:44" ht="16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S950" s="3"/>
      <c r="T950" s="3"/>
      <c r="U950" s="3"/>
      <c r="V950" s="3"/>
      <c r="W950" s="3"/>
      <c r="X950" s="3"/>
      <c r="Y950" s="3"/>
      <c r="Z950" s="3"/>
      <c r="AB950" s="3"/>
      <c r="AC950" s="3"/>
      <c r="AD950" s="3"/>
      <c r="AE950" s="3"/>
      <c r="AF950" s="3"/>
      <c r="AG950" s="3"/>
      <c r="AH950" s="3"/>
      <c r="AI950" s="3"/>
      <c r="AK950" s="3"/>
      <c r="AL950" s="3"/>
      <c r="AM950" s="3"/>
      <c r="AN950" s="3"/>
      <c r="AO950" s="3"/>
      <c r="AP950" s="3"/>
      <c r="AQ950" s="3"/>
      <c r="AR950" s="3"/>
    </row>
    <row r="951" spans="1:44" ht="16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S951" s="3"/>
      <c r="T951" s="3"/>
      <c r="U951" s="3"/>
      <c r="V951" s="3"/>
      <c r="W951" s="3"/>
      <c r="X951" s="3"/>
      <c r="Y951" s="3"/>
      <c r="Z951" s="3"/>
      <c r="AB951" s="3"/>
      <c r="AC951" s="3"/>
      <c r="AD951" s="3"/>
      <c r="AE951" s="3"/>
      <c r="AF951" s="3"/>
      <c r="AG951" s="3"/>
      <c r="AH951" s="3"/>
      <c r="AI951" s="3"/>
      <c r="AK951" s="3"/>
      <c r="AL951" s="3"/>
      <c r="AM951" s="3"/>
      <c r="AN951" s="3"/>
      <c r="AO951" s="3"/>
      <c r="AP951" s="3"/>
      <c r="AQ951" s="3"/>
      <c r="AR951" s="3"/>
    </row>
    <row r="952" spans="1:44" ht="16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S952" s="3"/>
      <c r="T952" s="3"/>
      <c r="U952" s="3"/>
      <c r="V952" s="3"/>
      <c r="W952" s="3"/>
      <c r="X952" s="3"/>
      <c r="Y952" s="3"/>
      <c r="Z952" s="3"/>
      <c r="AB952" s="3"/>
      <c r="AC952" s="3"/>
      <c r="AD952" s="3"/>
      <c r="AE952" s="3"/>
      <c r="AF952" s="3"/>
      <c r="AG952" s="3"/>
      <c r="AH952" s="3"/>
      <c r="AI952" s="3"/>
      <c r="AK952" s="3"/>
      <c r="AL952" s="3"/>
      <c r="AM952" s="3"/>
      <c r="AN952" s="3"/>
      <c r="AO952" s="3"/>
      <c r="AP952" s="3"/>
      <c r="AQ952" s="3"/>
      <c r="AR952" s="3"/>
    </row>
    <row r="953" spans="1:44" ht="16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S953" s="3"/>
      <c r="T953" s="3"/>
      <c r="U953" s="3"/>
      <c r="V953" s="3"/>
      <c r="W953" s="3"/>
      <c r="X953" s="3"/>
      <c r="Y953" s="3"/>
      <c r="Z953" s="3"/>
      <c r="AB953" s="3"/>
      <c r="AC953" s="3"/>
      <c r="AD953" s="3"/>
      <c r="AE953" s="3"/>
      <c r="AF953" s="3"/>
      <c r="AG953" s="3"/>
      <c r="AH953" s="3"/>
      <c r="AI953" s="3"/>
      <c r="AK953" s="3"/>
      <c r="AL953" s="3"/>
      <c r="AM953" s="3"/>
      <c r="AN953" s="3"/>
      <c r="AO953" s="3"/>
      <c r="AP953" s="3"/>
      <c r="AQ953" s="3"/>
      <c r="AR953" s="3"/>
    </row>
    <row r="954" spans="1:44" ht="16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S954" s="3"/>
      <c r="T954" s="3"/>
      <c r="U954" s="3"/>
      <c r="V954" s="3"/>
      <c r="W954" s="3"/>
      <c r="X954" s="3"/>
      <c r="Y954" s="3"/>
      <c r="Z954" s="3"/>
      <c r="AB954" s="3"/>
      <c r="AC954" s="3"/>
      <c r="AD954" s="3"/>
      <c r="AE954" s="3"/>
      <c r="AF954" s="3"/>
      <c r="AG954" s="3"/>
      <c r="AH954" s="3"/>
      <c r="AI954" s="3"/>
      <c r="AK954" s="3"/>
      <c r="AL954" s="3"/>
      <c r="AM954" s="3"/>
      <c r="AN954" s="3"/>
      <c r="AO954" s="3"/>
      <c r="AP954" s="3"/>
      <c r="AQ954" s="3"/>
      <c r="AR954" s="3"/>
    </row>
    <row r="955" spans="1:44" ht="16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S955" s="3"/>
      <c r="T955" s="3"/>
      <c r="U955" s="3"/>
      <c r="V955" s="3"/>
      <c r="W955" s="3"/>
      <c r="X955" s="3"/>
      <c r="Y955" s="3"/>
      <c r="Z955" s="3"/>
      <c r="AB955" s="3"/>
      <c r="AC955" s="3"/>
      <c r="AD955" s="3"/>
      <c r="AE955" s="3"/>
      <c r="AF955" s="3"/>
      <c r="AG955" s="3"/>
      <c r="AH955" s="3"/>
      <c r="AI955" s="3"/>
      <c r="AK955" s="3"/>
      <c r="AL955" s="3"/>
      <c r="AM955" s="3"/>
      <c r="AN955" s="3"/>
      <c r="AO955" s="3"/>
      <c r="AP955" s="3"/>
      <c r="AQ955" s="3"/>
      <c r="AR955" s="3"/>
    </row>
    <row r="956" spans="1:44" ht="16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S956" s="3"/>
      <c r="T956" s="3"/>
      <c r="U956" s="3"/>
      <c r="V956" s="3"/>
      <c r="W956" s="3"/>
      <c r="X956" s="3"/>
      <c r="Y956" s="3"/>
      <c r="Z956" s="3"/>
      <c r="AB956" s="3"/>
      <c r="AC956" s="3"/>
      <c r="AD956" s="3"/>
      <c r="AE956" s="3"/>
      <c r="AF956" s="3"/>
      <c r="AG956" s="3"/>
      <c r="AH956" s="3"/>
      <c r="AI956" s="3"/>
      <c r="AK956" s="3"/>
      <c r="AL956" s="3"/>
      <c r="AM956" s="3"/>
      <c r="AN956" s="3"/>
      <c r="AO956" s="3"/>
      <c r="AP956" s="3"/>
      <c r="AQ956" s="3"/>
      <c r="AR956" s="3"/>
    </row>
    <row r="957" spans="1:44" ht="16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S957" s="3"/>
      <c r="T957" s="3"/>
      <c r="U957" s="3"/>
      <c r="V957" s="3"/>
      <c r="W957" s="3"/>
      <c r="X957" s="3"/>
      <c r="Y957" s="3"/>
      <c r="Z957" s="3"/>
      <c r="AB957" s="3"/>
      <c r="AC957" s="3"/>
      <c r="AD957" s="3"/>
      <c r="AE957" s="3"/>
      <c r="AF957" s="3"/>
      <c r="AG957" s="3"/>
      <c r="AH957" s="3"/>
      <c r="AI957" s="3"/>
      <c r="AK957" s="3"/>
      <c r="AL957" s="3"/>
      <c r="AM957" s="3"/>
      <c r="AN957" s="3"/>
      <c r="AO957" s="3"/>
      <c r="AP957" s="3"/>
      <c r="AQ957" s="3"/>
      <c r="AR957" s="3"/>
    </row>
    <row r="958" spans="1:44" ht="16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S958" s="3"/>
      <c r="T958" s="3"/>
      <c r="U958" s="3"/>
      <c r="V958" s="3"/>
      <c r="W958" s="3"/>
      <c r="X958" s="3"/>
      <c r="Y958" s="3"/>
      <c r="Z958" s="3"/>
      <c r="AB958" s="3"/>
      <c r="AC958" s="3"/>
      <c r="AD958" s="3"/>
      <c r="AE958" s="3"/>
      <c r="AF958" s="3"/>
      <c r="AG958" s="3"/>
      <c r="AH958" s="3"/>
      <c r="AI958" s="3"/>
      <c r="AK958" s="3"/>
      <c r="AL958" s="3"/>
      <c r="AM958" s="3"/>
      <c r="AN958" s="3"/>
      <c r="AO958" s="3"/>
      <c r="AP958" s="3"/>
      <c r="AQ958" s="3"/>
      <c r="AR958" s="3"/>
    </row>
    <row r="959" spans="1:44" ht="16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S959" s="3"/>
      <c r="T959" s="3"/>
      <c r="U959" s="3"/>
      <c r="V959" s="3"/>
      <c r="W959" s="3"/>
      <c r="X959" s="3"/>
      <c r="Y959" s="3"/>
      <c r="Z959" s="3"/>
      <c r="AB959" s="3"/>
      <c r="AC959" s="3"/>
      <c r="AD959" s="3"/>
      <c r="AE959" s="3"/>
      <c r="AF959" s="3"/>
      <c r="AG959" s="3"/>
      <c r="AH959" s="3"/>
      <c r="AI959" s="3"/>
      <c r="AK959" s="3"/>
      <c r="AL959" s="3"/>
      <c r="AM959" s="3"/>
      <c r="AN959" s="3"/>
      <c r="AO959" s="3"/>
      <c r="AP959" s="3"/>
      <c r="AQ959" s="3"/>
      <c r="AR959" s="3"/>
    </row>
    <row r="960" spans="1:44" ht="16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S960" s="3"/>
      <c r="T960" s="3"/>
      <c r="U960" s="3"/>
      <c r="V960" s="3"/>
      <c r="W960" s="3"/>
      <c r="X960" s="3"/>
      <c r="Y960" s="3"/>
      <c r="Z960" s="3"/>
      <c r="AB960" s="3"/>
      <c r="AC960" s="3"/>
      <c r="AD960" s="3"/>
      <c r="AE960" s="3"/>
      <c r="AF960" s="3"/>
      <c r="AG960" s="3"/>
      <c r="AH960" s="3"/>
      <c r="AI960" s="3"/>
      <c r="AK960" s="3"/>
      <c r="AL960" s="3"/>
      <c r="AM960" s="3"/>
      <c r="AN960" s="3"/>
      <c r="AO960" s="3"/>
      <c r="AP960" s="3"/>
      <c r="AQ960" s="3"/>
      <c r="AR960" s="3"/>
    </row>
    <row r="961" spans="1:44" ht="16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S961" s="3"/>
      <c r="T961" s="3"/>
      <c r="U961" s="3"/>
      <c r="V961" s="3"/>
      <c r="W961" s="3"/>
      <c r="X961" s="3"/>
      <c r="Y961" s="3"/>
      <c r="Z961" s="3"/>
      <c r="AB961" s="3"/>
      <c r="AC961" s="3"/>
      <c r="AD961" s="3"/>
      <c r="AE961" s="3"/>
      <c r="AF961" s="3"/>
      <c r="AG961" s="3"/>
      <c r="AH961" s="3"/>
      <c r="AI961" s="3"/>
      <c r="AK961" s="3"/>
      <c r="AL961" s="3"/>
      <c r="AM961" s="3"/>
      <c r="AN961" s="3"/>
      <c r="AO961" s="3"/>
      <c r="AP961" s="3"/>
      <c r="AQ961" s="3"/>
      <c r="AR961" s="3"/>
    </row>
    <row r="962" spans="1:44" ht="16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S962" s="3"/>
      <c r="T962" s="3"/>
      <c r="U962" s="3"/>
      <c r="V962" s="3"/>
      <c r="W962" s="3"/>
      <c r="X962" s="3"/>
      <c r="Y962" s="3"/>
      <c r="Z962" s="3"/>
      <c r="AB962" s="3"/>
      <c r="AC962" s="3"/>
      <c r="AD962" s="3"/>
      <c r="AE962" s="3"/>
      <c r="AF962" s="3"/>
      <c r="AG962" s="3"/>
      <c r="AH962" s="3"/>
      <c r="AI962" s="3"/>
      <c r="AK962" s="3"/>
      <c r="AL962" s="3"/>
      <c r="AM962" s="3"/>
      <c r="AN962" s="3"/>
      <c r="AO962" s="3"/>
      <c r="AP962" s="3"/>
      <c r="AQ962" s="3"/>
      <c r="AR962" s="3"/>
    </row>
    <row r="963" spans="1:44" ht="16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S963" s="3"/>
      <c r="T963" s="3"/>
      <c r="U963" s="3"/>
      <c r="V963" s="3"/>
      <c r="W963" s="3"/>
      <c r="X963" s="3"/>
      <c r="Y963" s="3"/>
      <c r="Z963" s="3"/>
      <c r="AB963" s="3"/>
      <c r="AC963" s="3"/>
      <c r="AD963" s="3"/>
      <c r="AE963" s="3"/>
      <c r="AF963" s="3"/>
      <c r="AG963" s="3"/>
      <c r="AH963" s="3"/>
      <c r="AI963" s="3"/>
      <c r="AK963" s="3"/>
      <c r="AL963" s="3"/>
      <c r="AM963" s="3"/>
      <c r="AN963" s="3"/>
      <c r="AO963" s="3"/>
      <c r="AP963" s="3"/>
      <c r="AQ963" s="3"/>
      <c r="AR963" s="3"/>
    </row>
    <row r="964" spans="1:44" ht="16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S964" s="3"/>
      <c r="T964" s="3"/>
      <c r="U964" s="3"/>
      <c r="V964" s="3"/>
      <c r="W964" s="3"/>
      <c r="X964" s="3"/>
      <c r="Y964" s="3"/>
      <c r="Z964" s="3"/>
      <c r="AB964" s="3"/>
      <c r="AC964" s="3"/>
      <c r="AD964" s="3"/>
      <c r="AE964" s="3"/>
      <c r="AF964" s="3"/>
      <c r="AG964" s="3"/>
      <c r="AH964" s="3"/>
      <c r="AI964" s="3"/>
      <c r="AK964" s="3"/>
      <c r="AL964" s="3"/>
      <c r="AM964" s="3"/>
      <c r="AN964" s="3"/>
      <c r="AO964" s="3"/>
      <c r="AP964" s="3"/>
      <c r="AQ964" s="3"/>
      <c r="AR964" s="3"/>
    </row>
    <row r="965" spans="1:44" ht="16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S965" s="3"/>
      <c r="T965" s="3"/>
      <c r="U965" s="3"/>
      <c r="V965" s="3"/>
      <c r="W965" s="3"/>
      <c r="X965" s="3"/>
      <c r="Y965" s="3"/>
      <c r="Z965" s="3"/>
      <c r="AB965" s="3"/>
      <c r="AC965" s="3"/>
      <c r="AD965" s="3"/>
      <c r="AE965" s="3"/>
      <c r="AF965" s="3"/>
      <c r="AG965" s="3"/>
      <c r="AH965" s="3"/>
      <c r="AI965" s="3"/>
      <c r="AK965" s="3"/>
      <c r="AL965" s="3"/>
      <c r="AM965" s="3"/>
      <c r="AN965" s="3"/>
      <c r="AO965" s="3"/>
      <c r="AP965" s="3"/>
      <c r="AQ965" s="3"/>
      <c r="AR965" s="3"/>
    </row>
    <row r="966" spans="1:44" ht="16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S966" s="3"/>
      <c r="T966" s="3"/>
      <c r="U966" s="3"/>
      <c r="V966" s="3"/>
      <c r="W966" s="3"/>
      <c r="X966" s="3"/>
      <c r="Y966" s="3"/>
      <c r="Z966" s="3"/>
      <c r="AB966" s="3"/>
      <c r="AC966" s="3"/>
      <c r="AD966" s="3"/>
      <c r="AE966" s="3"/>
      <c r="AF966" s="3"/>
      <c r="AG966" s="3"/>
      <c r="AH966" s="3"/>
      <c r="AI966" s="3"/>
      <c r="AK966" s="3"/>
      <c r="AL966" s="3"/>
      <c r="AM966" s="3"/>
      <c r="AN966" s="3"/>
      <c r="AO966" s="3"/>
      <c r="AP966" s="3"/>
      <c r="AQ966" s="3"/>
      <c r="AR966" s="3"/>
    </row>
    <row r="967" spans="1:44" ht="16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S967" s="3"/>
      <c r="T967" s="3"/>
      <c r="U967" s="3"/>
      <c r="V967" s="3"/>
      <c r="W967" s="3"/>
      <c r="X967" s="3"/>
      <c r="Y967" s="3"/>
      <c r="Z967" s="3"/>
      <c r="AB967" s="3"/>
      <c r="AC967" s="3"/>
      <c r="AD967" s="3"/>
      <c r="AE967" s="3"/>
      <c r="AF967" s="3"/>
      <c r="AG967" s="3"/>
      <c r="AH967" s="3"/>
      <c r="AI967" s="3"/>
      <c r="AK967" s="3"/>
      <c r="AL967" s="3"/>
      <c r="AM967" s="3"/>
      <c r="AN967" s="3"/>
      <c r="AO967" s="3"/>
      <c r="AP967" s="3"/>
      <c r="AQ967" s="3"/>
      <c r="AR967" s="3"/>
    </row>
    <row r="968" spans="1:44" ht="16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S968" s="3"/>
      <c r="T968" s="3"/>
      <c r="U968" s="3"/>
      <c r="V968" s="3"/>
      <c r="W968" s="3"/>
      <c r="X968" s="3"/>
      <c r="Y968" s="3"/>
      <c r="Z968" s="3"/>
      <c r="AB968" s="3"/>
      <c r="AC968" s="3"/>
      <c r="AD968" s="3"/>
      <c r="AE968" s="3"/>
      <c r="AF968" s="3"/>
      <c r="AG968" s="3"/>
      <c r="AH968" s="3"/>
      <c r="AI968" s="3"/>
      <c r="AK968" s="3"/>
      <c r="AL968" s="3"/>
      <c r="AM968" s="3"/>
      <c r="AN968" s="3"/>
      <c r="AO968" s="3"/>
      <c r="AP968" s="3"/>
      <c r="AQ968" s="3"/>
      <c r="AR968" s="3"/>
    </row>
    <row r="969" spans="1:44" ht="16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S969" s="3"/>
      <c r="T969" s="3"/>
      <c r="U969" s="3"/>
      <c r="V969" s="3"/>
      <c r="W969" s="3"/>
      <c r="X969" s="3"/>
      <c r="Y969" s="3"/>
      <c r="Z969" s="3"/>
      <c r="AB969" s="3"/>
      <c r="AC969" s="3"/>
      <c r="AD969" s="3"/>
      <c r="AE969" s="3"/>
      <c r="AF969" s="3"/>
      <c r="AG969" s="3"/>
      <c r="AH969" s="3"/>
      <c r="AI969" s="3"/>
      <c r="AK969" s="3"/>
      <c r="AL969" s="3"/>
      <c r="AM969" s="3"/>
      <c r="AN969" s="3"/>
      <c r="AO969" s="3"/>
      <c r="AP969" s="3"/>
      <c r="AQ969" s="3"/>
      <c r="AR969" s="3"/>
    </row>
    <row r="970" spans="1:44" ht="16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S970" s="3"/>
      <c r="T970" s="3"/>
      <c r="U970" s="3"/>
      <c r="V970" s="3"/>
      <c r="W970" s="3"/>
      <c r="X970" s="3"/>
      <c r="Y970" s="3"/>
      <c r="Z970" s="3"/>
      <c r="AB970" s="3"/>
      <c r="AC970" s="3"/>
      <c r="AD970" s="3"/>
      <c r="AE970" s="3"/>
      <c r="AF970" s="3"/>
      <c r="AG970" s="3"/>
      <c r="AH970" s="3"/>
      <c r="AI970" s="3"/>
      <c r="AK970" s="3"/>
      <c r="AL970" s="3"/>
      <c r="AM970" s="3"/>
      <c r="AN970" s="3"/>
      <c r="AO970" s="3"/>
      <c r="AP970" s="3"/>
      <c r="AQ970" s="3"/>
      <c r="AR970" s="3"/>
    </row>
    <row r="971" spans="1:44" ht="16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S971" s="3"/>
      <c r="T971" s="3"/>
      <c r="U971" s="3"/>
      <c r="V971" s="3"/>
      <c r="W971" s="3"/>
      <c r="X971" s="3"/>
      <c r="Y971" s="3"/>
      <c r="Z971" s="3"/>
      <c r="AB971" s="3"/>
      <c r="AC971" s="3"/>
      <c r="AD971" s="3"/>
      <c r="AE971" s="3"/>
      <c r="AF971" s="3"/>
      <c r="AG971" s="3"/>
      <c r="AH971" s="3"/>
      <c r="AI971" s="3"/>
      <c r="AK971" s="3"/>
      <c r="AL971" s="3"/>
      <c r="AM971" s="3"/>
      <c r="AN971" s="3"/>
      <c r="AO971" s="3"/>
      <c r="AP971" s="3"/>
      <c r="AQ971" s="3"/>
      <c r="AR971" s="3"/>
    </row>
    <row r="972" spans="1:44" ht="16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S972" s="3"/>
      <c r="T972" s="3"/>
      <c r="U972" s="3"/>
      <c r="V972" s="3"/>
      <c r="W972" s="3"/>
      <c r="X972" s="3"/>
      <c r="Y972" s="3"/>
      <c r="Z972" s="3"/>
      <c r="AB972" s="3"/>
      <c r="AC972" s="3"/>
      <c r="AD972" s="3"/>
      <c r="AE972" s="3"/>
      <c r="AF972" s="3"/>
      <c r="AG972" s="3"/>
      <c r="AH972" s="3"/>
      <c r="AI972" s="3"/>
      <c r="AK972" s="3"/>
      <c r="AL972" s="3"/>
      <c r="AM972" s="3"/>
      <c r="AN972" s="3"/>
      <c r="AO972" s="3"/>
      <c r="AP972" s="3"/>
      <c r="AQ972" s="3"/>
      <c r="AR972" s="3"/>
    </row>
    <row r="973" spans="1:44" ht="16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S973" s="3"/>
      <c r="T973" s="3"/>
      <c r="U973" s="3"/>
      <c r="V973" s="3"/>
      <c r="W973" s="3"/>
      <c r="X973" s="3"/>
      <c r="Y973" s="3"/>
      <c r="Z973" s="3"/>
      <c r="AB973" s="3"/>
      <c r="AC973" s="3"/>
      <c r="AD973" s="3"/>
      <c r="AE973" s="3"/>
      <c r="AF973" s="3"/>
      <c r="AG973" s="3"/>
      <c r="AH973" s="3"/>
      <c r="AI973" s="3"/>
      <c r="AK973" s="3"/>
      <c r="AL973" s="3"/>
      <c r="AM973" s="3"/>
      <c r="AN973" s="3"/>
      <c r="AO973" s="3"/>
      <c r="AP973" s="3"/>
      <c r="AQ973" s="3"/>
      <c r="AR973" s="3"/>
    </row>
    <row r="974" spans="1:44" ht="16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S974" s="3"/>
      <c r="T974" s="3"/>
      <c r="U974" s="3"/>
      <c r="V974" s="3"/>
      <c r="W974" s="3"/>
      <c r="X974" s="3"/>
      <c r="Y974" s="3"/>
      <c r="Z974" s="3"/>
      <c r="AB974" s="3"/>
      <c r="AC974" s="3"/>
      <c r="AD974" s="3"/>
      <c r="AE974" s="3"/>
      <c r="AF974" s="3"/>
      <c r="AG974" s="3"/>
      <c r="AH974" s="3"/>
      <c r="AI974" s="3"/>
      <c r="AK974" s="3"/>
      <c r="AL974" s="3"/>
      <c r="AM974" s="3"/>
      <c r="AN974" s="3"/>
      <c r="AO974" s="3"/>
      <c r="AP974" s="3"/>
      <c r="AQ974" s="3"/>
      <c r="AR974" s="3"/>
    </row>
    <row r="975" spans="1:44" ht="16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S975" s="3"/>
      <c r="T975" s="3"/>
      <c r="U975" s="3"/>
      <c r="V975" s="3"/>
      <c r="W975" s="3"/>
      <c r="X975" s="3"/>
      <c r="Y975" s="3"/>
      <c r="Z975" s="3"/>
      <c r="AB975" s="3"/>
      <c r="AC975" s="3"/>
      <c r="AD975" s="3"/>
      <c r="AE975" s="3"/>
      <c r="AF975" s="3"/>
      <c r="AG975" s="3"/>
      <c r="AH975" s="3"/>
      <c r="AI975" s="3"/>
      <c r="AK975" s="3"/>
      <c r="AL975" s="3"/>
      <c r="AM975" s="3"/>
      <c r="AN975" s="3"/>
      <c r="AO975" s="3"/>
      <c r="AP975" s="3"/>
      <c r="AQ975" s="3"/>
      <c r="AR975" s="3"/>
    </row>
    <row r="976" spans="1:44" ht="16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S976" s="3"/>
      <c r="T976" s="3"/>
      <c r="U976" s="3"/>
      <c r="V976" s="3"/>
      <c r="W976" s="3"/>
      <c r="X976" s="3"/>
      <c r="Y976" s="3"/>
      <c r="Z976" s="3"/>
      <c r="AB976" s="3"/>
      <c r="AC976" s="3"/>
      <c r="AD976" s="3"/>
      <c r="AE976" s="3"/>
      <c r="AF976" s="3"/>
      <c r="AG976" s="3"/>
      <c r="AH976" s="3"/>
      <c r="AI976" s="3"/>
      <c r="AK976" s="3"/>
      <c r="AL976" s="3"/>
      <c r="AM976" s="3"/>
      <c r="AN976" s="3"/>
      <c r="AO976" s="3"/>
      <c r="AP976" s="3"/>
      <c r="AQ976" s="3"/>
      <c r="AR976" s="3"/>
    </row>
    <row r="977" spans="1:44" ht="16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S977" s="3"/>
      <c r="T977" s="3"/>
      <c r="U977" s="3"/>
      <c r="V977" s="3"/>
      <c r="W977" s="3"/>
      <c r="X977" s="3"/>
      <c r="Y977" s="3"/>
      <c r="Z977" s="3"/>
      <c r="AB977" s="3"/>
      <c r="AC977" s="3"/>
      <c r="AD977" s="3"/>
      <c r="AE977" s="3"/>
      <c r="AF977" s="3"/>
      <c r="AG977" s="3"/>
      <c r="AH977" s="3"/>
      <c r="AI977" s="3"/>
      <c r="AK977" s="3"/>
      <c r="AL977" s="3"/>
      <c r="AM977" s="3"/>
      <c r="AN977" s="3"/>
      <c r="AO977" s="3"/>
      <c r="AP977" s="3"/>
      <c r="AQ977" s="3"/>
      <c r="AR977" s="3"/>
    </row>
  </sheetData>
  <phoneticPr fontId="15" type="noConversion"/>
  <conditionalFormatting sqref="B35:E35">
    <cfRule type="cellIs" dxfId="51" priority="1" operator="lessThan">
      <formula>1</formula>
    </cfRule>
    <cfRule type="cellIs" dxfId="50" priority="2" operator="lessThan">
      <formula>2</formula>
    </cfRule>
  </conditionalFormatting>
  <dataValidations count="3">
    <dataValidation type="list" allowBlank="1" showErrorMessage="1" sqref="K29:N29 K59:N59 T29:W29 AC29:AF29 AC59:AF59 AL29:AO29 T59:W59 AL59:AO59" xr:uid="{00000000-0002-0000-0500-000000000000}">
      <formula1>"거주"</formula1>
    </dataValidation>
    <dataValidation type="list" allowBlank="1" showErrorMessage="1" sqref="T28:W28 G10:H10 K10:Q10 B10:E10 T10:Z10 AL10:AR10 AC10:AI10 AL28:AO28 K28:N28 AC28:AF28 B28 AC58:AF58 K58:N58 B58 T58:W58 AL58:AO58" xr:uid="{00000000-0002-0000-0500-000001000000}">
      <formula1>"1세대1주택,주택,건물,종합합산토지,별도합산토지"</formula1>
    </dataValidation>
    <dataValidation type="list" allowBlank="1" showErrorMessage="1" sqref="B4:C4" xr:uid="{07573201-8581-4758-8864-3A57769BFB01}">
      <formula1>"거주용1주택,비거주1주택,3주택,4주택"</formula1>
    </dataValidation>
  </dataValidations>
  <pageMargins left="0.25" right="0.25" top="0.75" bottom="0.75" header="0.3" footer="0.3"/>
  <pageSetup paperSize="9" scale="12" orientation="portrait" r:id="rId1"/>
  <headerFooter>
    <oddFooter>&amp;C&amp;P/</oddFooter>
  </headerFooter>
  <colBreaks count="2" manualBreakCount="2">
    <brk id="17" min="1" max="1" man="1"/>
    <brk id="8" min="1" max="1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31A7C-7CF1-4A50-9DCA-D0BCB78F4505}">
  <sheetPr>
    <tabColor theme="9" tint="-0.249977111117893"/>
  </sheetPr>
  <dimension ref="A1:AR977"/>
  <sheetViews>
    <sheetView tabSelected="1" topLeftCell="A23" workbookViewId="0">
      <selection activeCell="B41" sqref="B41"/>
    </sheetView>
  </sheetViews>
  <sheetFormatPr defaultColWidth="14.42578125" defaultRowHeight="15" customHeight="1"/>
  <cols>
    <col min="1" max="1" width="22" style="19" customWidth="1"/>
    <col min="2" max="2" width="18.5703125" style="19" bestFit="1" customWidth="1"/>
    <col min="3" max="4" width="15.42578125" style="19" customWidth="1"/>
    <col min="5" max="5" width="14.85546875" style="19" customWidth="1"/>
    <col min="6" max="7" width="17.85546875" style="19" bestFit="1" customWidth="1"/>
    <col min="8" max="8" width="13" style="19" customWidth="1"/>
    <col min="9" max="9" width="5" style="19" customWidth="1"/>
    <col min="10" max="10" width="31" style="19" bestFit="1" customWidth="1"/>
    <col min="11" max="13" width="17.85546875" style="19" bestFit="1" customWidth="1"/>
    <col min="14" max="14" width="16" style="19" bestFit="1" customWidth="1"/>
    <col min="15" max="16" width="17.85546875" style="19" bestFit="1" customWidth="1"/>
    <col min="17" max="17" width="15.140625" style="19" bestFit="1" customWidth="1"/>
    <col min="18" max="18" width="4.85546875" style="19" customWidth="1"/>
    <col min="19" max="19" width="31.140625" style="19" bestFit="1" customWidth="1"/>
    <col min="20" max="22" width="18.5703125" style="19" bestFit="1" customWidth="1"/>
    <col min="23" max="23" width="16" style="19" bestFit="1" customWidth="1"/>
    <col min="24" max="25" width="18.5703125" style="19" bestFit="1" customWidth="1"/>
    <col min="26" max="26" width="15.140625" style="19" bestFit="1" customWidth="1"/>
    <col min="27" max="27" width="4.85546875" style="19" customWidth="1"/>
    <col min="28" max="28" width="31.140625" style="19" bestFit="1" customWidth="1"/>
    <col min="29" max="31" width="18.5703125" style="19" bestFit="1" customWidth="1"/>
    <col min="32" max="32" width="16" style="19" bestFit="1" customWidth="1"/>
    <col min="33" max="34" width="18.5703125" style="19" bestFit="1" customWidth="1"/>
    <col min="35" max="35" width="15.140625" style="19" bestFit="1" customWidth="1"/>
    <col min="36" max="36" width="4.85546875" style="19" customWidth="1"/>
    <col min="37" max="37" width="31.140625" style="19" bestFit="1" customWidth="1"/>
    <col min="38" max="40" width="18.5703125" style="19" bestFit="1" customWidth="1"/>
    <col min="41" max="41" width="16" style="19" bestFit="1" customWidth="1"/>
    <col min="42" max="43" width="18.5703125" style="19" bestFit="1" customWidth="1"/>
    <col min="44" max="44" width="15.140625" style="19" bestFit="1" customWidth="1"/>
    <col min="45" max="16384" width="14.42578125" style="19"/>
  </cols>
  <sheetData>
    <row r="1" spans="1:44" ht="15" customHeight="1">
      <c r="B1" s="364" t="s">
        <v>308</v>
      </c>
      <c r="C1" s="365" t="s">
        <v>309</v>
      </c>
    </row>
    <row r="2" spans="1:44" ht="16.5" customHeight="1">
      <c r="A2" s="119" t="s">
        <v>310</v>
      </c>
      <c r="B2" s="119" t="str">
        <f>기초!B1</f>
        <v>홍길동</v>
      </c>
      <c r="C2" s="363" t="s">
        <v>284</v>
      </c>
      <c r="D2" s="3"/>
      <c r="E2" s="3"/>
      <c r="F2" s="3"/>
      <c r="G2" s="359"/>
      <c r="H2" s="139"/>
      <c r="I2" s="3"/>
    </row>
    <row r="3" spans="1:44" ht="16.5" customHeight="1">
      <c r="A3" s="184" t="s">
        <v>216</v>
      </c>
      <c r="B3" s="119">
        <f>기초!B3</f>
        <v>4</v>
      </c>
      <c r="C3" s="166">
        <f ca="1">INDIRECT("기초!b"&amp;(MATCH(C$2,기초!$B:$B,0)+3))</f>
        <v>1</v>
      </c>
      <c r="D3" s="3"/>
      <c r="E3" s="3"/>
      <c r="H3" s="360"/>
      <c r="I3" s="3"/>
      <c r="J3" s="361"/>
      <c r="K3" s="3"/>
      <c r="L3" s="3"/>
      <c r="M3" s="3"/>
      <c r="N3" s="3"/>
      <c r="O3" s="3"/>
      <c r="P3" s="3"/>
      <c r="Q3" s="3"/>
      <c r="T3" s="3"/>
      <c r="U3" s="3"/>
      <c r="V3" s="3"/>
      <c r="W3" s="3"/>
      <c r="X3" s="3"/>
      <c r="Y3" s="3"/>
      <c r="Z3" s="3"/>
      <c r="AC3" s="3"/>
      <c r="AD3" s="3"/>
      <c r="AE3" s="3"/>
      <c r="AF3" s="3"/>
      <c r="AG3" s="3"/>
      <c r="AH3" s="3"/>
      <c r="AI3" s="3"/>
      <c r="AL3" s="3"/>
      <c r="AM3" s="3"/>
      <c r="AN3" s="3"/>
      <c r="AO3" s="3"/>
      <c r="AP3" s="3"/>
      <c r="AQ3" s="3"/>
      <c r="AR3" s="3"/>
    </row>
    <row r="4" spans="1:44" ht="16.5" customHeight="1" thickBot="1">
      <c r="A4" s="184" t="s">
        <v>261</v>
      </c>
      <c r="B4" s="368" t="s">
        <v>5</v>
      </c>
      <c r="C4" s="368" t="s">
        <v>318</v>
      </c>
      <c r="D4" s="15"/>
      <c r="E4" s="15"/>
      <c r="H4" s="360"/>
      <c r="I4" s="3"/>
      <c r="J4" s="361"/>
      <c r="K4" s="3"/>
      <c r="L4" s="3"/>
      <c r="M4" s="3"/>
      <c r="N4" s="3"/>
      <c r="O4" s="3"/>
      <c r="P4" s="3"/>
      <c r="Q4" s="3"/>
      <c r="T4" s="3"/>
      <c r="U4" s="3"/>
      <c r="V4" s="3"/>
      <c r="W4" s="3"/>
      <c r="X4" s="3"/>
      <c r="Y4" s="3"/>
      <c r="Z4" s="3"/>
      <c r="AC4" s="3"/>
      <c r="AD4" s="3"/>
      <c r="AE4" s="3"/>
      <c r="AF4" s="3"/>
      <c r="AG4" s="3"/>
      <c r="AH4" s="3"/>
      <c r="AI4" s="3"/>
      <c r="AL4" s="3"/>
      <c r="AM4" s="3"/>
      <c r="AN4" s="3"/>
      <c r="AO4" s="3"/>
      <c r="AP4" s="3"/>
      <c r="AQ4" s="3"/>
      <c r="AR4" s="3"/>
    </row>
    <row r="5" spans="1:44" ht="16.5" customHeight="1">
      <c r="A5" s="3"/>
      <c r="B5" s="3"/>
      <c r="C5" s="43"/>
      <c r="D5" s="15"/>
      <c r="E5" s="15"/>
      <c r="F5" s="371" t="s">
        <v>96</v>
      </c>
      <c r="G5" s="247">
        <f>SUM(B20:H20)</f>
        <v>13192652</v>
      </c>
      <c r="H5" s="135"/>
      <c r="I5" s="3"/>
      <c r="J5" s="378"/>
      <c r="O5" s="371" t="s">
        <v>96</v>
      </c>
      <c r="P5" s="247">
        <f>SUM(K20:Q20)</f>
        <v>11334950</v>
      </c>
      <c r="X5" s="371" t="s">
        <v>96</v>
      </c>
      <c r="Y5" s="247">
        <f>SUM(T20:Z20)</f>
        <v>13298547.5</v>
      </c>
      <c r="AG5" s="371" t="s">
        <v>96</v>
      </c>
      <c r="AH5" s="247">
        <f>SUM(AC20:AI20)</f>
        <v>15620855.525</v>
      </c>
      <c r="AP5" s="371" t="s">
        <v>96</v>
      </c>
      <c r="AQ5" s="247">
        <f>SUM(AL20:AR20)</f>
        <v>18308338.853749998</v>
      </c>
    </row>
    <row r="6" spans="1:44" ht="16.5" customHeight="1">
      <c r="A6" s="3"/>
      <c r="B6" s="3"/>
      <c r="C6" s="3"/>
      <c r="D6" s="3"/>
      <c r="E6" s="3"/>
      <c r="F6" s="250" t="s">
        <v>172</v>
      </c>
      <c r="G6" s="133">
        <f ca="1">B55+B85</f>
        <v>70263618.154869795</v>
      </c>
      <c r="H6" s="3"/>
      <c r="I6" s="3"/>
      <c r="K6" s="3"/>
      <c r="L6" s="3"/>
      <c r="M6" s="3"/>
      <c r="N6" s="3"/>
      <c r="O6" s="250" t="s">
        <v>172</v>
      </c>
      <c r="P6" s="133">
        <f ca="1">HLOOKUP($C$4,$K$70:$N$85,16,0)+HLOOKUP($B$4,$K$40:$N$55,16,0)</f>
        <v>10838114.910405118</v>
      </c>
      <c r="Q6" s="3"/>
      <c r="T6" s="3"/>
      <c r="U6" s="3"/>
      <c r="V6" s="3"/>
      <c r="W6" s="3"/>
      <c r="X6" s="250" t="s">
        <v>172</v>
      </c>
      <c r="Y6" s="133">
        <f ca="1">HLOOKUP($C$4,$T$70:$W$85,16,0)+HLOOKUP($B$4,$T$40:$W$55,16,0)</f>
        <v>20643932.52687766</v>
      </c>
      <c r="Z6" s="3"/>
      <c r="AC6" s="3"/>
      <c r="AD6" s="3"/>
      <c r="AE6" s="3"/>
      <c r="AF6" s="3"/>
      <c r="AG6" s="250" t="s">
        <v>172</v>
      </c>
      <c r="AH6" s="133">
        <f ca="1">HLOOKUP($C$4,$AC$70:$AF$85,16,0)+HLOOKUP($B$4,$AC$40:$AF$55,16,0)</f>
        <v>28104221.5871379</v>
      </c>
      <c r="AI6" s="3"/>
      <c r="AL6" s="3"/>
      <c r="AM6" s="3"/>
      <c r="AN6" s="3"/>
      <c r="AO6" s="3"/>
      <c r="AP6" s="250" t="s">
        <v>172</v>
      </c>
      <c r="AQ6" s="133">
        <f ca="1">HLOOKUP($C$4,$AL$70:$AO$85,16,0)+HLOOKUP($B$4,$AL$40:$AO$55,16,0)</f>
        <v>36888384.544400737</v>
      </c>
      <c r="AR6" s="3"/>
    </row>
    <row r="7" spans="1:44" ht="16.5" customHeight="1">
      <c r="A7" s="3"/>
      <c r="B7" s="3"/>
      <c r="C7" s="3"/>
      <c r="D7" s="3"/>
      <c r="E7" s="3"/>
      <c r="F7" s="372"/>
      <c r="G7" s="107"/>
      <c r="H7" s="3"/>
      <c r="I7" s="3"/>
      <c r="K7" s="3"/>
      <c r="L7" s="3"/>
      <c r="M7" s="3"/>
      <c r="N7" s="3"/>
      <c r="O7" s="372"/>
      <c r="P7" s="133"/>
      <c r="Q7" s="3"/>
      <c r="T7" s="3"/>
      <c r="U7" s="3"/>
      <c r="V7" s="3"/>
      <c r="W7" s="3"/>
      <c r="X7" s="3"/>
      <c r="Y7" s="3"/>
      <c r="Z7" s="3"/>
      <c r="AC7" s="3"/>
      <c r="AD7" s="3"/>
      <c r="AE7" s="3"/>
      <c r="AF7" s="3"/>
      <c r="AG7" s="3"/>
      <c r="AH7" s="3"/>
      <c r="AI7" s="3"/>
      <c r="AL7" s="3"/>
      <c r="AM7" s="3"/>
      <c r="AN7" s="3"/>
      <c r="AO7" s="3"/>
      <c r="AP7" s="3"/>
      <c r="AQ7" s="3"/>
      <c r="AR7" s="3"/>
    </row>
    <row r="8" spans="1:44" ht="16.5" customHeight="1">
      <c r="A8" s="3"/>
      <c r="B8" s="3"/>
      <c r="C8" s="3"/>
      <c r="D8" s="3"/>
      <c r="E8" s="3"/>
      <c r="F8" s="372"/>
      <c r="G8" s="107"/>
      <c r="H8" s="3"/>
      <c r="I8" s="3"/>
      <c r="J8" s="44" t="s">
        <v>66</v>
      </c>
      <c r="K8" s="45">
        <v>0.15</v>
      </c>
      <c r="L8" s="45">
        <v>0.15</v>
      </c>
      <c r="M8" s="45">
        <v>0.15</v>
      </c>
      <c r="N8" s="45">
        <v>0.15</v>
      </c>
      <c r="O8" s="3"/>
      <c r="P8" s="45">
        <v>0.15</v>
      </c>
      <c r="Q8" s="207"/>
      <c r="S8" s="19" t="s">
        <v>66</v>
      </c>
      <c r="T8" s="45">
        <v>0.15</v>
      </c>
      <c r="U8" s="45">
        <v>0.15</v>
      </c>
      <c r="V8" s="45">
        <v>0.15</v>
      </c>
      <c r="W8" s="45">
        <v>0.15</v>
      </c>
      <c r="X8" s="3"/>
      <c r="Y8" s="45">
        <v>0.15</v>
      </c>
      <c r="Z8" s="207"/>
      <c r="AB8" s="19" t="s">
        <v>66</v>
      </c>
      <c r="AC8" s="45">
        <v>0.15</v>
      </c>
      <c r="AD8" s="45">
        <v>0.15</v>
      </c>
      <c r="AE8" s="45">
        <v>0.15</v>
      </c>
      <c r="AF8" s="45">
        <v>0.15</v>
      </c>
      <c r="AG8" s="3"/>
      <c r="AH8" s="45">
        <v>0.15</v>
      </c>
      <c r="AI8" s="207"/>
      <c r="AK8" s="19" t="s">
        <v>66</v>
      </c>
      <c r="AL8" s="45">
        <v>0.15</v>
      </c>
      <c r="AM8" s="45">
        <v>0.15</v>
      </c>
      <c r="AN8" s="45">
        <v>0.15</v>
      </c>
      <c r="AO8" s="45">
        <v>0.15</v>
      </c>
      <c r="AP8" s="3"/>
      <c r="AQ8" s="45">
        <v>0.15</v>
      </c>
      <c r="AR8" s="207"/>
    </row>
    <row r="9" spans="1:44" ht="16.5" customHeight="1">
      <c r="A9" s="193">
        <v>2026</v>
      </c>
      <c r="B9" s="187" t="s">
        <v>8</v>
      </c>
      <c r="C9" s="99" t="s">
        <v>9</v>
      </c>
      <c r="D9" s="99" t="s">
        <v>11</v>
      </c>
      <c r="E9" s="99" t="s">
        <v>12</v>
      </c>
      <c r="F9" s="187" t="s">
        <v>69</v>
      </c>
      <c r="G9" s="99" t="s">
        <v>13</v>
      </c>
      <c r="H9" s="99" t="s">
        <v>264</v>
      </c>
      <c r="I9" s="3"/>
      <c r="J9" s="193">
        <f>A9+1</f>
        <v>2027</v>
      </c>
      <c r="K9" s="99" t="s">
        <v>8</v>
      </c>
      <c r="L9" s="99" t="s">
        <v>9</v>
      </c>
      <c r="M9" s="99" t="s">
        <v>11</v>
      </c>
      <c r="N9" s="99" t="s">
        <v>12</v>
      </c>
      <c r="O9" s="187" t="s">
        <v>69</v>
      </c>
      <c r="P9" s="99" t="s">
        <v>13</v>
      </c>
      <c r="Q9" s="99" t="s">
        <v>264</v>
      </c>
      <c r="S9" s="193">
        <f>J9+1</f>
        <v>2028</v>
      </c>
      <c r="T9" s="99" t="s">
        <v>8</v>
      </c>
      <c r="U9" s="99" t="s">
        <v>9</v>
      </c>
      <c r="V9" s="99" t="s">
        <v>11</v>
      </c>
      <c r="W9" s="99" t="s">
        <v>12</v>
      </c>
      <c r="X9" s="187" t="s">
        <v>69</v>
      </c>
      <c r="Y9" s="99" t="s">
        <v>13</v>
      </c>
      <c r="Z9" s="99" t="s">
        <v>264</v>
      </c>
      <c r="AB9" s="193">
        <f>S9+1</f>
        <v>2029</v>
      </c>
      <c r="AC9" s="99" t="s">
        <v>8</v>
      </c>
      <c r="AD9" s="99" t="s">
        <v>9</v>
      </c>
      <c r="AE9" s="99" t="s">
        <v>11</v>
      </c>
      <c r="AF9" s="99" t="s">
        <v>12</v>
      </c>
      <c r="AG9" s="187" t="s">
        <v>69</v>
      </c>
      <c r="AH9" s="99" t="s">
        <v>13</v>
      </c>
      <c r="AI9" s="99" t="s">
        <v>264</v>
      </c>
      <c r="AK9" s="193">
        <f>AB9+1</f>
        <v>2030</v>
      </c>
      <c r="AL9" s="99" t="s">
        <v>8</v>
      </c>
      <c r="AM9" s="99" t="s">
        <v>9</v>
      </c>
      <c r="AN9" s="99" t="s">
        <v>11</v>
      </c>
      <c r="AO9" s="99" t="s">
        <v>12</v>
      </c>
      <c r="AP9" s="187" t="s">
        <v>69</v>
      </c>
      <c r="AQ9" s="99" t="s">
        <v>13</v>
      </c>
      <c r="AR9" s="99" t="s">
        <v>264</v>
      </c>
    </row>
    <row r="10" spans="1:44" ht="16.5" customHeight="1">
      <c r="A10" s="3"/>
      <c r="B10" s="186" t="s">
        <v>14</v>
      </c>
      <c r="C10" s="186" t="s">
        <v>14</v>
      </c>
      <c r="D10" s="186" t="s">
        <v>14</v>
      </c>
      <c r="E10" s="186" t="s">
        <v>14</v>
      </c>
      <c r="F10" s="119" t="s">
        <v>263</v>
      </c>
      <c r="G10" s="186" t="s">
        <v>73</v>
      </c>
      <c r="H10" s="186" t="s">
        <v>18</v>
      </c>
      <c r="I10" s="3"/>
      <c r="J10" s="99"/>
      <c r="K10" s="186" t="s">
        <v>14</v>
      </c>
      <c r="L10" s="186" t="s">
        <v>14</v>
      </c>
      <c r="M10" s="186" t="s">
        <v>14</v>
      </c>
      <c r="N10" s="186" t="s">
        <v>14</v>
      </c>
      <c r="O10" s="208" t="s">
        <v>14</v>
      </c>
      <c r="P10" s="186" t="s">
        <v>73</v>
      </c>
      <c r="Q10" s="186" t="s">
        <v>18</v>
      </c>
      <c r="S10" s="99"/>
      <c r="T10" s="314" t="s">
        <v>14</v>
      </c>
      <c r="U10" s="314" t="s">
        <v>14</v>
      </c>
      <c r="V10" s="314" t="s">
        <v>14</v>
      </c>
      <c r="W10" s="314" t="s">
        <v>14</v>
      </c>
      <c r="X10" s="315" t="s">
        <v>14</v>
      </c>
      <c r="Y10" s="314" t="s">
        <v>73</v>
      </c>
      <c r="Z10" s="314" t="s">
        <v>18</v>
      </c>
      <c r="AB10" s="99"/>
      <c r="AC10" s="314" t="s">
        <v>14</v>
      </c>
      <c r="AD10" s="314" t="s">
        <v>14</v>
      </c>
      <c r="AE10" s="314" t="s">
        <v>14</v>
      </c>
      <c r="AF10" s="314" t="s">
        <v>14</v>
      </c>
      <c r="AG10" s="315" t="s">
        <v>14</v>
      </c>
      <c r="AH10" s="314" t="s">
        <v>73</v>
      </c>
      <c r="AI10" s="314" t="s">
        <v>18</v>
      </c>
      <c r="AK10" s="99"/>
      <c r="AL10" s="314" t="s">
        <v>14</v>
      </c>
      <c r="AM10" s="314" t="s">
        <v>14</v>
      </c>
      <c r="AN10" s="314" t="s">
        <v>14</v>
      </c>
      <c r="AO10" s="314" t="s">
        <v>14</v>
      </c>
      <c r="AP10" s="315" t="s">
        <v>14</v>
      </c>
      <c r="AQ10" s="314" t="s">
        <v>73</v>
      </c>
      <c r="AR10" s="314" t="s">
        <v>18</v>
      </c>
    </row>
    <row r="11" spans="1:44" s="221" customFormat="1" ht="16.5" customHeight="1">
      <c r="A11" s="195" t="s">
        <v>39</v>
      </c>
      <c r="B11" s="219">
        <f>HLOOKUP(B$9,기초!$C$5:$I$16,MATCH($A11,기초!$A$5:$A$16,0),0)</f>
        <v>4632000000</v>
      </c>
      <c r="C11" s="219">
        <f>HLOOKUP(C$9,기초!$C$5:$I$16,MATCH($A11,기초!$A$5:$A$16,0),0)</f>
        <v>2000000000</v>
      </c>
      <c r="D11" s="219">
        <f>HLOOKUP(D$9,기초!$C$5:$I$16,MATCH($A11,기초!$A$5:$A$16,0),0)</f>
        <v>700000000</v>
      </c>
      <c r="E11" s="219">
        <f>HLOOKUP(E$9,기초!$C$5:$I$16,MATCH($A11,기초!$A$5:$A$16,0),0)</f>
        <v>400000000</v>
      </c>
      <c r="F11" s="220">
        <f>SUM(B11:E11)</f>
        <v>7732000000</v>
      </c>
      <c r="G11" s="219">
        <f>HLOOKUP(G$9,기초!$C$5:$I$16,MATCH($A11,기초!$A$5:$A$16,0),0)</f>
        <v>300000000</v>
      </c>
      <c r="H11" s="219">
        <f>HLOOKUP(H$9,기초!$C$5:$I$16,MATCH($A11,기초!$A$5:$A$16,0),0)</f>
        <v>0</v>
      </c>
      <c r="I11" s="137"/>
      <c r="J11" s="229" t="s">
        <v>76</v>
      </c>
      <c r="K11" s="378"/>
      <c r="L11" s="136">
        <f>C11*(1+L8)</f>
        <v>2300000000</v>
      </c>
      <c r="M11" s="136">
        <f>D11*(1+M8)</f>
        <v>804999999.99999988</v>
      </c>
      <c r="N11" s="136">
        <f>E11*(1+N8)</f>
        <v>459999999.99999994</v>
      </c>
      <c r="O11" s="136">
        <f>SUM(K11:N11)</f>
        <v>3565000000</v>
      </c>
      <c r="P11" s="136">
        <f>G11*(1+P8)</f>
        <v>345000000</v>
      </c>
      <c r="Q11" s="136">
        <f>H11*(1+Q8)</f>
        <v>0</v>
      </c>
      <c r="S11" s="316" t="s">
        <v>76</v>
      </c>
      <c r="T11" s="317">
        <f>K11*(1+T8)</f>
        <v>0</v>
      </c>
      <c r="U11" s="318">
        <f>L11*(1+U8)</f>
        <v>2645000000</v>
      </c>
      <c r="V11" s="318">
        <f>M11*(1+V8)</f>
        <v>925749999.99999976</v>
      </c>
      <c r="W11" s="318">
        <f>N11*(1+W8)</f>
        <v>528999999.99999988</v>
      </c>
      <c r="X11" s="318">
        <f>SUM(T11:W11)</f>
        <v>4099750000</v>
      </c>
      <c r="Y11" s="318">
        <f>P11*(1+Y8)</f>
        <v>396749999.99999994</v>
      </c>
      <c r="Z11" s="318">
        <f>Q11*(1+Z8)</f>
        <v>0</v>
      </c>
      <c r="AB11" s="316" t="s">
        <v>76</v>
      </c>
      <c r="AC11" s="317">
        <f>T11*(1+AC8)</f>
        <v>0</v>
      </c>
      <c r="AD11" s="318">
        <f>U11*(1+AD8)</f>
        <v>3041750000</v>
      </c>
      <c r="AE11" s="318">
        <f>V11*(1+AE8)</f>
        <v>1064612499.9999996</v>
      </c>
      <c r="AF11" s="318">
        <f>W11*(1+AF8)</f>
        <v>608349999.99999976</v>
      </c>
      <c r="AG11" s="318">
        <f>SUM(AC11:AF11)</f>
        <v>4714712499.999999</v>
      </c>
      <c r="AH11" s="318">
        <f>Y11*(1+AH8)</f>
        <v>456262499.99999988</v>
      </c>
      <c r="AI11" s="318">
        <f>Z11*(1+AI8)</f>
        <v>0</v>
      </c>
      <c r="AK11" s="316" t="s">
        <v>76</v>
      </c>
      <c r="AL11" s="317">
        <f>AC11*(1+AL8)</f>
        <v>0</v>
      </c>
      <c r="AM11" s="318">
        <f>AD11*(1+AM8)</f>
        <v>3498012499.9999995</v>
      </c>
      <c r="AN11" s="318">
        <f>AE11*(1+AN8)</f>
        <v>1224304374.9999995</v>
      </c>
      <c r="AO11" s="318">
        <f>AF11*(1+AO8)</f>
        <v>699602499.99999964</v>
      </c>
      <c r="AP11" s="318">
        <f>SUM(AL11:AO11)</f>
        <v>5421919374.999999</v>
      </c>
      <c r="AQ11" s="318">
        <f>AH11*(1+AQ8)</f>
        <v>524701874.99999982</v>
      </c>
      <c r="AR11" s="318">
        <f>AI11*(1+AR8)</f>
        <v>0</v>
      </c>
    </row>
    <row r="12" spans="1:44" ht="16.5" customHeight="1">
      <c r="A12" s="196" t="s">
        <v>78</v>
      </c>
      <c r="B12" s="121">
        <f>IF(B$10="1세대1주택",
IF(B11&lt;=3*10^8,43%,
IF(B11&lt;=6*10^8,44%,
45%)),
VLOOKUP(B$10,t!$H$3:$I$9,2,0))</f>
        <v>0.6</v>
      </c>
      <c r="C12" s="121">
        <f>IF(C$10="1세대1주택",
IF(C11&lt;=3*10^8,43%,
IF(C11&lt;=6*10^8,44%,
45%)),
VLOOKUP(C$10,t!$H$3:$I$9,2,0))</f>
        <v>0.6</v>
      </c>
      <c r="D12" s="121">
        <f>IF(D$10="1세대1주택",
IF(D11&lt;=3*10^8,43%,
IF(D11&lt;=6*10^8,44%,
45%)),
VLOOKUP(D$10,t!$H$3:$I$9,2,0))</f>
        <v>0.6</v>
      </c>
      <c r="E12" s="121">
        <f>IF(E$10="1세대1주택",
IF(E11&lt;=3*10^8,43%,
IF(E11&lt;=6*10^8,44%,
45%)),
VLOOKUP(E$10,t!$H$3:$I$9,2,0))</f>
        <v>0.6</v>
      </c>
      <c r="F12" s="121">
        <v>0.6</v>
      </c>
      <c r="G12" s="121">
        <f>IF(G10="1세대1주택",
IF(G11&lt;=3*10^8,43%,
IF(G11&lt;=6*10^8,44%,
45%)),
VLOOKUP(G10,t!$H$3:$I$9,2,0))</f>
        <v>0.7</v>
      </c>
      <c r="H12" s="121">
        <f>IF(H10="1세대1주택",
IF(H11&lt;=3*10^8,43%,
IF(H11&lt;=6*10^8,44%,
45%)),
VLOOKUP(H10,t!$H$3:$I$9,2,0))</f>
        <v>0.7</v>
      </c>
      <c r="I12" s="3"/>
      <c r="J12" s="197" t="s">
        <v>78</v>
      </c>
      <c r="K12" s="210">
        <f>IF(K$10="1세대1주택",
IF(K11&lt;=3*10^8,43%,
IF(K11&lt;=6*10^8,44%,
45%)),
VLOOKUP(K$10,t!$H$3:$I$9,2,0))</f>
        <v>0.6</v>
      </c>
      <c r="L12" s="10">
        <f>IF(L$10="1세대1주택",
IF(L11&lt;=3*10^8,43%,
IF(L11&lt;=6*10^8,44%,
45%)),
VLOOKUP(L$10,t!$H$3:$I$9,2,0))</f>
        <v>0.6</v>
      </c>
      <c r="M12" s="10">
        <f>IF(M$10="1세대1주택",
IF(M11&lt;=3*10^8,43%,
IF(M11&lt;=6*10^8,44%,
45%)),
VLOOKUP(M$10,t!$H$3:$I$9,2,0))</f>
        <v>0.6</v>
      </c>
      <c r="N12" s="10">
        <f>IF(N$10="1세대1주택",
IF(N11&lt;=3*10^8,43%,
IF(N11&lt;=6*10^8,44%,
45%)),
VLOOKUP(N$10,t!$H$3:$I$9,2,0))</f>
        <v>0.6</v>
      </c>
      <c r="O12" s="10">
        <v>0.6</v>
      </c>
      <c r="P12" s="121">
        <f>IF(P10="1세대1주택",
IF(P11&lt;=3*10^8,43%,
IF(P11&lt;=6*10^8,44%,
45%)),
VLOOKUP(P10,t!$H$3:$I$9,2,0))</f>
        <v>0.7</v>
      </c>
      <c r="Q12" s="121">
        <f>IF(Q10="1세대1주택",
IF(Q11&lt;=3*10^8,43%,
IF(Q11&lt;=6*10^8,44%,
45%)),
VLOOKUP(Q10,t!$H$3:$I$9,2,0))</f>
        <v>0.7</v>
      </c>
      <c r="S12" s="319" t="s">
        <v>78</v>
      </c>
      <c r="T12" s="210">
        <f>IF(T$10="1세대1주택",
IF(T11&lt;=3*10^8,43%,
IF(T11&lt;=6*10^8,44%,
45%)),
VLOOKUP(T$10,t!$H$3:$I$9,2,0))</f>
        <v>0.6</v>
      </c>
      <c r="U12" s="10">
        <f>IF(U$10="1세대1주택",
IF(U11&lt;=3*10^8,43%,
IF(U11&lt;=6*10^8,44%,
45%)),
VLOOKUP(U$10,t!$H$3:$I$9,2,0))</f>
        <v>0.6</v>
      </c>
      <c r="V12" s="10">
        <f>IF(V$10="1세대1주택",
IF(V11&lt;=3*10^8,43%,
IF(V11&lt;=6*10^8,44%,
45%)),
VLOOKUP(V$10,t!$H$3:$I$9,2,0))</f>
        <v>0.6</v>
      </c>
      <c r="W12" s="10">
        <f>IF(W$10="1세대1주택",
IF(W11&lt;=3*10^8,43%,
IF(W11&lt;=6*10^8,44%,
45%)),
VLOOKUP(W$10,t!$H$3:$I$9,2,0))</f>
        <v>0.6</v>
      </c>
      <c r="X12" s="10">
        <v>0.6</v>
      </c>
      <c r="Y12" s="121">
        <f>IF(Y10="1세대1주택",
IF(Y11&lt;=3*10^8,43%,
IF(Y11&lt;=6*10^8,44%,
45%)),
VLOOKUP(Y10,t!$H$3:$I$9,2,0))</f>
        <v>0.7</v>
      </c>
      <c r="Z12" s="121">
        <f>IF(Z10="1세대1주택",
IF(Z11&lt;=3*10^8,43%,
IF(Z11&lt;=6*10^8,44%,
45%)),
VLOOKUP(Z10,t!$H$3:$I$9,2,0))</f>
        <v>0.7</v>
      </c>
      <c r="AB12" s="319" t="s">
        <v>78</v>
      </c>
      <c r="AC12" s="210">
        <f>IF(AC$10="1세대1주택",
IF(AC11&lt;=3*10^8,43%,
IF(AC11&lt;=6*10^8,44%,
45%)),
VLOOKUP(AC$10,t!$H$3:$I$9,2,0))</f>
        <v>0.6</v>
      </c>
      <c r="AD12" s="10">
        <f>IF(AD$10="1세대1주택",
IF(AD11&lt;=3*10^8,43%,
IF(AD11&lt;=6*10^8,44%,
45%)),
VLOOKUP(AD$10,t!$H$3:$I$9,2,0))</f>
        <v>0.6</v>
      </c>
      <c r="AE12" s="10">
        <f>IF(AE$10="1세대1주택",
IF(AE11&lt;=3*10^8,43%,
IF(AE11&lt;=6*10^8,44%,
45%)),
VLOOKUP(AE$10,t!$H$3:$I$9,2,0))</f>
        <v>0.6</v>
      </c>
      <c r="AF12" s="10">
        <f>IF(AF$10="1세대1주택",
IF(AF11&lt;=3*10^8,43%,
IF(AF11&lt;=6*10^8,44%,
45%)),
VLOOKUP(AF$10,t!$H$3:$I$9,2,0))</f>
        <v>0.6</v>
      </c>
      <c r="AG12" s="10">
        <v>0.6</v>
      </c>
      <c r="AH12" s="121">
        <f>IF(AH10="1세대1주택",
IF(AH11&lt;=3*10^8,43%,
IF(AH11&lt;=6*10^8,44%,
45%)),
VLOOKUP(AH10,t!$H$3:$I$9,2,0))</f>
        <v>0.7</v>
      </c>
      <c r="AI12" s="121">
        <f>IF(AI10="1세대1주택",
IF(AI11&lt;=3*10^8,43%,
IF(AI11&lt;=6*10^8,44%,
45%)),
VLOOKUP(AI10,t!$H$3:$I$9,2,0))</f>
        <v>0.7</v>
      </c>
      <c r="AK12" s="319" t="s">
        <v>78</v>
      </c>
      <c r="AL12" s="210">
        <f>IF(AL$10="1세대1주택",
IF(AL11&lt;=3*10^8,43%,
IF(AL11&lt;=6*10^8,44%,
45%)),
VLOOKUP(AL$10,t!$H$3:$I$9,2,0))</f>
        <v>0.6</v>
      </c>
      <c r="AM12" s="10">
        <f>IF(AM$10="1세대1주택",
IF(AM11&lt;=3*10^8,43%,
IF(AM11&lt;=6*10^8,44%,
45%)),
VLOOKUP(AM$10,t!$H$3:$I$9,2,0))</f>
        <v>0.6</v>
      </c>
      <c r="AN12" s="10">
        <f>IF(AN$10="1세대1주택",
IF(AN11&lt;=3*10^8,43%,
IF(AN11&lt;=6*10^8,44%,
45%)),
VLOOKUP(AN$10,t!$H$3:$I$9,2,0))</f>
        <v>0.6</v>
      </c>
      <c r="AO12" s="10">
        <f>IF(AO$10="1세대1주택",
IF(AO11&lt;=3*10^8,43%,
IF(AO11&lt;=6*10^8,44%,
45%)),
VLOOKUP(AO$10,t!$H$3:$I$9,2,0))</f>
        <v>0.6</v>
      </c>
      <c r="AP12" s="10">
        <v>0.6</v>
      </c>
      <c r="AQ12" s="121">
        <f>IF(AQ10="1세대1주택",
IF(AQ11&lt;=3*10^8,43%,
IF(AQ11&lt;=6*10^8,44%,
45%)),
VLOOKUP(AQ10,t!$H$3:$I$9,2,0))</f>
        <v>0.7</v>
      </c>
      <c r="AR12" s="121">
        <f>IF(AR10="1세대1주택",
IF(AR11&lt;=3*10^8,43%,
IF(AR11&lt;=6*10^8,44%,
45%)),
VLOOKUP(AR10,t!$H$3:$I$9,2,0))</f>
        <v>0.7</v>
      </c>
    </row>
    <row r="13" spans="1:44" ht="16.5" customHeight="1">
      <c r="A13" s="197" t="s">
        <v>86</v>
      </c>
      <c r="B13" s="170">
        <f>IF(RIGHT(B10,2)="주택",MIN(B11*B12,B23*B12+B11*B12*5%),B11*B12)</f>
        <v>552960000</v>
      </c>
      <c r="C13" s="170">
        <f t="shared" ref="C13:E13" si="0">IF(RIGHT(C10,2)="주택",MIN(C11*C12,C23*C12+C11*C12*5%),C11*C12)</f>
        <v>1200000000</v>
      </c>
      <c r="D13" s="170">
        <f t="shared" si="0"/>
        <v>420000000</v>
      </c>
      <c r="E13" s="170">
        <f t="shared" si="0"/>
        <v>240000000</v>
      </c>
      <c r="F13" s="24">
        <f>F11*F12</f>
        <v>4639200000</v>
      </c>
      <c r="G13" s="66">
        <f>IF(RIGHT(G10,2)="주택",MIN(G11*G12,G23*G12+G11*G12*5%),G11*G12)</f>
        <v>210000000</v>
      </c>
      <c r="H13" s="66">
        <f t="shared" ref="H13" si="1">IF(RIGHT(H10,2)="주택",MIN(H11*H12,H23*H12+H11*H12*5%),H11*H12)</f>
        <v>0</v>
      </c>
      <c r="I13" s="3"/>
      <c r="J13" s="197" t="s">
        <v>88</v>
      </c>
      <c r="K13" s="211">
        <f t="shared" ref="K13:N13" si="2">IF(RIGHT(K10,2)="주택",MIN(K11*K12,K23*K12+K11*K12*5%),K11*K12)</f>
        <v>0</v>
      </c>
      <c r="L13" s="22">
        <f t="shared" si="2"/>
        <v>1269000000</v>
      </c>
      <c r="M13" s="22">
        <f t="shared" si="2"/>
        <v>444150000</v>
      </c>
      <c r="N13" s="22">
        <f t="shared" si="2"/>
        <v>253800000</v>
      </c>
      <c r="O13" s="22">
        <f>O11*O12</f>
        <v>2139000000</v>
      </c>
      <c r="P13" s="66">
        <f t="shared" ref="P13:Q13" si="3">IF(RIGHT(P10,2)="주택",MIN(P11*P12,P23*P12+P11*P12*5%),P11*P12)</f>
        <v>241499999.99999997</v>
      </c>
      <c r="Q13" s="66">
        <f t="shared" si="3"/>
        <v>0</v>
      </c>
      <c r="S13" s="319" t="s">
        <v>88</v>
      </c>
      <c r="T13" s="211">
        <f t="shared" ref="T13:W13" si="4">IF(RIGHT(T10,2)="주택",MIN(T11*T12,T23*T12+T11*T12*5%),T11*T12)</f>
        <v>0</v>
      </c>
      <c r="U13" s="22">
        <f t="shared" si="4"/>
        <v>1459350000</v>
      </c>
      <c r="V13" s="22">
        <f t="shared" si="4"/>
        <v>510772499.99999988</v>
      </c>
      <c r="W13" s="22">
        <f t="shared" si="4"/>
        <v>291869999.99999994</v>
      </c>
      <c r="X13" s="22">
        <f>X11*X12</f>
        <v>2459850000</v>
      </c>
      <c r="Y13" s="66">
        <f t="shared" ref="Y13:Z13" si="5">IF(RIGHT(Y10,2)="주택",MIN(Y11*Y12,Y23*Y12+Y11*Y12*5%),Y11*Y12)</f>
        <v>277724999.99999994</v>
      </c>
      <c r="Z13" s="66">
        <f t="shared" si="5"/>
        <v>0</v>
      </c>
      <c r="AB13" s="319" t="s">
        <v>88</v>
      </c>
      <c r="AC13" s="211">
        <f t="shared" ref="AC13:AF13" si="6">IF(RIGHT(AC10,2)="주택",MIN(AC11*AC12,AC23*AC12+AC11*AC12*5%),AC11*AC12)</f>
        <v>0</v>
      </c>
      <c r="AD13" s="22">
        <f t="shared" si="6"/>
        <v>1678252500</v>
      </c>
      <c r="AE13" s="22">
        <f t="shared" si="6"/>
        <v>587388374.99999988</v>
      </c>
      <c r="AF13" s="22">
        <f t="shared" si="6"/>
        <v>335650499.99999994</v>
      </c>
      <c r="AG13" s="22">
        <f>AG11*AG12</f>
        <v>2828827499.9999995</v>
      </c>
      <c r="AH13" s="66">
        <f t="shared" ref="AH13:AI13" si="7">IF(RIGHT(AH10,2)="주택",MIN(AH11*AH12,AH23*AH12+AH11*AH12*5%),AH11*AH12)</f>
        <v>319383749.99999988</v>
      </c>
      <c r="AI13" s="66">
        <f t="shared" si="7"/>
        <v>0</v>
      </c>
      <c r="AK13" s="319" t="s">
        <v>88</v>
      </c>
      <c r="AL13" s="211">
        <f t="shared" ref="AL13:AO13" si="8">IF(RIGHT(AL10,2)="주택",MIN(AL11*AL12,AL23*AL12+AL11*AL12*5%),AL11*AL12)</f>
        <v>0</v>
      </c>
      <c r="AM13" s="22">
        <f t="shared" si="8"/>
        <v>1929990375</v>
      </c>
      <c r="AN13" s="22">
        <f t="shared" si="8"/>
        <v>675496631.24999976</v>
      </c>
      <c r="AO13" s="22">
        <f t="shared" si="8"/>
        <v>385998074.99999982</v>
      </c>
      <c r="AP13" s="22">
        <f>AP11*AP12</f>
        <v>3253151624.9999995</v>
      </c>
      <c r="AQ13" s="66">
        <f t="shared" ref="AQ13:AR13" si="9">IF(RIGHT(AQ10,2)="주택",MIN(AQ11*AQ12,AQ23*AQ12+AQ11*AQ12*5%),AQ11*AQ12)</f>
        <v>367291312.49999988</v>
      </c>
      <c r="AR13" s="66">
        <f t="shared" si="9"/>
        <v>0</v>
      </c>
    </row>
    <row r="14" spans="1:44" ht="16.5" customHeight="1">
      <c r="A14" s="198" t="s">
        <v>90</v>
      </c>
      <c r="B14" s="131" cm="1">
        <f t="array" ref="B14">IF(AND(B10="1세대1주택",B11&lt;=9*10^8),INDEX(t!$D$3:$D$6,MATCH(TRUE,B13&lt;=t!$A$3:$A$6,0)),INDEX(t!$B$3:$B$6,MATCH(TRUE,B13&lt;=t!$A$3:$A$6,0)))</f>
        <v>4.0000000000000001E-3</v>
      </c>
      <c r="C14" s="131">
        <f t="array" ref="C14">IF(C10="1세대1주택",INDEX(t!$D$3:$D$6,MATCH(TRUE,C13&lt;=t!$A$3:$A$6,0)),INDEX(t!$B$3:$B$6,MATCH(TRUE,C13&lt;=t!$A$3:$A$6,0)))</f>
        <v>4.0000000000000001E-3</v>
      </c>
      <c r="D14" s="131">
        <f t="array" ref="D14">IF(D10="1세대1주택",INDEX(t!$D$3:$D$6,MATCH(TRUE,D13&lt;=t!$A$3:$A$6,0)),INDEX(t!$B$3:$B$6,MATCH(TRUE,D13&lt;=t!$A$3:$A$6,0)))</f>
        <v>4.0000000000000001E-3</v>
      </c>
      <c r="E14" s="131">
        <f t="array" ref="E14">IF(E10="1세대1주택",INDEX(t!$D$3:$D$6,MATCH(TRUE,E13&lt;=t!$A$3:$A$6,0)),INDEX(t!$B$3:$B$6,MATCH(TRUE,E13&lt;=t!$A$3:$A$6,0)))</f>
        <v>2.5000000000000001E-3</v>
      </c>
      <c r="F14" s="14">
        <f t="array" ref="F14">INDEX(t!$B$3:$B$6,MATCH(TRUE,F13&lt;=t!$A$3:$A$6,0))</f>
        <v>4.0000000000000001E-3</v>
      </c>
      <c r="G14" s="14">
        <v>2.5000000000000001E-3</v>
      </c>
      <c r="H14" s="14">
        <v>2E-3</v>
      </c>
      <c r="I14" s="3"/>
      <c r="J14" s="197" t="s">
        <v>90</v>
      </c>
      <c r="K14" s="212">
        <f t="array" ref="K14">IF(AND(K10="1세대1주택",K11&lt;=9*10^8),INDEX(t!$D$3:$D$6,MATCH(TRUE,K13&lt;=t!$A$3:$A$6,0)),INDEX(t!$B$3:$B$6,MATCH(TRUE,K13&lt;=t!$A$3:$A$6,0)))</f>
        <v>1E-3</v>
      </c>
      <c r="L14" s="14">
        <f t="array" ref="L14">IF(AND(L10="1세대1주택",L11&lt;=9*10^8),INDEX(t!$D$3:$D$6,MATCH(TRUE,L13&lt;=t!$A$3:$A$6,0)),INDEX(t!$B$3:$B$6,MATCH(TRUE,L13&lt;=t!$A$3:$A$6,0)))</f>
        <v>4.0000000000000001E-3</v>
      </c>
      <c r="M14" s="14">
        <f t="array" ref="M14">IF(AND(M10="1세대1주택",M11&lt;=9*10^8),INDEX(t!$D$3:$D$6,MATCH(TRUE,M13&lt;=t!$A$3:$A$6,0)),INDEX(t!$B$3:$B$6,MATCH(TRUE,M13&lt;=t!$A$3:$A$6,0)))</f>
        <v>4.0000000000000001E-3</v>
      </c>
      <c r="N14" s="14">
        <f t="array" ref="N14">IF(AND(N10="1세대1주택",N11&lt;=9*10^8),INDEX(t!$D$3:$D$6,MATCH(TRUE,N13&lt;=t!$A$3:$A$6,0)),INDEX(t!$B$3:$B$6,MATCH(TRUE,N13&lt;=t!$A$3:$A$6,0)))</f>
        <v>2.5000000000000001E-3</v>
      </c>
      <c r="O14" s="14">
        <f t="array" ref="O14">INDEX(t!$B$3:$B$6,MATCH(TRUE,O13&lt;=t!$A$3:$A$6,0))</f>
        <v>4.0000000000000001E-3</v>
      </c>
      <c r="P14" s="14">
        <v>2.5000000000000001E-3</v>
      </c>
      <c r="Q14" s="14">
        <v>2E-3</v>
      </c>
      <c r="S14" s="320" t="s">
        <v>90</v>
      </c>
      <c r="T14" s="212">
        <f t="array" ref="T14">IF(AND(T10="1세대1주택",T11&lt;=9*10^8),INDEX(t!$D$3:$D$6,MATCH(TRUE,T13&lt;=t!$A$3:$A$6,0)),INDEX(t!$B$3:$B$6,MATCH(TRUE,T13&lt;=t!$A$3:$A$6,0)))</f>
        <v>1E-3</v>
      </c>
      <c r="U14" s="14">
        <f t="array" ref="U14">IF(AND(U10="1세대1주택",U11&lt;=9*10^8),INDEX(t!$D$3:$D$6,MATCH(TRUE,U13&lt;=t!$A$3:$A$6,0)),INDEX(t!$B$3:$B$6,MATCH(TRUE,U13&lt;=t!$A$3:$A$6,0)))</f>
        <v>4.0000000000000001E-3</v>
      </c>
      <c r="V14" s="14">
        <f t="array" ref="V14">IF(AND(V10="1세대1주택",V11&lt;=9*10^8),INDEX(t!$D$3:$D$6,MATCH(TRUE,V13&lt;=t!$A$3:$A$6,0)),INDEX(t!$B$3:$B$6,MATCH(TRUE,V13&lt;=t!$A$3:$A$6,0)))</f>
        <v>4.0000000000000001E-3</v>
      </c>
      <c r="W14" s="14">
        <f t="array" ref="W14">IF(AND(W10="1세대1주택",W11&lt;=9*10^8),INDEX(t!$D$3:$D$6,MATCH(TRUE,W13&lt;=t!$A$3:$A$6,0)),INDEX(t!$B$3:$B$6,MATCH(TRUE,W13&lt;=t!$A$3:$A$6,0)))</f>
        <v>2.5000000000000001E-3</v>
      </c>
      <c r="X14" s="14">
        <f t="array" ref="X14">INDEX(t!$B$3:$B$6,MATCH(TRUE,X13&lt;=t!$A$3:$A$6,0))</f>
        <v>4.0000000000000001E-3</v>
      </c>
      <c r="Y14" s="14">
        <v>2.5000000000000001E-3</v>
      </c>
      <c r="Z14" s="14">
        <v>2E-3</v>
      </c>
      <c r="AB14" s="320" t="s">
        <v>90</v>
      </c>
      <c r="AC14" s="212">
        <f t="array" ref="AC14">IF(AND(AC10="1세대1주택",AC11&lt;=9*10^8),INDEX(t!$D$3:$D$6,MATCH(TRUE,AC13&lt;=t!$A$3:$A$6,0)),INDEX(t!$B$3:$B$6,MATCH(TRUE,AC13&lt;=t!$A$3:$A$6,0)))</f>
        <v>1E-3</v>
      </c>
      <c r="AD14" s="14">
        <f t="array" ref="AD14">IF(AND(AD10="1세대1주택",AD11&lt;=9*10^8),INDEX(t!$D$3:$D$6,MATCH(TRUE,AD13&lt;=t!$A$3:$A$6,0)),INDEX(t!$B$3:$B$6,MATCH(TRUE,AD13&lt;=t!$A$3:$A$6,0)))</f>
        <v>4.0000000000000001E-3</v>
      </c>
      <c r="AE14" s="14">
        <f t="array" ref="AE14">IF(AND(AE10="1세대1주택",AE11&lt;=9*10^8),INDEX(t!$D$3:$D$6,MATCH(TRUE,AE13&lt;=t!$A$3:$A$6,0)),INDEX(t!$B$3:$B$6,MATCH(TRUE,AE13&lt;=t!$A$3:$A$6,0)))</f>
        <v>4.0000000000000001E-3</v>
      </c>
      <c r="AF14" s="14">
        <f t="array" ref="AF14">IF(AND(AF10="1세대1주택",AF11&lt;=9*10^8),INDEX(t!$D$3:$D$6,MATCH(TRUE,AF13&lt;=t!$A$3:$A$6,0)),INDEX(t!$B$3:$B$6,MATCH(TRUE,AF13&lt;=t!$A$3:$A$6,0)))</f>
        <v>4.0000000000000001E-3</v>
      </c>
      <c r="AG14" s="14">
        <f t="array" ref="AG14">INDEX(t!$B$3:$B$6,MATCH(TRUE,AG13&lt;=t!$A$3:$A$6,0))</f>
        <v>4.0000000000000001E-3</v>
      </c>
      <c r="AH14" s="14">
        <v>2.5000000000000001E-3</v>
      </c>
      <c r="AI14" s="14">
        <v>2E-3</v>
      </c>
      <c r="AK14" s="320" t="s">
        <v>90</v>
      </c>
      <c r="AL14" s="212">
        <f t="array" ref="AL14">IF(AND(AL10="1세대1주택",AL11&lt;=9*10^8),INDEX(t!$D$3:$D$6,MATCH(TRUE,AL13&lt;=t!$A$3:$A$6,0)),INDEX(t!$B$3:$B$6,MATCH(TRUE,AL13&lt;=t!$A$3:$A$6,0)))</f>
        <v>1E-3</v>
      </c>
      <c r="AM14" s="14">
        <f t="array" ref="AM14">IF(AND(AM10="1세대1주택",AM11&lt;=9*10^8),INDEX(t!$D$3:$D$6,MATCH(TRUE,AM13&lt;=t!$A$3:$A$6,0)),INDEX(t!$B$3:$B$6,MATCH(TRUE,AM13&lt;=t!$A$3:$A$6,0)))</f>
        <v>4.0000000000000001E-3</v>
      </c>
      <c r="AN14" s="14">
        <f t="array" ref="AN14">IF(AND(AN10="1세대1주택",AN11&lt;=9*10^8),INDEX(t!$D$3:$D$6,MATCH(TRUE,AN13&lt;=t!$A$3:$A$6,0)),INDEX(t!$B$3:$B$6,MATCH(TRUE,AN13&lt;=t!$A$3:$A$6,0)))</f>
        <v>4.0000000000000001E-3</v>
      </c>
      <c r="AO14" s="14">
        <f t="array" ref="AO14">IF(AND(AO10="1세대1주택",AO11&lt;=9*10^8),INDEX(t!$D$3:$D$6,MATCH(TRUE,AO13&lt;=t!$A$3:$A$6,0)),INDEX(t!$B$3:$B$6,MATCH(TRUE,AO13&lt;=t!$A$3:$A$6,0)))</f>
        <v>4.0000000000000001E-3</v>
      </c>
      <c r="AP14" s="14">
        <f t="array" ref="AP14">INDEX(t!$B$3:$B$6,MATCH(TRUE,AP13&lt;=t!$A$3:$A$6,0))</f>
        <v>4.0000000000000001E-3</v>
      </c>
      <c r="AQ14" s="14">
        <v>2.5000000000000001E-3</v>
      </c>
      <c r="AR14" s="14">
        <v>2E-3</v>
      </c>
    </row>
    <row r="15" spans="1:44" ht="16.5" customHeight="1" thickBot="1">
      <c r="A15" s="199" t="s">
        <v>64</v>
      </c>
      <c r="B15" s="64">
        <f>B13*B14-VLOOKUP(B14,IF(AND(B10="1세대1주택",B11&lt;=9*10^8),t!$D$2:$E$6,t!$B$2:$C$6),2,0)</f>
        <v>1581840</v>
      </c>
      <c r="C15" s="64">
        <f>C13*C14-VLOOKUP(C14,IF(AND(C10="1세대1주택",C11&lt;=9*10^8),t!$D$2:$E$6,t!$B$2:$C$6),2,0)</f>
        <v>4170000</v>
      </c>
      <c r="D15" s="64">
        <f>D13*D14-VLOOKUP(D14,IF(AND(D10="1세대1주택",D11&lt;=9*10^8),t!$D$2:$E$6,t!$B$2:$C$6),2,0)</f>
        <v>1050000</v>
      </c>
      <c r="E15" s="64">
        <f>E13*E14-VLOOKUP(E14,IF(AND(E10="1세대1주택",E11&lt;=9*10^8),t!$D$2:$E$6,t!$B$2:$C$6),2,0)</f>
        <v>420000</v>
      </c>
      <c r="F15" s="64">
        <f>F13*F14-VLOOKUP(F14,IF(F10="1세대1주택",t!$D$2:$E$6,t!$B$2:$C$6),2,0)</f>
        <v>17926800</v>
      </c>
      <c r="G15" s="64">
        <f>G13*0.25%</f>
        <v>525000</v>
      </c>
      <c r="H15" s="64">
        <f>H13*0.25%</f>
        <v>0</v>
      </c>
      <c r="I15" s="3"/>
      <c r="J15" s="230" t="s">
        <v>64</v>
      </c>
      <c r="K15" s="231">
        <f>K13*K14-VLOOKUP(K14,IF(AND(K10="1세대1주택",K11&lt;=9*10^8),t!$D$2:$E$6,t!$B$2:$C$6),2,0)</f>
        <v>0</v>
      </c>
      <c r="L15" s="64">
        <f>L13*L14-VLOOKUP(L14,IF(AND(L10="1세대1주택",L11&lt;=9*10^8),t!$D$2:$E$6,t!$B$2:$C$6),2,0)</f>
        <v>4446000</v>
      </c>
      <c r="M15" s="64">
        <f>M13*M14-VLOOKUP(M14,IF(AND(M10="1세대1주택",M11&lt;=9*10^8),t!$D$2:$E$6,t!$B$2:$C$6),2,0)</f>
        <v>1146600</v>
      </c>
      <c r="N15" s="64">
        <f>N13*N14-VLOOKUP(N14,IF(AND(N10="1세대1주택",N11&lt;=9*10^8),t!$D$2:$E$6,t!$B$2:$C$6),2,0)</f>
        <v>454500</v>
      </c>
      <c r="O15" s="64">
        <f>O13*O14-VLOOKUP(O14,IF(O10="1세대1주택",t!$D$2:$E$6,t!$B$2:$C$6),2,0)</f>
        <v>7926000</v>
      </c>
      <c r="P15" s="64">
        <f>P13*0.25%</f>
        <v>603749.99999999988</v>
      </c>
      <c r="Q15" s="64">
        <f>Q13*0.25%</f>
        <v>0</v>
      </c>
      <c r="S15" s="320" t="s">
        <v>64</v>
      </c>
      <c r="T15" s="231">
        <f>T13*T14-VLOOKUP(T14,IF(AND(T10="1세대1주택",T11&lt;=9*10^8),t!$D$2:$E$6,t!$B$2:$C$6),2,0)</f>
        <v>0</v>
      </c>
      <c r="U15" s="64">
        <f>U13*U14-VLOOKUP(U14,IF(AND(U10="1세대1주택",U11&lt;=9*10^8),t!$D$2:$E$6,t!$B$2:$C$6),2,0)</f>
        <v>5207400</v>
      </c>
      <c r="V15" s="64">
        <f>V13*V14-VLOOKUP(V14,IF(AND(V10="1세대1주택",V11&lt;=9*10^8),t!$D$2:$E$6,t!$B$2:$C$6),2,0)</f>
        <v>1413089.9999999995</v>
      </c>
      <c r="W15" s="64">
        <f>W13*W14-VLOOKUP(W14,IF(AND(W10="1세대1주택",W11&lt;=9*10^8),t!$D$2:$E$6,t!$B$2:$C$6),2,0)</f>
        <v>549674.99999999988</v>
      </c>
      <c r="X15" s="64">
        <f>X13*X14-VLOOKUP(X14,IF(X10="1세대1주택",t!$D$2:$E$6,t!$B$2:$C$6),2,0)</f>
        <v>9209400</v>
      </c>
      <c r="Y15" s="64">
        <f>Y13*0.25%</f>
        <v>694312.49999999988</v>
      </c>
      <c r="Z15" s="64">
        <f>Z13*0.25%</f>
        <v>0</v>
      </c>
      <c r="AB15" s="320" t="s">
        <v>64</v>
      </c>
      <c r="AC15" s="231">
        <f>AC13*AC14-VLOOKUP(AC14,IF(AND(AC10="1세대1주택",AC11&lt;=9*10^8),t!$D$2:$E$6,t!$B$2:$C$6),2,0)</f>
        <v>0</v>
      </c>
      <c r="AD15" s="64">
        <f>AD13*AD14-VLOOKUP(AD14,IF(AND(AD10="1세대1주택",AD11&lt;=9*10^8),t!$D$2:$E$6,t!$B$2:$C$6),2,0)</f>
        <v>6083010</v>
      </c>
      <c r="AE15" s="64">
        <f>AE13*AE14-VLOOKUP(AE14,IF(AND(AE10="1세대1주택",AE11&lt;=9*10^8),t!$D$2:$E$6,t!$B$2:$C$6),2,0)</f>
        <v>1719553.4999999995</v>
      </c>
      <c r="AF15" s="64">
        <f>AF13*AF14-VLOOKUP(AF14,IF(AND(AF10="1세대1주택",AF11&lt;=9*10^8),t!$D$2:$E$6,t!$B$2:$C$6),2,0)</f>
        <v>712601.99999999977</v>
      </c>
      <c r="AG15" s="64">
        <f>AG13*AG14-VLOOKUP(AG14,IF(AG10="1세대1주택",t!$D$2:$E$6,t!$B$2:$C$6),2,0)</f>
        <v>10685309.999999998</v>
      </c>
      <c r="AH15" s="64">
        <f>AH13*0.25%</f>
        <v>798459.37499999977</v>
      </c>
      <c r="AI15" s="64">
        <f>AI13*0.25%</f>
        <v>0</v>
      </c>
      <c r="AK15" s="320" t="s">
        <v>64</v>
      </c>
      <c r="AL15" s="231">
        <f>AL13*AL14-VLOOKUP(AL14,IF(AND(AL10="1세대1주택",AL11&lt;=9*10^8),t!$D$2:$E$6,t!$B$2:$C$6),2,0)</f>
        <v>0</v>
      </c>
      <c r="AM15" s="64">
        <f>AM13*AM14-VLOOKUP(AM14,IF(AND(AM10="1세대1주택",AM11&lt;=9*10^8),t!$D$2:$E$6,t!$B$2:$C$6),2,0)</f>
        <v>7089961.5</v>
      </c>
      <c r="AN15" s="64">
        <f>AN13*AN14-VLOOKUP(AN14,IF(AND(AN10="1세대1주택",AN11&lt;=9*10^8),t!$D$2:$E$6,t!$B$2:$C$6),2,0)</f>
        <v>2071986.524999999</v>
      </c>
      <c r="AO15" s="64">
        <f>AO13*AO14-VLOOKUP(AO14,IF(AND(AO10="1세대1주택",AO11&lt;=9*10^8),t!$D$2:$E$6,t!$B$2:$C$6),2,0)</f>
        <v>913992.29999999935</v>
      </c>
      <c r="AP15" s="64">
        <f>AP13*AP14-VLOOKUP(AP14,IF(AP10="1세대1주택",t!$D$2:$E$6,t!$B$2:$C$6),2,0)</f>
        <v>12382606.499999998</v>
      </c>
      <c r="AQ15" s="64">
        <f>AQ13*0.25%</f>
        <v>918228.28124999977</v>
      </c>
      <c r="AR15" s="64">
        <f>AR13*0.25%</f>
        <v>0</v>
      </c>
    </row>
    <row r="16" spans="1:44" ht="16.5" customHeight="1" thickBot="1">
      <c r="A16" s="200" t="s">
        <v>93</v>
      </c>
      <c r="B16" s="223">
        <f t="shared" ref="B16:E16" si="10">B15</f>
        <v>1581840</v>
      </c>
      <c r="C16" s="223">
        <f t="shared" si="10"/>
        <v>4170000</v>
      </c>
      <c r="D16" s="223">
        <f t="shared" si="10"/>
        <v>1050000</v>
      </c>
      <c r="E16" s="223">
        <f t="shared" si="10"/>
        <v>420000</v>
      </c>
      <c r="F16" s="223">
        <f>SUM(B16:E16)</f>
        <v>7221840</v>
      </c>
      <c r="G16" s="223">
        <f t="shared" ref="G16:H16" si="11">MIN(G15,G24*150%)</f>
        <v>525000</v>
      </c>
      <c r="H16" s="223">
        <f t="shared" si="11"/>
        <v>0</v>
      </c>
      <c r="I16" s="15"/>
      <c r="J16" s="232" t="s">
        <v>93</v>
      </c>
      <c r="K16" s="213">
        <f t="shared" ref="K16:N16" si="12">K15</f>
        <v>0</v>
      </c>
      <c r="L16" s="65">
        <f t="shared" si="12"/>
        <v>4446000</v>
      </c>
      <c r="M16" s="65">
        <f t="shared" si="12"/>
        <v>1146600</v>
      </c>
      <c r="N16" s="65">
        <f t="shared" si="12"/>
        <v>454500</v>
      </c>
      <c r="O16" s="65">
        <f>SUM(K16:N16)</f>
        <v>6047100</v>
      </c>
      <c r="P16" s="223">
        <f t="shared" ref="P16:Q16" si="13">MIN(P15,P24*150%)</f>
        <v>603749.99999999988</v>
      </c>
      <c r="Q16" s="223">
        <f t="shared" si="13"/>
        <v>0</v>
      </c>
      <c r="S16" s="200" t="s">
        <v>93</v>
      </c>
      <c r="T16" s="326">
        <f t="shared" ref="T16:W16" si="14">T15</f>
        <v>0</v>
      </c>
      <c r="U16" s="223">
        <f t="shared" si="14"/>
        <v>5207400</v>
      </c>
      <c r="V16" s="223">
        <f t="shared" si="14"/>
        <v>1413089.9999999995</v>
      </c>
      <c r="W16" s="223">
        <f t="shared" si="14"/>
        <v>549674.99999999988</v>
      </c>
      <c r="X16" s="223">
        <f>SUM(T16:W16)</f>
        <v>7170165</v>
      </c>
      <c r="Y16" s="223">
        <f t="shared" ref="Y16:Z16" si="15">MIN(Y15,Y24*150%)</f>
        <v>694312.49999999988</v>
      </c>
      <c r="Z16" s="223">
        <f t="shared" si="15"/>
        <v>0</v>
      </c>
      <c r="AB16" s="200" t="s">
        <v>93</v>
      </c>
      <c r="AC16" s="326">
        <f t="shared" ref="AC16:AF16" si="16">AC15</f>
        <v>0</v>
      </c>
      <c r="AD16" s="223">
        <f t="shared" si="16"/>
        <v>6083010</v>
      </c>
      <c r="AE16" s="223">
        <f t="shared" si="16"/>
        <v>1719553.4999999995</v>
      </c>
      <c r="AF16" s="223">
        <f t="shared" si="16"/>
        <v>712601.99999999977</v>
      </c>
      <c r="AG16" s="223">
        <f>SUM(AC16:AF16)</f>
        <v>8515165.5</v>
      </c>
      <c r="AH16" s="223">
        <f t="shared" ref="AH16:AI16" si="17">MIN(AH15,AH24*150%)</f>
        <v>798459.37499999977</v>
      </c>
      <c r="AI16" s="223">
        <f t="shared" si="17"/>
        <v>0</v>
      </c>
      <c r="AK16" s="200" t="s">
        <v>93</v>
      </c>
      <c r="AL16" s="326">
        <f t="shared" ref="AL16:AO16" si="18">AL15</f>
        <v>0</v>
      </c>
      <c r="AM16" s="223">
        <f t="shared" si="18"/>
        <v>7089961.5</v>
      </c>
      <c r="AN16" s="223">
        <f t="shared" si="18"/>
        <v>2071986.524999999</v>
      </c>
      <c r="AO16" s="223">
        <f t="shared" si="18"/>
        <v>913992.29999999935</v>
      </c>
      <c r="AP16" s="223">
        <f>SUM(AL16:AO16)</f>
        <v>10075940.324999997</v>
      </c>
      <c r="AQ16" s="223">
        <f t="shared" ref="AQ16:AR16" si="19">MIN(AQ15,AQ24*150%)</f>
        <v>918228.28124999977</v>
      </c>
      <c r="AR16" s="223">
        <f t="shared" si="19"/>
        <v>0</v>
      </c>
    </row>
    <row r="17" spans="1:44" ht="16.5" customHeight="1">
      <c r="A17" s="201" t="s">
        <v>94</v>
      </c>
      <c r="B17" s="66">
        <f t="shared" ref="B17:E17" si="20">B$13*0.14%</f>
        <v>774144.00000000012</v>
      </c>
      <c r="C17" s="66">
        <f t="shared" si="20"/>
        <v>1680000.0000000002</v>
      </c>
      <c r="D17" s="66">
        <f t="shared" si="20"/>
        <v>588000.00000000012</v>
      </c>
      <c r="E17" s="66">
        <f t="shared" si="20"/>
        <v>336000.00000000006</v>
      </c>
      <c r="F17" s="222"/>
      <c r="G17" s="66">
        <f t="shared" ref="G17:H17" si="21">G$13*0.14%</f>
        <v>294000.00000000006</v>
      </c>
      <c r="H17" s="66">
        <f t="shared" si="21"/>
        <v>0</v>
      </c>
      <c r="I17" s="3"/>
      <c r="J17" s="233" t="s">
        <v>94</v>
      </c>
      <c r="K17" s="214">
        <f t="shared" ref="K17:N17" si="22">K$13*0.14%</f>
        <v>0</v>
      </c>
      <c r="L17" s="67">
        <f t="shared" si="22"/>
        <v>1776600.0000000002</v>
      </c>
      <c r="M17" s="67">
        <f t="shared" si="22"/>
        <v>621810.00000000012</v>
      </c>
      <c r="N17" s="67">
        <f t="shared" si="22"/>
        <v>355320.00000000006</v>
      </c>
      <c r="O17" s="222"/>
      <c r="P17" s="66">
        <f t="shared" ref="P17:Q17" si="23">P$13*0.14%</f>
        <v>338100</v>
      </c>
      <c r="Q17" s="66">
        <f t="shared" si="23"/>
        <v>0</v>
      </c>
      <c r="S17" s="324" t="s">
        <v>94</v>
      </c>
      <c r="T17" s="325">
        <f t="shared" ref="T17:W17" si="24">T$13*0.14%</f>
        <v>0</v>
      </c>
      <c r="U17" s="66">
        <f t="shared" si="24"/>
        <v>2043090.0000000002</v>
      </c>
      <c r="V17" s="66">
        <f t="shared" si="24"/>
        <v>715081.49999999988</v>
      </c>
      <c r="W17" s="66">
        <f t="shared" si="24"/>
        <v>408618</v>
      </c>
      <c r="X17" s="222"/>
      <c r="Y17" s="66">
        <f t="shared" ref="Y17:Z17" si="25">Y$13*0.14%</f>
        <v>388815</v>
      </c>
      <c r="Z17" s="66">
        <f t="shared" si="25"/>
        <v>0</v>
      </c>
      <c r="AB17" s="324" t="s">
        <v>94</v>
      </c>
      <c r="AC17" s="325">
        <f t="shared" ref="AC17:AF17" si="26">AC$13*0.14%</f>
        <v>0</v>
      </c>
      <c r="AD17" s="66">
        <f t="shared" si="26"/>
        <v>2349553.5000000005</v>
      </c>
      <c r="AE17" s="66">
        <f t="shared" si="26"/>
        <v>822343.72499999998</v>
      </c>
      <c r="AF17" s="66">
        <f t="shared" si="26"/>
        <v>469910.7</v>
      </c>
      <c r="AG17" s="222"/>
      <c r="AH17" s="66">
        <f t="shared" ref="AH17:AI17" si="27">AH$13*0.14%</f>
        <v>447137.24999999988</v>
      </c>
      <c r="AI17" s="66">
        <f t="shared" si="27"/>
        <v>0</v>
      </c>
      <c r="AK17" s="324" t="s">
        <v>94</v>
      </c>
      <c r="AL17" s="325">
        <f t="shared" ref="AL17:AO17" si="28">AL$13*0.14%</f>
        <v>0</v>
      </c>
      <c r="AM17" s="66">
        <f t="shared" si="28"/>
        <v>2701986.5250000004</v>
      </c>
      <c r="AN17" s="66">
        <f t="shared" si="28"/>
        <v>945695.28374999983</v>
      </c>
      <c r="AO17" s="66">
        <f t="shared" si="28"/>
        <v>540397.30499999982</v>
      </c>
      <c r="AP17" s="222"/>
      <c r="AQ17" s="66">
        <f t="shared" ref="AQ17:AR17" si="29">AQ$13*0.14%</f>
        <v>514207.83749999991</v>
      </c>
      <c r="AR17" s="66">
        <f t="shared" si="29"/>
        <v>0</v>
      </c>
    </row>
    <row r="18" spans="1:44" ht="16.5" customHeight="1">
      <c r="A18" s="357" t="s">
        <v>95</v>
      </c>
      <c r="B18" s="225"/>
      <c r="C18" s="225"/>
      <c r="D18" s="225"/>
      <c r="E18" s="225"/>
      <c r="F18" s="224"/>
      <c r="G18" s="22">
        <f>IF(G13&lt;=6000000,
 G13*0.04%,
 IF(G13&lt;=13000000,
  2400+(G13-6000000)*0.05%,
  IF(G13&lt;=26000000,
   5900+(G13-13000000)*0.06%,
   IF(G13&lt;=39000000,
    13700+(G13-26000000)*0.08%,
    IF(G13&lt;=64000000,
     24100+(G13-39000000)*0.1%,
     49100+(G13-64000000)*0.12%
    )
   )
  )
 )
)</f>
        <v>224299.99999999997</v>
      </c>
      <c r="H18" s="68"/>
      <c r="I18" s="3"/>
      <c r="J18" s="197" t="s">
        <v>95</v>
      </c>
      <c r="K18" s="215"/>
      <c r="L18" s="68"/>
      <c r="M18" s="68"/>
      <c r="N18" s="68"/>
      <c r="O18" s="224"/>
      <c r="P18" s="22">
        <f>IF(P13&lt;=6000000,
 P13*0.04%,
 IF(P13&lt;=13000000,
  2400+(P13-6000000)*0.05%,
  IF(P13&lt;=26000000,
   5900+(P13-13000000)*0.06%,
   IF(P13&lt;=39000000,
    13700+(P13-26000000)*0.08%,
    IF(P13&lt;=64000000,
     24100+(P13-39000000)*0.1%,
     49100+(P13-64000000)*0.12%
    )
   )
  )
 )
)</f>
        <v>262099.99999999994</v>
      </c>
      <c r="Q18" s="68"/>
      <c r="S18" s="321" t="s">
        <v>95</v>
      </c>
      <c r="T18" s="215"/>
      <c r="U18" s="68"/>
      <c r="V18" s="68"/>
      <c r="W18" s="68"/>
      <c r="X18" s="224"/>
      <c r="Y18" s="22">
        <f>IF(Y13&lt;=6000000,
 Y13*0.04%,
 IF(Y13&lt;=13000000,
  2400+(Y13-6000000)*0.05%,
  IF(Y13&lt;=26000000,
   5900+(Y13-13000000)*0.06%,
   IF(Y13&lt;=39000000,
    13700+(Y13-26000000)*0.08%,
    IF(Y13&lt;=64000000,
     24100+(Y13-39000000)*0.1%,
     49100+(Y13-64000000)*0.12%
    )
   )
  )
 )
)</f>
        <v>305569.99999999988</v>
      </c>
      <c r="Z18" s="68"/>
      <c r="AB18" s="321" t="s">
        <v>95</v>
      </c>
      <c r="AC18" s="215"/>
      <c r="AD18" s="68"/>
      <c r="AE18" s="68"/>
      <c r="AF18" s="68"/>
      <c r="AG18" s="224"/>
      <c r="AH18" s="22">
        <f>IF(AH13&lt;=6000000,
 AH13*0.04%,
 IF(AH13&lt;=13000000,
  2400+(AH13-6000000)*0.05%,
  IF(AH13&lt;=26000000,
   5900+(AH13-13000000)*0.06%,
   IF(AH13&lt;=39000000,
    13700+(AH13-26000000)*0.08%,
    IF(AH13&lt;=64000000,
     24100+(AH13-39000000)*0.1%,
     49100+(AH13-64000000)*0.12%
    )
   )
  )
 )
)</f>
        <v>355560.49999999983</v>
      </c>
      <c r="AI18" s="68"/>
      <c r="AK18" s="321" t="s">
        <v>95</v>
      </c>
      <c r="AL18" s="215"/>
      <c r="AM18" s="68"/>
      <c r="AN18" s="68"/>
      <c r="AO18" s="68"/>
      <c r="AP18" s="224"/>
      <c r="AQ18" s="22">
        <f>IF(AQ13&lt;=6000000,
 AQ13*0.04%,
 IF(AQ13&lt;=13000000,
  2400+(AQ13-6000000)*0.05%,
  IF(AQ13&lt;=26000000,
   5900+(AQ13-13000000)*0.06%,
   IF(AQ13&lt;=39000000,
    13700+(AQ13-26000000)*0.08%,
    IF(AQ13&lt;=64000000,
     24100+(AQ13-39000000)*0.1%,
     49100+(AQ13-64000000)*0.12%
    )
   )
  )
 )
)</f>
        <v>413049.57499999984</v>
      </c>
      <c r="AR18" s="68"/>
    </row>
    <row r="19" spans="1:44" ht="16.5" customHeight="1" thickBot="1">
      <c r="A19" s="310" t="s">
        <v>34</v>
      </c>
      <c r="B19" s="311">
        <f t="shared" ref="B19:E19" si="30">B$16*0.2</f>
        <v>316368</v>
      </c>
      <c r="C19" s="311">
        <f t="shared" si="30"/>
        <v>834000</v>
      </c>
      <c r="D19" s="311">
        <f t="shared" si="30"/>
        <v>210000</v>
      </c>
      <c r="E19" s="311">
        <f t="shared" si="30"/>
        <v>84000</v>
      </c>
      <c r="F19" s="312"/>
      <c r="G19" s="311">
        <f t="shared" ref="G19:H19" si="31">G$16*0.2</f>
        <v>105000</v>
      </c>
      <c r="H19" s="311">
        <f t="shared" si="31"/>
        <v>0</v>
      </c>
      <c r="I19" s="3"/>
      <c r="J19" s="234" t="s">
        <v>34</v>
      </c>
      <c r="K19" s="216">
        <f t="shared" ref="K19:N19" si="32">K$16*0.2</f>
        <v>0</v>
      </c>
      <c r="L19" s="70">
        <f t="shared" si="32"/>
        <v>889200</v>
      </c>
      <c r="M19" s="70">
        <f t="shared" si="32"/>
        <v>229320</v>
      </c>
      <c r="N19" s="70">
        <f t="shared" si="32"/>
        <v>90900</v>
      </c>
      <c r="O19" s="226"/>
      <c r="P19" s="70">
        <f t="shared" ref="P19:Q19" si="33">P$16*0.2</f>
        <v>120749.99999999999</v>
      </c>
      <c r="Q19" s="70">
        <f t="shared" si="33"/>
        <v>0</v>
      </c>
      <c r="S19" s="322" t="s">
        <v>34</v>
      </c>
      <c r="T19" s="216">
        <f t="shared" ref="T19:W19" si="34">T$16*0.2</f>
        <v>0</v>
      </c>
      <c r="U19" s="70">
        <f t="shared" si="34"/>
        <v>1041480</v>
      </c>
      <c r="V19" s="70">
        <f t="shared" si="34"/>
        <v>282617.99999999994</v>
      </c>
      <c r="W19" s="70">
        <f t="shared" si="34"/>
        <v>109934.99999999999</v>
      </c>
      <c r="X19" s="226"/>
      <c r="Y19" s="70">
        <f t="shared" ref="Y19:Z19" si="35">Y$16*0.2</f>
        <v>138862.49999999997</v>
      </c>
      <c r="Z19" s="70">
        <f t="shared" si="35"/>
        <v>0</v>
      </c>
      <c r="AB19" s="322" t="s">
        <v>34</v>
      </c>
      <c r="AC19" s="216">
        <f t="shared" ref="AC19:AF19" si="36">AC$16*0.2</f>
        <v>0</v>
      </c>
      <c r="AD19" s="70">
        <f t="shared" si="36"/>
        <v>1216602</v>
      </c>
      <c r="AE19" s="70">
        <f t="shared" si="36"/>
        <v>343910.69999999995</v>
      </c>
      <c r="AF19" s="70">
        <f t="shared" si="36"/>
        <v>142520.39999999997</v>
      </c>
      <c r="AG19" s="226"/>
      <c r="AH19" s="70">
        <f t="shared" ref="AH19:AI19" si="37">AH$16*0.2</f>
        <v>159691.87499999997</v>
      </c>
      <c r="AI19" s="70">
        <f t="shared" si="37"/>
        <v>0</v>
      </c>
      <c r="AK19" s="322" t="s">
        <v>34</v>
      </c>
      <c r="AL19" s="216">
        <f t="shared" ref="AL19:AO19" si="38">AL$16*0.2</f>
        <v>0</v>
      </c>
      <c r="AM19" s="70">
        <f t="shared" si="38"/>
        <v>1417992.3</v>
      </c>
      <c r="AN19" s="70">
        <f t="shared" si="38"/>
        <v>414397.30499999982</v>
      </c>
      <c r="AO19" s="70">
        <f t="shared" si="38"/>
        <v>182798.45999999988</v>
      </c>
      <c r="AP19" s="226"/>
      <c r="AQ19" s="70">
        <f t="shared" ref="AQ19:AR19" si="39">AQ$16*0.2</f>
        <v>183645.65624999997</v>
      </c>
      <c r="AR19" s="70">
        <f t="shared" si="39"/>
        <v>0</v>
      </c>
    </row>
    <row r="20" spans="1:44" ht="16.5" customHeight="1" thickTop="1">
      <c r="A20" s="3" t="s">
        <v>315</v>
      </c>
      <c r="B20" s="170">
        <f t="shared" ref="B20:E20" si="40">SUM(B16:B19)</f>
        <v>2672352</v>
      </c>
      <c r="C20" s="170">
        <f t="shared" si="40"/>
        <v>6684000</v>
      </c>
      <c r="D20" s="170">
        <f t="shared" si="40"/>
        <v>1848000</v>
      </c>
      <c r="E20" s="170">
        <f t="shared" si="40"/>
        <v>840000</v>
      </c>
      <c r="F20" s="309"/>
      <c r="G20" s="170">
        <f t="shared" ref="G20:H20" si="41">SUM(G16:G19)</f>
        <v>1148300</v>
      </c>
      <c r="H20" s="170">
        <f t="shared" si="41"/>
        <v>0</v>
      </c>
      <c r="I20" s="3"/>
      <c r="J20" s="235" t="s">
        <v>96</v>
      </c>
      <c r="K20" s="217">
        <f t="shared" ref="K20:N20" si="42">SUM(K16:K19)</f>
        <v>0</v>
      </c>
      <c r="L20" s="218">
        <f t="shared" si="42"/>
        <v>7111800</v>
      </c>
      <c r="M20" s="218">
        <f t="shared" si="42"/>
        <v>1997730</v>
      </c>
      <c r="N20" s="218">
        <f t="shared" si="42"/>
        <v>900720</v>
      </c>
      <c r="O20" s="222"/>
      <c r="P20" s="218">
        <f t="shared" ref="P20:Q20" si="43">SUM(P16:P19)</f>
        <v>1324699.9999999998</v>
      </c>
      <c r="Q20" s="218">
        <f t="shared" si="43"/>
        <v>0</v>
      </c>
      <c r="S20" s="323" t="s">
        <v>96</v>
      </c>
      <c r="T20" s="217">
        <f t="shared" ref="T20:W20" si="44">SUM(T16:T19)</f>
        <v>0</v>
      </c>
      <c r="U20" s="218">
        <f t="shared" si="44"/>
        <v>8291970</v>
      </c>
      <c r="V20" s="218">
        <f t="shared" si="44"/>
        <v>2410789.4999999995</v>
      </c>
      <c r="W20" s="218">
        <f t="shared" si="44"/>
        <v>1068227.9999999998</v>
      </c>
      <c r="X20" s="222"/>
      <c r="Y20" s="218">
        <f t="shared" ref="Y20:Z20" si="45">SUM(Y16:Y19)</f>
        <v>1527560</v>
      </c>
      <c r="Z20" s="218">
        <f t="shared" si="45"/>
        <v>0</v>
      </c>
      <c r="AB20" s="323" t="s">
        <v>96</v>
      </c>
      <c r="AC20" s="217">
        <f t="shared" ref="AC20:AF20" si="46">SUM(AC16:AC19)</f>
        <v>0</v>
      </c>
      <c r="AD20" s="218">
        <f t="shared" si="46"/>
        <v>9649165.5</v>
      </c>
      <c r="AE20" s="218">
        <f t="shared" si="46"/>
        <v>2885807.9249999998</v>
      </c>
      <c r="AF20" s="218">
        <f t="shared" si="46"/>
        <v>1325033.0999999996</v>
      </c>
      <c r="AG20" s="222"/>
      <c r="AH20" s="218">
        <f t="shared" ref="AH20:AI20" si="47">SUM(AH16:AH19)</f>
        <v>1760848.9999999993</v>
      </c>
      <c r="AI20" s="218">
        <f t="shared" si="47"/>
        <v>0</v>
      </c>
      <c r="AK20" s="323" t="s">
        <v>96</v>
      </c>
      <c r="AL20" s="217">
        <f t="shared" ref="AL20:AO20" si="48">SUM(AL16:AL19)</f>
        <v>0</v>
      </c>
      <c r="AM20" s="218">
        <f t="shared" si="48"/>
        <v>11209940.325000001</v>
      </c>
      <c r="AN20" s="218">
        <f t="shared" si="48"/>
        <v>3432079.1137499986</v>
      </c>
      <c r="AO20" s="218">
        <f t="shared" si="48"/>
        <v>1637188.064999999</v>
      </c>
      <c r="AP20" s="222"/>
      <c r="AQ20" s="218">
        <f t="shared" ref="AQ20:AR20" si="49">SUM(AQ16:AQ19)</f>
        <v>2029131.3499999996</v>
      </c>
      <c r="AR20" s="218">
        <f t="shared" si="49"/>
        <v>0</v>
      </c>
    </row>
    <row r="21" spans="1:44" ht="16.5" customHeight="1">
      <c r="B21" s="313"/>
      <c r="C21" s="313"/>
      <c r="D21" s="313"/>
      <c r="E21" s="313"/>
      <c r="F21" s="313"/>
      <c r="G21" s="313"/>
      <c r="H21" s="313"/>
      <c r="I21" s="3"/>
      <c r="J21" s="250" t="s">
        <v>172</v>
      </c>
      <c r="K21" s="313"/>
      <c r="L21" s="313"/>
      <c r="M21" s="313"/>
      <c r="N21" s="313"/>
      <c r="O21" s="313"/>
      <c r="P21" s="313"/>
      <c r="Q21" s="313"/>
      <c r="S21" s="250" t="s">
        <v>172</v>
      </c>
      <c r="T21" s="313"/>
      <c r="U21" s="313"/>
      <c r="V21" s="313"/>
      <c r="W21" s="313"/>
      <c r="X21" s="313"/>
      <c r="Y21" s="313"/>
      <c r="Z21" s="313"/>
      <c r="AB21" s="250" t="s">
        <v>172</v>
      </c>
      <c r="AC21" s="313"/>
      <c r="AD21" s="313"/>
      <c r="AE21" s="313"/>
      <c r="AF21" s="313"/>
      <c r="AG21" s="313"/>
      <c r="AH21" s="313"/>
      <c r="AI21" s="313"/>
      <c r="AK21" s="250" t="s">
        <v>172</v>
      </c>
      <c r="AL21" s="313"/>
      <c r="AM21" s="313"/>
      <c r="AN21" s="313"/>
      <c r="AO21" s="313"/>
      <c r="AP21" s="313"/>
      <c r="AQ21" s="313"/>
      <c r="AR21" s="313"/>
    </row>
    <row r="22" spans="1:44" ht="16.5" customHeight="1">
      <c r="A22" s="202"/>
      <c r="B22" s="3"/>
      <c r="C22" s="3"/>
      <c r="D22" s="3"/>
      <c r="E22" s="3"/>
      <c r="F22" s="71"/>
      <c r="G22" s="3"/>
      <c r="H22" s="3"/>
      <c r="I22" s="3"/>
      <c r="J22" s="202"/>
      <c r="K22" s="3"/>
      <c r="L22" s="3"/>
      <c r="M22" s="3"/>
      <c r="N22" s="3"/>
      <c r="O22" s="71"/>
      <c r="P22" s="3"/>
      <c r="Q22" s="3"/>
      <c r="S22" s="202"/>
      <c r="T22" s="3"/>
      <c r="U22" s="3"/>
      <c r="V22" s="3"/>
      <c r="W22" s="3"/>
      <c r="X22" s="71"/>
      <c r="Y22" s="3"/>
      <c r="Z22" s="3"/>
      <c r="AB22" s="202"/>
      <c r="AC22" s="3"/>
      <c r="AD22" s="3"/>
      <c r="AE22" s="3"/>
      <c r="AF22" s="3"/>
      <c r="AG22" s="71"/>
      <c r="AH22" s="3"/>
      <c r="AI22" s="3"/>
      <c r="AK22" s="202"/>
      <c r="AL22" s="3"/>
      <c r="AM22" s="3"/>
      <c r="AN22" s="3"/>
      <c r="AO22" s="3"/>
      <c r="AP22" s="71"/>
      <c r="AQ22" s="3"/>
      <c r="AR22" s="3"/>
    </row>
    <row r="23" spans="1:44" ht="16.5" customHeight="1">
      <c r="A23" s="241" t="s">
        <v>98</v>
      </c>
      <c r="B23" s="239">
        <v>690000000</v>
      </c>
      <c r="C23" s="239">
        <v>2000000000</v>
      </c>
      <c r="D23" s="190">
        <v>700000000</v>
      </c>
      <c r="E23" s="190">
        <v>400000000</v>
      </c>
      <c r="F23" s="22">
        <f t="shared" ref="F23:F24" si="50">SUM(B23:E23)</f>
        <v>3790000000</v>
      </c>
      <c r="G23" s="72">
        <v>153363459</v>
      </c>
      <c r="H23" s="107"/>
      <c r="I23" s="3"/>
      <c r="J23" s="197" t="s">
        <v>98</v>
      </c>
      <c r="K23" s="133">
        <f>B11</f>
        <v>4632000000</v>
      </c>
      <c r="L23" s="133">
        <f>C11</f>
        <v>2000000000</v>
      </c>
      <c r="M23" s="133">
        <f>D11</f>
        <v>700000000</v>
      </c>
      <c r="N23" s="133">
        <f>E11</f>
        <v>400000000</v>
      </c>
      <c r="O23" s="133">
        <f>SUM(K23:N23)</f>
        <v>7732000000</v>
      </c>
      <c r="P23" s="133">
        <f>G11</f>
        <v>300000000</v>
      </c>
      <c r="Q23" s="107"/>
      <c r="S23" s="197" t="s">
        <v>98</v>
      </c>
      <c r="T23" s="133">
        <f>K11</f>
        <v>0</v>
      </c>
      <c r="U23" s="133">
        <f>L11</f>
        <v>2300000000</v>
      </c>
      <c r="V23" s="133">
        <f>M11</f>
        <v>804999999.99999988</v>
      </c>
      <c r="W23" s="133">
        <f>N11</f>
        <v>459999999.99999994</v>
      </c>
      <c r="X23" s="133">
        <f t="shared" ref="X23:X24" si="51">SUM(T23:W23)</f>
        <v>3565000000</v>
      </c>
      <c r="Y23" s="133">
        <f>P11</f>
        <v>345000000</v>
      </c>
      <c r="Z23" s="107"/>
      <c r="AB23" s="197" t="s">
        <v>98</v>
      </c>
      <c r="AC23" s="133">
        <f>T11</f>
        <v>0</v>
      </c>
      <c r="AD23" s="133">
        <f>U11</f>
        <v>2645000000</v>
      </c>
      <c r="AE23" s="133">
        <f>V11</f>
        <v>925749999.99999976</v>
      </c>
      <c r="AF23" s="133">
        <f>W11</f>
        <v>528999999.99999988</v>
      </c>
      <c r="AG23" s="133">
        <f t="shared" ref="AG23:AG24" si="52">SUM(AC23:AF23)</f>
        <v>4099750000</v>
      </c>
      <c r="AH23" s="133">
        <f>Y11</f>
        <v>396749999.99999994</v>
      </c>
      <c r="AI23" s="107"/>
      <c r="AK23" s="197" t="s">
        <v>98</v>
      </c>
      <c r="AL23" s="133">
        <f>AC11</f>
        <v>0</v>
      </c>
      <c r="AM23" s="133">
        <f>AD11</f>
        <v>3041750000</v>
      </c>
      <c r="AN23" s="133">
        <f>AE11</f>
        <v>1064612499.9999996</v>
      </c>
      <c r="AO23" s="133">
        <f>AF11</f>
        <v>608349999.99999976</v>
      </c>
      <c r="AP23" s="133">
        <f t="shared" ref="AP23:AP24" si="53">SUM(AL23:AO23)</f>
        <v>4714712499.999999</v>
      </c>
      <c r="AQ23" s="133">
        <f>AH11</f>
        <v>456262499.99999988</v>
      </c>
      <c r="AR23" s="107"/>
    </row>
    <row r="24" spans="1:44" ht="16.5" customHeight="1">
      <c r="A24" s="241" t="s">
        <v>269</v>
      </c>
      <c r="B24" s="239">
        <v>471750</v>
      </c>
      <c r="C24" s="239">
        <v>1500000</v>
      </c>
      <c r="D24" s="190">
        <v>500000</v>
      </c>
      <c r="E24" s="190">
        <v>350000</v>
      </c>
      <c r="F24" s="22">
        <f t="shared" si="50"/>
        <v>2821750</v>
      </c>
      <c r="G24" s="72">
        <v>511066</v>
      </c>
      <c r="H24" s="107"/>
      <c r="I24" s="3"/>
      <c r="J24" s="197" t="s">
        <v>269</v>
      </c>
      <c r="K24" s="378"/>
      <c r="L24" s="133">
        <f>C16</f>
        <v>4170000</v>
      </c>
      <c r="M24" s="133">
        <f>D16</f>
        <v>1050000</v>
      </c>
      <c r="N24" s="133">
        <f>E16</f>
        <v>420000</v>
      </c>
      <c r="O24" s="133">
        <f>SUM(K24:N24)</f>
        <v>5640000</v>
      </c>
      <c r="P24" s="133">
        <f>G16</f>
        <v>525000</v>
      </c>
      <c r="Q24" s="107"/>
      <c r="S24" s="197" t="s">
        <v>269</v>
      </c>
      <c r="T24" s="133">
        <f>K16</f>
        <v>0</v>
      </c>
      <c r="U24" s="133">
        <f>L16</f>
        <v>4446000</v>
      </c>
      <c r="V24" s="133">
        <f>M16</f>
        <v>1146600</v>
      </c>
      <c r="W24" s="133">
        <f>N16</f>
        <v>454500</v>
      </c>
      <c r="X24" s="133">
        <f t="shared" si="51"/>
        <v>6047100</v>
      </c>
      <c r="Y24" s="133">
        <f>P16</f>
        <v>603749.99999999988</v>
      </c>
      <c r="Z24" s="107"/>
      <c r="AB24" s="197" t="s">
        <v>269</v>
      </c>
      <c r="AC24" s="133">
        <f>T16</f>
        <v>0</v>
      </c>
      <c r="AD24" s="133">
        <f>U16</f>
        <v>5207400</v>
      </c>
      <c r="AE24" s="133">
        <f>V16</f>
        <v>1413089.9999999995</v>
      </c>
      <c r="AF24" s="133">
        <f>W16</f>
        <v>549674.99999999988</v>
      </c>
      <c r="AG24" s="133">
        <f t="shared" si="52"/>
        <v>7170165</v>
      </c>
      <c r="AH24" s="133">
        <f>Y16</f>
        <v>694312.49999999988</v>
      </c>
      <c r="AI24" s="107"/>
      <c r="AK24" s="197" t="s">
        <v>269</v>
      </c>
      <c r="AL24" s="133">
        <f>AC16</f>
        <v>0</v>
      </c>
      <c r="AM24" s="133">
        <f>AD16</f>
        <v>6083010</v>
      </c>
      <c r="AN24" s="133">
        <f>AE16</f>
        <v>1719553.4999999995</v>
      </c>
      <c r="AO24" s="133">
        <f>AF16</f>
        <v>712601.99999999977</v>
      </c>
      <c r="AP24" s="133">
        <f t="shared" si="53"/>
        <v>8515165.5</v>
      </c>
      <c r="AQ24" s="133">
        <f>AH16</f>
        <v>798459.37499999977</v>
      </c>
      <c r="AR24" s="107"/>
    </row>
    <row r="25" spans="1:44" ht="16.5" customHeight="1">
      <c r="A25" s="241" t="s">
        <v>272</v>
      </c>
      <c r="B25" s="240"/>
      <c r="C25" s="204"/>
      <c r="D25" s="204"/>
      <c r="E25" s="204"/>
      <c r="F25" s="205">
        <v>16000000</v>
      </c>
      <c r="G25" s="68"/>
      <c r="H25" s="3"/>
      <c r="I25" s="3"/>
      <c r="J25" s="230" t="s">
        <v>272</v>
      </c>
      <c r="K25" s="238"/>
      <c r="L25" s="238"/>
      <c r="M25" s="238"/>
      <c r="N25" s="238"/>
      <c r="O25" s="133">
        <f>B53</f>
        <v>96153015.129058167</v>
      </c>
      <c r="P25" s="238"/>
      <c r="Q25" s="99"/>
      <c r="S25" s="230" t="s">
        <v>272</v>
      </c>
      <c r="T25" s="238"/>
      <c r="U25" s="238"/>
      <c r="V25" s="238"/>
      <c r="W25" s="238"/>
      <c r="X25" s="133">
        <f ca="1">HLOOKUP($C$4,$K$70:$N$85,14,0)+HLOOKUP($B$4,$K$40:$N$55,14,0)</f>
        <v>9031762.4253375977</v>
      </c>
      <c r="Y25" s="238"/>
      <c r="Z25" s="99"/>
      <c r="AB25" s="230" t="s">
        <v>272</v>
      </c>
      <c r="AC25" s="238"/>
      <c r="AD25" s="238"/>
      <c r="AE25" s="238"/>
      <c r="AF25" s="238"/>
      <c r="AG25" s="133">
        <f ca="1">HLOOKUP($C$4,$T$70:$W$85,14,0)+HLOOKUP($B$4,$T$40:$W$55,14,0)</f>
        <v>17203277.105731383</v>
      </c>
      <c r="AH25" s="238"/>
      <c r="AI25" s="99"/>
      <c r="AK25" s="230" t="s">
        <v>272</v>
      </c>
      <c r="AL25" s="238"/>
      <c r="AM25" s="238"/>
      <c r="AN25" s="238"/>
      <c r="AO25" s="238"/>
      <c r="AP25" s="133">
        <f ca="1">HLOOKUP($C$4,$AC$70:$AF$85,14,0)+HLOOKUP($B$4,$AC$40:$AF$55,14,0)</f>
        <v>23420184.655948251</v>
      </c>
      <c r="AQ25" s="238"/>
      <c r="AR25" s="99"/>
    </row>
    <row r="26" spans="1:44" ht="16.5" customHeight="1">
      <c r="A26" s="119" t="s">
        <v>270</v>
      </c>
      <c r="B26" s="240"/>
      <c r="C26" s="204"/>
      <c r="D26" s="204"/>
      <c r="E26" s="204"/>
      <c r="F26" s="133">
        <f>SUM(F24:F25)*150%</f>
        <v>28232625</v>
      </c>
      <c r="G26" s="3"/>
      <c r="H26" s="3"/>
      <c r="I26" s="3"/>
      <c r="J26" s="237" t="s">
        <v>270</v>
      </c>
      <c r="K26" s="238"/>
      <c r="L26" s="238"/>
      <c r="M26" s="238"/>
      <c r="N26" s="238"/>
      <c r="O26" s="258">
        <f>SUM(O24:O25)*200%</f>
        <v>203586030.25811633</v>
      </c>
      <c r="P26" s="238"/>
      <c r="Q26" s="99"/>
      <c r="S26" s="237" t="s">
        <v>270</v>
      </c>
      <c r="T26" s="238"/>
      <c r="U26" s="238"/>
      <c r="V26" s="238"/>
      <c r="W26" s="238"/>
      <c r="X26" s="258">
        <f ca="1">SUM(X24:X25)*200%</f>
        <v>30157724.850675195</v>
      </c>
      <c r="Y26" s="238"/>
      <c r="Z26" s="99"/>
      <c r="AB26" s="237" t="s">
        <v>270</v>
      </c>
      <c r="AC26" s="238"/>
      <c r="AD26" s="238"/>
      <c r="AE26" s="238"/>
      <c r="AF26" s="238"/>
      <c r="AG26" s="258">
        <f ca="1">SUM(AG24:AG25)*200%</f>
        <v>48746884.211462766</v>
      </c>
      <c r="AH26" s="238"/>
      <c r="AI26" s="99"/>
      <c r="AK26" s="237" t="s">
        <v>270</v>
      </c>
      <c r="AL26" s="238"/>
      <c r="AM26" s="238"/>
      <c r="AN26" s="238"/>
      <c r="AO26" s="238"/>
      <c r="AP26" s="258">
        <f ca="1">SUM(AP24:AP25)*200%</f>
        <v>63870700.311896503</v>
      </c>
      <c r="AQ26" s="238"/>
      <c r="AR26" s="99"/>
    </row>
    <row r="27" spans="1:44" ht="16.5" customHeight="1">
      <c r="A27" s="202"/>
      <c r="B27" s="15"/>
      <c r="C27" s="3"/>
      <c r="D27" s="3"/>
      <c r="E27" s="3"/>
      <c r="F27" s="3"/>
      <c r="G27" s="17"/>
      <c r="H27" s="3"/>
      <c r="I27" s="3"/>
      <c r="J27" s="236"/>
      <c r="K27" s="3"/>
      <c r="L27" s="3"/>
      <c r="M27" s="3"/>
      <c r="N27" s="3"/>
      <c r="O27" s="3"/>
      <c r="P27" s="17"/>
      <c r="Q27" s="17"/>
      <c r="S27" s="236"/>
      <c r="T27" s="3"/>
      <c r="U27" s="3"/>
      <c r="V27" s="3"/>
      <c r="W27" s="3"/>
      <c r="X27" s="3"/>
      <c r="Y27" s="17"/>
      <c r="Z27" s="17"/>
      <c r="AB27" s="236"/>
      <c r="AC27" s="3"/>
      <c r="AD27" s="3"/>
      <c r="AE27" s="3"/>
      <c r="AF27" s="3"/>
      <c r="AG27" s="3"/>
      <c r="AH27" s="17"/>
      <c r="AI27" s="17"/>
      <c r="AK27" s="236"/>
      <c r="AL27" s="3"/>
      <c r="AM27" s="3"/>
      <c r="AN27" s="3"/>
      <c r="AO27" s="3"/>
      <c r="AP27" s="3"/>
      <c r="AQ27" s="17"/>
      <c r="AR27" s="17"/>
    </row>
    <row r="28" spans="1:44" ht="16.5" customHeight="1">
      <c r="A28" s="192">
        <f>A9</f>
        <v>2026</v>
      </c>
      <c r="B28" s="186" t="s">
        <v>14</v>
      </c>
      <c r="C28" s="244" t="s">
        <v>314</v>
      </c>
      <c r="D28" s="3"/>
      <c r="E28" s="3"/>
      <c r="F28" s="3"/>
      <c r="G28" s="3"/>
      <c r="H28" s="3"/>
      <c r="I28" s="3"/>
      <c r="J28" s="193">
        <f>A28+1</f>
        <v>2027</v>
      </c>
      <c r="K28" s="186" t="s">
        <v>14</v>
      </c>
      <c r="L28" s="186" t="s">
        <v>14</v>
      </c>
      <c r="M28" s="186" t="s">
        <v>14</v>
      </c>
      <c r="N28" s="186" t="s">
        <v>14</v>
      </c>
      <c r="O28" s="3"/>
      <c r="P28" s="3"/>
      <c r="Q28" s="3"/>
      <c r="S28" s="193">
        <f>J28+1</f>
        <v>2028</v>
      </c>
      <c r="T28" s="186" t="s">
        <v>14</v>
      </c>
      <c r="U28" s="186" t="s">
        <v>14</v>
      </c>
      <c r="V28" s="186" t="s">
        <v>14</v>
      </c>
      <c r="W28" s="186" t="s">
        <v>14</v>
      </c>
      <c r="X28" s="3"/>
      <c r="Y28" s="3"/>
      <c r="Z28" s="3"/>
      <c r="AB28" s="193">
        <f>S28+1</f>
        <v>2029</v>
      </c>
      <c r="AC28" s="186" t="s">
        <v>0</v>
      </c>
      <c r="AD28" s="186" t="s">
        <v>14</v>
      </c>
      <c r="AE28" s="186" t="s">
        <v>14</v>
      </c>
      <c r="AF28" s="186" t="s">
        <v>14</v>
      </c>
      <c r="AG28" s="3"/>
      <c r="AH28" s="3"/>
      <c r="AI28" s="3"/>
      <c r="AK28" s="193">
        <f>AB28+1</f>
        <v>2030</v>
      </c>
      <c r="AL28" s="186" t="s">
        <v>14</v>
      </c>
      <c r="AM28" s="186" t="s">
        <v>14</v>
      </c>
      <c r="AN28" s="186" t="s">
        <v>14</v>
      </c>
      <c r="AO28" s="186" t="s">
        <v>14</v>
      </c>
      <c r="AP28" s="3"/>
      <c r="AQ28" s="3"/>
      <c r="AR28" s="3"/>
    </row>
    <row r="29" spans="1:44" ht="16.5" customHeight="1">
      <c r="A29" s="8" t="s">
        <v>308</v>
      </c>
      <c r="B29" s="3"/>
      <c r="C29" s="3"/>
      <c r="D29" s="3"/>
      <c r="E29" s="3"/>
      <c r="F29" s="137"/>
      <c r="G29" s="137"/>
      <c r="H29" s="137"/>
      <c r="I29" s="3"/>
      <c r="J29" s="8" t="s">
        <v>276</v>
      </c>
      <c r="K29" s="186"/>
      <c r="L29" s="186" t="s">
        <v>274</v>
      </c>
      <c r="M29" s="186"/>
      <c r="N29" s="186"/>
      <c r="O29" s="244"/>
      <c r="P29" s="3"/>
      <c r="Q29" s="3"/>
      <c r="S29" s="8" t="s">
        <v>101</v>
      </c>
      <c r="T29" s="186"/>
      <c r="U29" s="186" t="s">
        <v>274</v>
      </c>
      <c r="V29" s="186"/>
      <c r="W29" s="186"/>
      <c r="X29" s="3"/>
      <c r="Y29" s="3"/>
      <c r="Z29" s="3"/>
      <c r="AB29" s="8" t="s">
        <v>101</v>
      </c>
      <c r="AC29" s="186"/>
      <c r="AD29" s="186" t="s">
        <v>274</v>
      </c>
      <c r="AE29" s="186"/>
      <c r="AF29" s="186"/>
      <c r="AG29" s="3"/>
      <c r="AH29" s="3"/>
      <c r="AI29" s="3"/>
      <c r="AK29" s="8" t="s">
        <v>101</v>
      </c>
      <c r="AL29" s="186"/>
      <c r="AM29" s="186" t="s">
        <v>274</v>
      </c>
      <c r="AN29" s="78"/>
      <c r="AO29" s="79"/>
      <c r="AP29" s="3"/>
      <c r="AQ29" s="3"/>
      <c r="AR29" s="3"/>
    </row>
    <row r="30" spans="1:44" ht="16.5" customHeight="1">
      <c r="A30" s="8" t="s">
        <v>228</v>
      </c>
      <c r="B30" s="227">
        <f>HLOOKUP(B$9,기초!$C$5:$I$16,MATCH($A30,기초!$A$5:$A$16,0),0)</f>
        <v>1</v>
      </c>
      <c r="C30" s="227">
        <f>HLOOKUP(C$9,기초!$C$5:$I$16,MATCH($A30,기초!$A$5:$A$16,0),0)</f>
        <v>0.5</v>
      </c>
      <c r="D30" s="227">
        <f>HLOOKUP(D$9,기초!$C$5:$I$16,MATCH($A30,기초!$A$5:$A$16,0),0)</f>
        <v>1</v>
      </c>
      <c r="E30" s="227">
        <f>HLOOKUP(E$9,기초!$C$5:$I$16,MATCH($A30,기초!$A$5:$A$16,0),0)</f>
        <v>1</v>
      </c>
      <c r="F30" s="17"/>
      <c r="G30" s="137"/>
      <c r="H30" s="137"/>
      <c r="I30" s="3"/>
      <c r="J30" s="8" t="s">
        <v>102</v>
      </c>
      <c r="K30" s="121">
        <f>B30</f>
        <v>1</v>
      </c>
      <c r="L30" s="121">
        <f>C30</f>
        <v>0.5</v>
      </c>
      <c r="M30" s="121">
        <f>D30</f>
        <v>1</v>
      </c>
      <c r="N30" s="121">
        <f>E30</f>
        <v>1</v>
      </c>
      <c r="O30" s="3"/>
      <c r="P30" s="3"/>
      <c r="Q30" s="3"/>
      <c r="S30" s="8" t="s">
        <v>102</v>
      </c>
      <c r="T30" s="10">
        <f>K30</f>
        <v>1</v>
      </c>
      <c r="U30" s="10">
        <f t="shared" ref="U30:W30" si="54">L30</f>
        <v>0.5</v>
      </c>
      <c r="V30" s="10">
        <f t="shared" si="54"/>
        <v>1</v>
      </c>
      <c r="W30" s="10">
        <f t="shared" si="54"/>
        <v>1</v>
      </c>
      <c r="X30" s="3"/>
      <c r="Y30" s="3"/>
      <c r="Z30" s="3"/>
      <c r="AB30" s="8" t="s">
        <v>102</v>
      </c>
      <c r="AC30" s="121">
        <f>K30</f>
        <v>1</v>
      </c>
      <c r="AD30" s="121">
        <f>L30</f>
        <v>0.5</v>
      </c>
      <c r="AE30" s="121">
        <f>M30</f>
        <v>1</v>
      </c>
      <c r="AF30" s="121">
        <f>N30</f>
        <v>1</v>
      </c>
      <c r="AG30" s="3"/>
      <c r="AH30" s="3"/>
      <c r="AI30" s="3"/>
      <c r="AK30" s="8" t="s">
        <v>102</v>
      </c>
      <c r="AL30" s="10">
        <f>T30</f>
        <v>1</v>
      </c>
      <c r="AM30" s="10">
        <f>U30</f>
        <v>0.5</v>
      </c>
      <c r="AN30" s="10">
        <f>V30</f>
        <v>1</v>
      </c>
      <c r="AO30" s="10">
        <f>W30</f>
        <v>1</v>
      </c>
      <c r="AP30" s="3"/>
      <c r="AQ30" s="3"/>
      <c r="AR30" s="3"/>
    </row>
    <row r="31" spans="1:44" ht="16.5" customHeight="1">
      <c r="A31" s="191" t="s">
        <v>42</v>
      </c>
      <c r="B31" s="228">
        <f>HLOOKUP(B$9,기초!$C$5:$I$16,MATCH($A31,기초!$A$5:$A$16,0),0)</f>
        <v>10</v>
      </c>
      <c r="C31" s="219">
        <f>HLOOKUP(C$9,기초!$C$5:$I$16,MATCH($A31,기초!$A$5:$A$16,0),0)</f>
        <v>3</v>
      </c>
      <c r="D31" s="219">
        <f>HLOOKUP(D$9,기초!$C$5:$I$16,MATCH($A31,기초!$A$5:$A$16,0),0)</f>
        <v>4</v>
      </c>
      <c r="E31" s="219">
        <f>HLOOKUP(E$9,기초!$C$5:$I$16,MATCH($A31,기초!$A$5:$A$16,0),0)</f>
        <v>5</v>
      </c>
      <c r="F31" s="17"/>
      <c r="G31" s="137"/>
      <c r="H31" s="137"/>
      <c r="I31" s="3"/>
      <c r="J31" s="80" t="s">
        <v>103</v>
      </c>
      <c r="K31" s="219">
        <f>B31+1</f>
        <v>11</v>
      </c>
      <c r="L31" s="219">
        <f>C31+1</f>
        <v>4</v>
      </c>
      <c r="M31" s="219">
        <f>D31+1</f>
        <v>5</v>
      </c>
      <c r="N31" s="219">
        <f>E31+1</f>
        <v>6</v>
      </c>
      <c r="O31" s="3"/>
      <c r="P31" s="3"/>
      <c r="Q31" s="3"/>
      <c r="S31" s="81"/>
      <c r="T31" s="17"/>
      <c r="U31" s="17"/>
      <c r="V31" s="17"/>
      <c r="W31" s="17"/>
      <c r="X31" s="3"/>
      <c r="Y31" s="3"/>
      <c r="Z31" s="3"/>
      <c r="AB31" s="81"/>
      <c r="AC31" s="17"/>
      <c r="AD31" s="17"/>
      <c r="AE31" s="17"/>
      <c r="AF31" s="17"/>
      <c r="AG31" s="3"/>
      <c r="AH31" s="3"/>
      <c r="AI31" s="3"/>
      <c r="AK31" s="81"/>
      <c r="AL31" s="17"/>
      <c r="AM31" s="17"/>
      <c r="AN31" s="17"/>
      <c r="AO31" s="17"/>
      <c r="AP31" s="3"/>
      <c r="AQ31" s="3"/>
      <c r="AR31" s="3"/>
    </row>
    <row r="32" spans="1:44" ht="16.5" customHeight="1">
      <c r="A32" s="8" t="s">
        <v>104</v>
      </c>
      <c r="B32" s="10" t="b">
        <f>IF(B$10="1세대1주택",IF(B31&gt;=15,50%,IF(B31&gt;=10,40%,IF(B31&gt;=5,20%,0))))</f>
        <v>0</v>
      </c>
      <c r="C32" s="17"/>
      <c r="D32" s="17"/>
      <c r="E32" s="17"/>
      <c r="F32" s="17"/>
      <c r="G32" s="137"/>
      <c r="H32" s="3"/>
      <c r="I32" s="3"/>
      <c r="J32" s="8" t="s">
        <v>105</v>
      </c>
      <c r="K32" s="121" t="b">
        <f>IF(K$10="1세대1주택",IF(K31&gt;=15,25%,IF(K31&gt;=10,20%,IF(K31&gt;=5,10%,0))))</f>
        <v>0</v>
      </c>
      <c r="L32" s="121" t="b">
        <f t="shared" ref="L32:N32" si="55">IF(L$10="1세대1주택",IF(L31&gt;=15,25%,IF(L31&gt;=10,20%,IF(L31&gt;=5,10%,0))))</f>
        <v>0</v>
      </c>
      <c r="M32" s="121" t="b">
        <f t="shared" si="55"/>
        <v>0</v>
      </c>
      <c r="N32" s="121" t="b">
        <f t="shared" si="55"/>
        <v>0</v>
      </c>
      <c r="O32" s="17"/>
      <c r="P32" s="3"/>
      <c r="Q32" s="3"/>
      <c r="S32" s="81"/>
      <c r="T32" s="3"/>
      <c r="U32" s="17"/>
      <c r="V32" s="17"/>
      <c r="W32" s="17"/>
      <c r="X32" s="17"/>
      <c r="Y32" s="3"/>
      <c r="Z32" s="3"/>
      <c r="AB32" s="81"/>
      <c r="AC32" s="3"/>
      <c r="AD32" s="17"/>
      <c r="AE32" s="17"/>
      <c r="AF32" s="17"/>
      <c r="AG32" s="17"/>
      <c r="AH32" s="3"/>
      <c r="AI32" s="3"/>
      <c r="AK32" s="81"/>
      <c r="AL32" s="3"/>
      <c r="AM32" s="17"/>
      <c r="AN32" s="17"/>
      <c r="AO32" s="17"/>
      <c r="AP32" s="17"/>
      <c r="AQ32" s="3"/>
      <c r="AR32" s="3"/>
    </row>
    <row r="33" spans="1:44" ht="16.5" customHeight="1">
      <c r="A33" s="8" t="s">
        <v>106</v>
      </c>
      <c r="B33" s="2">
        <f>$B$3</f>
        <v>4</v>
      </c>
      <c r="C33" s="2">
        <f t="shared" ref="C33:E33" si="56">$B$3</f>
        <v>4</v>
      </c>
      <c r="D33" s="2">
        <f t="shared" si="56"/>
        <v>4</v>
      </c>
      <c r="E33" s="2">
        <f t="shared" si="56"/>
        <v>4</v>
      </c>
      <c r="G33" s="358"/>
      <c r="H33" s="3"/>
      <c r="I33" s="3"/>
      <c r="J33" s="8" t="s">
        <v>106</v>
      </c>
      <c r="K33" s="119">
        <f>$B$3</f>
        <v>4</v>
      </c>
      <c r="L33" s="119">
        <f t="shared" ref="L33:N33" si="57">$B$3</f>
        <v>4</v>
      </c>
      <c r="M33" s="119">
        <f t="shared" si="57"/>
        <v>4</v>
      </c>
      <c r="N33" s="119">
        <f t="shared" si="57"/>
        <v>4</v>
      </c>
      <c r="O33" s="17"/>
      <c r="P33" s="3"/>
      <c r="Q33" s="3"/>
      <c r="S33" s="8" t="s">
        <v>106</v>
      </c>
      <c r="T33" s="2">
        <f>K33</f>
        <v>4</v>
      </c>
      <c r="U33" s="2">
        <f>L33</f>
        <v>4</v>
      </c>
      <c r="V33" s="2">
        <f>M33</f>
        <v>4</v>
      </c>
      <c r="W33" s="2">
        <f>N33</f>
        <v>4</v>
      </c>
      <c r="X33" s="17"/>
      <c r="Y33" s="3"/>
      <c r="Z33" s="3"/>
      <c r="AB33" s="8" t="s">
        <v>106</v>
      </c>
      <c r="AC33" s="2">
        <f>T33</f>
        <v>4</v>
      </c>
      <c r="AD33" s="2">
        <f t="shared" ref="AD33:AF33" si="58">U33</f>
        <v>4</v>
      </c>
      <c r="AE33" s="2">
        <f t="shared" si="58"/>
        <v>4</v>
      </c>
      <c r="AF33" s="2">
        <f t="shared" si="58"/>
        <v>4</v>
      </c>
      <c r="AG33" s="17"/>
      <c r="AH33" s="3"/>
      <c r="AI33" s="3"/>
      <c r="AK33" s="8" t="s">
        <v>106</v>
      </c>
      <c r="AL33" s="2">
        <f>AC33</f>
        <v>4</v>
      </c>
      <c r="AM33" s="2">
        <f t="shared" ref="AM33:AO33" si="59">AD33</f>
        <v>4</v>
      </c>
      <c r="AN33" s="2">
        <f t="shared" si="59"/>
        <v>4</v>
      </c>
      <c r="AO33" s="2">
        <f t="shared" si="59"/>
        <v>4</v>
      </c>
      <c r="AP33" s="17"/>
      <c r="AQ33" s="3"/>
      <c r="AR33" s="3"/>
    </row>
    <row r="34" spans="1:44" ht="16.5" customHeight="1">
      <c r="A34" s="8" t="s">
        <v>77</v>
      </c>
      <c r="B34" s="2" t="str">
        <f>IF(B33&lt;=2,"기본세율","중과세율")</f>
        <v>중과세율</v>
      </c>
      <c r="C34" s="17"/>
      <c r="D34" s="17"/>
      <c r="E34" s="17"/>
      <c r="F34" s="17"/>
      <c r="G34" s="3"/>
      <c r="H34" s="3"/>
      <c r="I34" s="3"/>
      <c r="J34" s="8" t="s">
        <v>77</v>
      </c>
      <c r="K34" s="119" t="str">
        <f>IF(K33&lt;=2,"기본세율","중과세율")</f>
        <v>중과세율</v>
      </c>
      <c r="L34" s="119" t="str">
        <f t="shared" ref="L34:N34" si="60">IF(L33&lt;=2,"기본세율","중과세율")</f>
        <v>중과세율</v>
      </c>
      <c r="M34" s="119" t="str">
        <f t="shared" si="60"/>
        <v>중과세율</v>
      </c>
      <c r="N34" s="119" t="str">
        <f t="shared" si="60"/>
        <v>중과세율</v>
      </c>
      <c r="O34" s="17"/>
      <c r="P34" s="3"/>
      <c r="Q34" s="3"/>
      <c r="S34" s="8" t="s">
        <v>77</v>
      </c>
      <c r="T34" s="2" t="str">
        <f>IF(T33&lt;=2,"기본세율","중과세율")</f>
        <v>중과세율</v>
      </c>
      <c r="U34" s="2" t="str">
        <f t="shared" ref="U34:W34" si="61">IF(U33&lt;=2,"기본세율","중과세율")</f>
        <v>중과세율</v>
      </c>
      <c r="V34" s="2" t="str">
        <f t="shared" si="61"/>
        <v>중과세율</v>
      </c>
      <c r="W34" s="2" t="str">
        <f t="shared" si="61"/>
        <v>중과세율</v>
      </c>
      <c r="X34" s="17"/>
      <c r="Y34" s="3"/>
      <c r="Z34" s="3"/>
      <c r="AB34" s="8" t="s">
        <v>77</v>
      </c>
      <c r="AC34" s="2" t="str">
        <f>IF(AC33&lt;=2,"기본세율","중과세율")</f>
        <v>중과세율</v>
      </c>
      <c r="AD34" s="2" t="str">
        <f t="shared" ref="AD34:AF34" si="62">IF(AD33&lt;=2,"기본세율","중과세율")</f>
        <v>중과세율</v>
      </c>
      <c r="AE34" s="2" t="str">
        <f t="shared" si="62"/>
        <v>중과세율</v>
      </c>
      <c r="AF34" s="2" t="str">
        <f t="shared" si="62"/>
        <v>중과세율</v>
      </c>
      <c r="AG34" s="17"/>
      <c r="AH34" s="3"/>
      <c r="AI34" s="3"/>
      <c r="AK34" s="8" t="s">
        <v>77</v>
      </c>
      <c r="AL34" s="2" t="str">
        <f>IF(AL33&lt;=2,"기본세율","중과세율")</f>
        <v>중과세율</v>
      </c>
      <c r="AM34" s="2" t="str">
        <f t="shared" ref="AM34:AO34" si="63">IF(AM33&lt;=2,"기본세율","중과세율")</f>
        <v>중과세율</v>
      </c>
      <c r="AN34" s="2" t="str">
        <f t="shared" si="63"/>
        <v>중과세율</v>
      </c>
      <c r="AO34" s="2" t="str">
        <f t="shared" si="63"/>
        <v>중과세율</v>
      </c>
      <c r="AP34" s="17"/>
      <c r="AQ34" s="3"/>
      <c r="AR34" s="3"/>
    </row>
    <row r="35" spans="1:44" ht="16.5" customHeight="1">
      <c r="A35" s="355" t="s">
        <v>234</v>
      </c>
      <c r="B35" s="132">
        <f>HLOOKUP(B$9,기초!$C$5:$I$16,MATCH($J35,기초!$A$5:$A$16,0),0)</f>
        <v>5</v>
      </c>
      <c r="C35" s="132">
        <f>HLOOKUP(C$9,기초!$C$5:$I$16,MATCH($J35,기초!$A$5:$A$16,0),0)</f>
        <v>3</v>
      </c>
      <c r="D35" s="132">
        <f>HLOOKUP(D$9,기초!$C$5:$I$16,MATCH($J35,기초!$A$5:$A$16,0),0)</f>
        <v>3</v>
      </c>
      <c r="E35" s="132">
        <f>HLOOKUP(E$9,기초!$C$5:$I$16,MATCH($J35,기초!$A$5:$A$16,0),0)</f>
        <v>2</v>
      </c>
      <c r="F35" s="17"/>
      <c r="G35" s="3"/>
      <c r="H35" s="3"/>
      <c r="I35" s="3"/>
      <c r="J35" s="259" t="s">
        <v>277</v>
      </c>
      <c r="K35" s="219">
        <f>B35+1</f>
        <v>6</v>
      </c>
      <c r="L35" s="219">
        <f>C35+1</f>
        <v>4</v>
      </c>
      <c r="M35" s="219">
        <f>D35+1</f>
        <v>4</v>
      </c>
      <c r="N35" s="219">
        <f>E35+1</f>
        <v>3</v>
      </c>
      <c r="O35" s="17"/>
      <c r="P35" s="137"/>
      <c r="Q35" s="3"/>
      <c r="S35" s="259" t="s">
        <v>280</v>
      </c>
      <c r="T35" s="22">
        <f>K35+1</f>
        <v>7</v>
      </c>
      <c r="U35" s="22">
        <f>L35+1</f>
        <v>5</v>
      </c>
      <c r="V35" s="22">
        <f>M35+1</f>
        <v>5</v>
      </c>
      <c r="W35" s="22">
        <f>N35+1</f>
        <v>4</v>
      </c>
      <c r="X35" s="17"/>
      <c r="Y35" s="3"/>
      <c r="Z35" s="3"/>
      <c r="AB35" s="259" t="s">
        <v>280</v>
      </c>
      <c r="AC35" s="22">
        <f>T35+1</f>
        <v>8</v>
      </c>
      <c r="AD35" s="22">
        <f>U35+1</f>
        <v>6</v>
      </c>
      <c r="AE35" s="22">
        <f>V35+1</f>
        <v>6</v>
      </c>
      <c r="AF35" s="22">
        <f>W35+1</f>
        <v>5</v>
      </c>
      <c r="AG35" s="17"/>
      <c r="AH35" s="3"/>
      <c r="AI35" s="3"/>
      <c r="AK35" s="259" t="s">
        <v>280</v>
      </c>
      <c r="AL35" s="22">
        <f>AC35+1</f>
        <v>9</v>
      </c>
      <c r="AM35" s="22">
        <f t="shared" ref="AM35:AO35" si="64">AD35+1</f>
        <v>7</v>
      </c>
      <c r="AN35" s="22">
        <f t="shared" si="64"/>
        <v>7</v>
      </c>
      <c r="AO35" s="22">
        <f t="shared" si="64"/>
        <v>6</v>
      </c>
      <c r="AP35" s="17"/>
      <c r="AQ35" s="3"/>
      <c r="AR35" s="3"/>
    </row>
    <row r="36" spans="1:44" ht="16.5" customHeight="1">
      <c r="A36" s="81"/>
      <c r="B36" s="3"/>
      <c r="C36" s="17"/>
      <c r="D36" s="17"/>
      <c r="E36" s="17"/>
      <c r="F36" s="17"/>
      <c r="G36" s="3"/>
      <c r="H36" s="3"/>
      <c r="I36" s="3"/>
      <c r="J36" s="259" t="s">
        <v>278</v>
      </c>
      <c r="K36" s="121" t="b">
        <f>IF(AND(K$10="1세대1주택",K29="거주"),IF(K35&gt;=15,50%,IF(K35&gt;=10,40%,IF(K35&gt;=5,20%,0))))</f>
        <v>0</v>
      </c>
      <c r="L36" s="121" t="b">
        <f>IF(AND(L$10="1세대1주택",L29="거주"),IF(L35&gt;=15,50%,IF(L35&gt;=10,40%,IF(L35&gt;=5,20%,0))))</f>
        <v>0</v>
      </c>
      <c r="M36" s="121" t="b">
        <f>IF(AND(M$10="1세대1주택",M29="거주"),IF(M35&gt;=15,50%,IF(M35&gt;=10,40%,IF(M35&gt;=5,20%,0))))</f>
        <v>0</v>
      </c>
      <c r="N36" s="121" t="b">
        <f>IF(AND(N$10="1세대1주택",N29="거주"),IF(N35&gt;=15,50%,IF(N35&gt;=10,40%,IF(N35&gt;=5,20%,0))))</f>
        <v>0</v>
      </c>
      <c r="O36" s="17"/>
      <c r="P36" s="137"/>
      <c r="Q36" s="356"/>
      <c r="S36" s="259" t="s">
        <v>278</v>
      </c>
      <c r="T36" s="10" t="b">
        <f>IF(AND(T$10="1세대1주택",T29="거주"),IF(T35&gt;=15,50%,IF(T35&gt;=10,40%,IF(T35&gt;=5,20%,0))))</f>
        <v>0</v>
      </c>
      <c r="U36" s="10" t="b">
        <f t="shared" ref="U36:W36" si="65">IF(AND(U$10="1세대1주택",U29="거주"),IF(U35&gt;=15,50%,IF(U35&gt;=10,40%,IF(U35&gt;=5,20%,0))))</f>
        <v>0</v>
      </c>
      <c r="V36" s="10" t="b">
        <f t="shared" si="65"/>
        <v>0</v>
      </c>
      <c r="W36" s="10" t="b">
        <f t="shared" si="65"/>
        <v>0</v>
      </c>
      <c r="X36" s="17"/>
      <c r="Y36" s="3"/>
      <c r="Z36" s="3"/>
      <c r="AB36" s="259" t="s">
        <v>278</v>
      </c>
      <c r="AC36" s="10" t="b">
        <f>IF(AND(AC$10="1세대1주택",AC29="거주"),IF(AC35&gt;=15,50%,IF(AC35&gt;=10,40%,IF(AC35&gt;=5,20%,0))))</f>
        <v>0</v>
      </c>
      <c r="AD36" s="10" t="b">
        <f t="shared" ref="AD36:AF36" si="66">IF(AND(AD$10="1세대1주택",AD29="거주"),IF(AD35&gt;=15,50%,IF(AD35&gt;=10,40%,IF(AD35&gt;=5,20%,0))))</f>
        <v>0</v>
      </c>
      <c r="AE36" s="10" t="b">
        <f t="shared" si="66"/>
        <v>0</v>
      </c>
      <c r="AF36" s="10" t="b">
        <f t="shared" si="66"/>
        <v>0</v>
      </c>
      <c r="AG36" s="17"/>
      <c r="AH36" s="3"/>
      <c r="AI36" s="3"/>
      <c r="AK36" s="259" t="s">
        <v>278</v>
      </c>
      <c r="AL36" s="10" t="b">
        <f>IF(AND(AL28="1세대1주택",AL29="거주"),IF(AL35&gt;=15,50%,IF(AL35&gt;=10,40%,IF(AL35&gt;=5,20%,0))))</f>
        <v>0</v>
      </c>
      <c r="AM36" s="10" t="b">
        <f t="shared" ref="AM36:AO36" si="67">IF(AND(AM28="1세대1주택",AM29="거주"),IF(AM35&gt;=15,50%,IF(AM35&gt;=10,40%,IF(AM35&gt;=5,20%,0))))</f>
        <v>0</v>
      </c>
      <c r="AN36" s="10" t="b">
        <f t="shared" si="67"/>
        <v>0</v>
      </c>
      <c r="AO36" s="10" t="b">
        <f t="shared" si="67"/>
        <v>0</v>
      </c>
      <c r="AP36" s="17"/>
      <c r="AQ36" s="3"/>
      <c r="AR36" s="3"/>
    </row>
    <row r="37" spans="1:44" ht="16.5" customHeight="1">
      <c r="A37" s="8" t="s">
        <v>3</v>
      </c>
      <c r="B37" s="219">
        <f>기초!B2</f>
        <v>40</v>
      </c>
      <c r="C37" s="17"/>
      <c r="D37" s="17"/>
      <c r="E37" s="17"/>
      <c r="F37" s="17"/>
      <c r="G37" s="3"/>
      <c r="H37" s="137"/>
      <c r="I37" s="3"/>
      <c r="J37" s="8" t="s">
        <v>108</v>
      </c>
      <c r="K37" s="354">
        <f>B37+1</f>
        <v>41</v>
      </c>
      <c r="L37" s="219">
        <f>K37</f>
        <v>41</v>
      </c>
      <c r="M37" s="219">
        <f>L37</f>
        <v>41</v>
      </c>
      <c r="N37" s="219">
        <f>M37</f>
        <v>41</v>
      </c>
      <c r="O37" s="17"/>
      <c r="P37" s="3"/>
      <c r="Q37" s="3"/>
      <c r="S37" s="8" t="s">
        <v>108</v>
      </c>
      <c r="T37" s="49">
        <f>K37+1</f>
        <v>42</v>
      </c>
      <c r="U37" s="49">
        <f>L37+1</f>
        <v>42</v>
      </c>
      <c r="V37" s="49">
        <f>M37+1</f>
        <v>42</v>
      </c>
      <c r="W37" s="49">
        <f>N37+1</f>
        <v>42</v>
      </c>
      <c r="X37" s="17"/>
      <c r="Y37" s="3"/>
      <c r="Z37" s="3"/>
      <c r="AB37" s="8" t="s">
        <v>108</v>
      </c>
      <c r="AC37" s="49">
        <f>T37+1</f>
        <v>43</v>
      </c>
      <c r="AD37" s="49">
        <f>U37+1</f>
        <v>43</v>
      </c>
      <c r="AE37" s="49">
        <f>V37+1</f>
        <v>43</v>
      </c>
      <c r="AF37" s="49">
        <f>W37+1</f>
        <v>43</v>
      </c>
      <c r="AG37" s="17"/>
      <c r="AH37" s="3"/>
      <c r="AI37" s="3"/>
      <c r="AK37" s="8" t="s">
        <v>108</v>
      </c>
      <c r="AL37" s="49">
        <f>AC37+1</f>
        <v>44</v>
      </c>
      <c r="AM37" s="49">
        <f t="shared" ref="AM37:AO37" si="68">AD37+1</f>
        <v>44</v>
      </c>
      <c r="AN37" s="49">
        <f t="shared" si="68"/>
        <v>44</v>
      </c>
      <c r="AO37" s="49">
        <f t="shared" si="68"/>
        <v>44</v>
      </c>
      <c r="AP37" s="17"/>
      <c r="AQ37" s="3"/>
      <c r="AR37" s="3"/>
    </row>
    <row r="38" spans="1:44" ht="16.5" customHeight="1">
      <c r="A38" s="8" t="s">
        <v>110</v>
      </c>
      <c r="B38" s="10" t="b">
        <f>IF(B$10="1세대1주택",IF(B37&gt;=70,40%,IF(B37&gt;=65,30%,IF(B37&gt;=60,20%,0))))</f>
        <v>0</v>
      </c>
      <c r="C38" s="17"/>
      <c r="D38" s="17"/>
      <c r="E38" s="17"/>
      <c r="F38" s="17"/>
      <c r="G38" s="3"/>
      <c r="H38" s="137"/>
      <c r="I38" s="3"/>
      <c r="J38" s="8" t="s">
        <v>115</v>
      </c>
      <c r="K38" s="121" t="b">
        <f>IF(K$10="1세대1주택",IF(K37&gt;=70,40%,IF(K37&gt;=65,30%,IF(K37&gt;=60,20%,0))))</f>
        <v>0</v>
      </c>
      <c r="L38" s="121" t="b">
        <f>IF(L$10="1세대1주택",IF(L37&gt;=70,40%,IF(L37&gt;=65,30%,IF(L37&gt;=60,20%,0))))</f>
        <v>0</v>
      </c>
      <c r="M38" s="121" t="b">
        <f>IF(M$10="1세대1주택",IF(M37&gt;=70,40%,IF(M37&gt;=65,30%,IF(M37&gt;=60,20%,0))))</f>
        <v>0</v>
      </c>
      <c r="N38" s="121" t="b">
        <f>IF(N$10="1세대1주택",IF(N37&gt;=70,40%,IF(N37&gt;=65,30%,IF(N37&gt;=60,20%,0))))</f>
        <v>0</v>
      </c>
      <c r="O38" s="17"/>
      <c r="P38" s="3"/>
      <c r="Q38" s="3"/>
      <c r="S38" s="8" t="s">
        <v>115</v>
      </c>
      <c r="T38" s="10" t="b">
        <f>IF(T$10="1세대1주택",IF(T37&gt;=70,40%,IF(T37&gt;=65,30%,IF(T37&gt;=60,20%,0))))</f>
        <v>0</v>
      </c>
      <c r="U38" s="10" t="b">
        <f t="shared" ref="U38:W38" si="69">IF(U$10="1세대1주택",IF(U37&gt;=70,40%,IF(U37&gt;=65,30%,IF(U37&gt;=60,20%,0))))</f>
        <v>0</v>
      </c>
      <c r="V38" s="10" t="b">
        <f t="shared" si="69"/>
        <v>0</v>
      </c>
      <c r="W38" s="10" t="b">
        <f t="shared" si="69"/>
        <v>0</v>
      </c>
      <c r="X38" s="17"/>
      <c r="Y38" s="3"/>
      <c r="Z38" s="3"/>
      <c r="AB38" s="8" t="s">
        <v>115</v>
      </c>
      <c r="AC38" s="10" t="b">
        <f>IF(AC$10="1세대1주택",IF(AC37&gt;=70,40%,IF(AC37&gt;=65,30%,IF(AC37&gt;=60,20%,0))))</f>
        <v>0</v>
      </c>
      <c r="AD38" s="10" t="b">
        <f t="shared" ref="AD38:AF38" si="70">IF(AD$10="1세대1주택",IF(AD37&gt;=70,40%,IF(AD37&gt;=65,30%,IF(AD37&gt;=60,20%,0))))</f>
        <v>0</v>
      </c>
      <c r="AE38" s="10" t="b">
        <f t="shared" si="70"/>
        <v>0</v>
      </c>
      <c r="AF38" s="10" t="b">
        <f t="shared" si="70"/>
        <v>0</v>
      </c>
      <c r="AG38" s="17"/>
      <c r="AH38" s="3"/>
      <c r="AI38" s="3"/>
      <c r="AK38" s="8" t="s">
        <v>115</v>
      </c>
      <c r="AL38" s="10" t="b">
        <f>IF(AL28="1세대1주택",IF(AL37&gt;=70,40%,IF(AL37&gt;=65,30%,IF(AL37&gt;=60,20%,0))))</f>
        <v>0</v>
      </c>
      <c r="AM38" s="10" t="b">
        <f t="shared" ref="AM38:AO38" si="71">IF(AM28="1세대1주택",IF(AM37&gt;=70,40%,IF(AM37&gt;=65,30%,IF(AM37&gt;=60,20%,0))))</f>
        <v>0</v>
      </c>
      <c r="AN38" s="10" t="b">
        <f t="shared" si="71"/>
        <v>0</v>
      </c>
      <c r="AO38" s="10" t="b">
        <f t="shared" si="71"/>
        <v>0</v>
      </c>
      <c r="AP38" s="17"/>
      <c r="AQ38" s="3"/>
      <c r="AR38" s="3"/>
    </row>
    <row r="39" spans="1:44" ht="16.5" customHeight="1">
      <c r="A39" s="83"/>
      <c r="B39" s="17"/>
      <c r="C39" s="17"/>
      <c r="D39" s="17"/>
      <c r="E39" s="17"/>
      <c r="F39" s="17"/>
      <c r="G39" s="3"/>
      <c r="H39" s="3"/>
      <c r="I39" s="3"/>
      <c r="J39" s="3"/>
      <c r="K39" s="15"/>
      <c r="L39" s="17"/>
      <c r="M39" s="17"/>
      <c r="N39" s="17"/>
      <c r="O39" s="17"/>
      <c r="P39" s="3"/>
      <c r="Q39" s="3"/>
      <c r="S39" s="83"/>
      <c r="T39" s="17"/>
      <c r="U39" s="17"/>
      <c r="V39" s="17"/>
      <c r="W39" s="17"/>
      <c r="X39" s="17"/>
      <c r="Y39" s="3"/>
      <c r="Z39" s="3"/>
      <c r="AB39" s="83"/>
      <c r="AC39" s="17"/>
      <c r="AD39" s="17"/>
      <c r="AE39" s="17"/>
      <c r="AF39" s="17"/>
      <c r="AG39" s="17"/>
      <c r="AH39" s="3"/>
      <c r="AI39" s="3"/>
      <c r="AK39" s="83"/>
      <c r="AL39" s="17"/>
      <c r="AM39" s="17"/>
      <c r="AN39" s="17"/>
      <c r="AO39" s="17"/>
      <c r="AP39" s="17"/>
      <c r="AQ39" s="3"/>
      <c r="AR39" s="3"/>
    </row>
    <row r="40" spans="1:44" ht="16.5" customHeight="1">
      <c r="A40" s="192">
        <f>A9</f>
        <v>2026</v>
      </c>
      <c r="B40" s="17"/>
      <c r="C40" s="17"/>
      <c r="D40" s="17"/>
      <c r="E40" s="17"/>
      <c r="F40" s="17"/>
      <c r="G40" s="3"/>
      <c r="H40" s="3"/>
      <c r="I40" s="3"/>
      <c r="J40" s="245">
        <f>A40+1</f>
        <v>2027</v>
      </c>
      <c r="K40" s="121" t="s">
        <v>319</v>
      </c>
      <c r="L40" s="121" t="s">
        <v>317</v>
      </c>
      <c r="M40" s="121" t="s">
        <v>211</v>
      </c>
      <c r="N40" s="121" t="s">
        <v>215</v>
      </c>
      <c r="O40" s="17"/>
      <c r="P40" s="3"/>
      <c r="Q40" s="3"/>
      <c r="S40" s="245">
        <f>J40+1</f>
        <v>2028</v>
      </c>
      <c r="T40" s="121" t="s">
        <v>319</v>
      </c>
      <c r="U40" s="121" t="s">
        <v>317</v>
      </c>
      <c r="V40" s="121" t="s">
        <v>211</v>
      </c>
      <c r="W40" s="121" t="s">
        <v>215</v>
      </c>
      <c r="X40" s="17"/>
      <c r="Y40" s="3"/>
      <c r="Z40" s="3"/>
      <c r="AB40" s="245">
        <f>S40+1</f>
        <v>2029</v>
      </c>
      <c r="AC40" s="121" t="s">
        <v>319</v>
      </c>
      <c r="AD40" s="121" t="s">
        <v>317</v>
      </c>
      <c r="AE40" s="121" t="s">
        <v>211</v>
      </c>
      <c r="AF40" s="121" t="s">
        <v>215</v>
      </c>
      <c r="AG40" s="17"/>
      <c r="AH40" s="3"/>
      <c r="AI40" s="3"/>
      <c r="AK40" s="245">
        <f>AB40+1</f>
        <v>2030</v>
      </c>
      <c r="AL40" s="121" t="s">
        <v>319</v>
      </c>
      <c r="AM40" s="121" t="s">
        <v>317</v>
      </c>
      <c r="AN40" s="121" t="s">
        <v>211</v>
      </c>
      <c r="AO40" s="121" t="s">
        <v>215</v>
      </c>
      <c r="AP40" s="17"/>
      <c r="AQ40" s="3"/>
      <c r="AR40" s="3"/>
    </row>
    <row r="41" spans="1:44" ht="16.5" customHeight="1">
      <c r="A41" s="194" t="s">
        <v>142</v>
      </c>
      <c r="B41" s="15">
        <f>SUMPRODUCT($B$11:$E$11,$B$30:$E$30)</f>
        <v>6732000000</v>
      </c>
      <c r="C41" s="3"/>
      <c r="D41" s="3"/>
      <c r="E41" s="3"/>
      <c r="F41" s="3"/>
      <c r="G41" s="3"/>
      <c r="H41" s="3"/>
      <c r="I41" s="3"/>
      <c r="J41" s="246" t="s">
        <v>142</v>
      </c>
      <c r="K41" s="378"/>
      <c r="L41" s="247">
        <f>SUMPRODUCT($K$11:$N$11,$K$30:$N$30)</f>
        <v>2415000000</v>
      </c>
      <c r="M41" s="247">
        <f>SUMPRODUCT($K$11:$N$11,$K$30:$N$30)</f>
        <v>2415000000</v>
      </c>
      <c r="N41" s="247">
        <f>SUMPRODUCT($K$11:$N$11,$K$30:$N$30)</f>
        <v>2415000000</v>
      </c>
      <c r="O41" s="15"/>
      <c r="P41" s="3"/>
      <c r="Q41" s="3"/>
      <c r="S41" s="246" t="s">
        <v>142</v>
      </c>
      <c r="T41" s="247">
        <f>SUMPRODUCT($T$11:$W$11,$T$30:$W$30)</f>
        <v>2777250000</v>
      </c>
      <c r="U41" s="247">
        <f>SUMPRODUCT($T$11:$W$11,$T$30:$W$30)</f>
        <v>2777250000</v>
      </c>
      <c r="V41" s="247">
        <f>SUMPRODUCT($T$11:$W$11,$T$30:$W$30)</f>
        <v>2777250000</v>
      </c>
      <c r="W41" s="247">
        <f>SUMPRODUCT($T$11:$W$11,$T$30:$W$30)</f>
        <v>2777250000</v>
      </c>
      <c r="X41" s="15"/>
      <c r="Y41" s="3"/>
      <c r="Z41" s="3"/>
      <c r="AB41" s="246" t="s">
        <v>142</v>
      </c>
      <c r="AC41" s="247">
        <f>SUMPRODUCT($AC$11:$AF$11,$AC$30:$AF$30)</f>
        <v>3193837499.999999</v>
      </c>
      <c r="AD41" s="247">
        <f t="shared" ref="AD41:AF41" si="72">SUMPRODUCT($AC$11:$AF$11,$AC$30:$AF$30)</f>
        <v>3193837499.999999</v>
      </c>
      <c r="AE41" s="247">
        <f t="shared" si="72"/>
        <v>3193837499.999999</v>
      </c>
      <c r="AF41" s="247">
        <f t="shared" si="72"/>
        <v>3193837499.999999</v>
      </c>
      <c r="AG41" s="15"/>
      <c r="AH41" s="3"/>
      <c r="AI41" s="3"/>
      <c r="AK41" s="246" t="s">
        <v>142</v>
      </c>
      <c r="AL41" s="247">
        <f>SUMPRODUCT($AL$11:$AO$11,$AL$30:$AO$30)</f>
        <v>3672913124.9999986</v>
      </c>
      <c r="AM41" s="247">
        <f>SUMPRODUCT($AL$11:$AO$11,$AL$30:$AO$30)</f>
        <v>3672913124.9999986</v>
      </c>
      <c r="AN41" s="247">
        <f>SUMPRODUCT($AL$11:$AO$11,$AL$30:$AO$30)</f>
        <v>3672913124.9999986</v>
      </c>
      <c r="AO41" s="247">
        <f>SUMPRODUCT($AL$11:$AO$11,$AL$30:$AO$30)</f>
        <v>3672913124.9999986</v>
      </c>
      <c r="AP41" s="15"/>
      <c r="AQ41" s="3"/>
      <c r="AR41" s="3"/>
    </row>
    <row r="42" spans="1:44" ht="16.5" customHeight="1">
      <c r="A42" s="194" t="s">
        <v>145</v>
      </c>
      <c r="B42" s="15">
        <f>IF(B28="1세대1주택",12*10^8,9*10^8)</f>
        <v>900000000</v>
      </c>
      <c r="C42" s="3"/>
      <c r="D42" s="3"/>
      <c r="E42" s="3"/>
      <c r="F42" s="3"/>
      <c r="G42" s="3"/>
      <c r="H42" s="3"/>
      <c r="I42" s="3"/>
      <c r="J42" s="246" t="s">
        <v>145</v>
      </c>
      <c r="K42" s="247">
        <v>1400000000</v>
      </c>
      <c r="L42" s="247">
        <v>900000000</v>
      </c>
      <c r="M42" s="247">
        <f ca="1">4*10^8+500000000*IFERROR(OFFSET($J$11,0,MATCH("거주",$K29:$N29,0))/$O$11,0)</f>
        <v>722580645.16129029</v>
      </c>
      <c r="N42" s="247">
        <f ca="1">4*10^8+500000000*IFERROR(OFFSET($J$11,0,MATCH("거주",$K29:$N29,0))/$O$11,0)</f>
        <v>722580645.16129029</v>
      </c>
      <c r="O42" s="15"/>
      <c r="P42" s="3"/>
      <c r="Q42" s="3"/>
      <c r="S42" s="246" t="s">
        <v>145</v>
      </c>
      <c r="T42" s="247">
        <v>1400000000</v>
      </c>
      <c r="U42" s="247">
        <v>900000000</v>
      </c>
      <c r="V42" s="247">
        <f ca="1">4*10^8+500000000*IFERROR(OFFSET($S$11,0,MATCH("거주",$T29:$W29,0))/$X$11,0)</f>
        <v>722580645.16129029</v>
      </c>
      <c r="W42" s="247">
        <f ca="1">4*10^8+500000000*IFERROR(OFFSET($S$11,0,MATCH("거주",$T29:$W29,0))/$X$11,0)</f>
        <v>722580645.16129029</v>
      </c>
      <c r="X42" s="137"/>
      <c r="Y42" s="356"/>
      <c r="Z42" s="3"/>
      <c r="AB42" s="246" t="s">
        <v>145</v>
      </c>
      <c r="AC42" s="247">
        <v>1400000000</v>
      </c>
      <c r="AD42" s="247">
        <v>900000000</v>
      </c>
      <c r="AE42" s="247">
        <f ca="1">4*10^8+500000000*IFERROR(OFFSET($AB$11,0,MATCH("거주",$AC29:$AF29,0))/$AG$11,0)</f>
        <v>722580645.16129041</v>
      </c>
      <c r="AF42" s="247">
        <f ca="1">4*10^8+500000000*IFERROR(OFFSET($AB$11,0,MATCH("거주",$AC29:$AF29,0))/$AG$11,0)</f>
        <v>722580645.16129041</v>
      </c>
      <c r="AG42" s="15"/>
      <c r="AH42" s="3"/>
      <c r="AI42" s="3"/>
      <c r="AK42" s="246" t="s">
        <v>145</v>
      </c>
      <c r="AL42" s="247">
        <v>1400000000</v>
      </c>
      <c r="AM42" s="247">
        <v>900000000</v>
      </c>
      <c r="AN42" s="247">
        <f ca="1">4*10^8+500000000*IFERROR(OFFSET($AK$11,0,MATCH("거주",$AL29:$AO29,0))/$AP$11,0)</f>
        <v>722580645.16129029</v>
      </c>
      <c r="AO42" s="247">
        <f ca="1">4*10^8+500000000*IFERROR(OFFSET($AK$11,0,MATCH("거주",$AL29:$AO29,0))/$AP$11,0)</f>
        <v>722580645.16129029</v>
      </c>
      <c r="AP42" s="15"/>
      <c r="AQ42" s="3"/>
      <c r="AR42" s="3"/>
    </row>
    <row r="43" spans="1:44" ht="16.5" customHeight="1">
      <c r="A43" s="194" t="s">
        <v>153</v>
      </c>
      <c r="B43" s="15">
        <f>IF(B41&gt;B42,B41-B42,0)</f>
        <v>5832000000</v>
      </c>
      <c r="C43" s="3"/>
      <c r="D43" s="3"/>
      <c r="E43" s="3"/>
      <c r="F43" s="3"/>
      <c r="G43" s="3"/>
      <c r="H43" s="3"/>
      <c r="I43" s="3"/>
      <c r="J43" s="246" t="s">
        <v>153</v>
      </c>
      <c r="K43" s="133">
        <f t="shared" ref="K43:N43" si="73">IF(K41&gt;K42,K41-K42,0)</f>
        <v>0</v>
      </c>
      <c r="L43" s="248">
        <f t="shared" si="73"/>
        <v>1515000000</v>
      </c>
      <c r="M43" s="248">
        <f t="shared" ca="1" si="73"/>
        <v>1692419354.8387098</v>
      </c>
      <c r="N43" s="248">
        <f t="shared" ca="1" si="73"/>
        <v>1692419354.8387098</v>
      </c>
      <c r="O43" s="15"/>
      <c r="P43" s="3"/>
      <c r="Q43" s="3"/>
      <c r="S43" s="246" t="s">
        <v>153</v>
      </c>
      <c r="T43" s="133">
        <f t="shared" ref="T43:W43" si="74">IF(T41&gt;T42,T41-T42,0)</f>
        <v>1377250000</v>
      </c>
      <c r="U43" s="248">
        <f t="shared" si="74"/>
        <v>1877250000</v>
      </c>
      <c r="V43" s="248">
        <f t="shared" ca="1" si="74"/>
        <v>2054669354.8387098</v>
      </c>
      <c r="W43" s="248">
        <f t="shared" ca="1" si="74"/>
        <v>2054669354.8387098</v>
      </c>
      <c r="X43" s="137"/>
      <c r="Y43" s="3"/>
      <c r="Z43" s="3"/>
      <c r="AB43" s="246" t="s">
        <v>153</v>
      </c>
      <c r="AC43" s="133">
        <f t="shared" ref="AC43:AF43" si="75">IF(AC41&gt;AC42,AC41-AC42,0)</f>
        <v>1793837499.999999</v>
      </c>
      <c r="AD43" s="133">
        <f t="shared" si="75"/>
        <v>2293837499.999999</v>
      </c>
      <c r="AE43" s="133">
        <f t="shared" ca="1" si="75"/>
        <v>2471256854.8387089</v>
      </c>
      <c r="AF43" s="133">
        <f t="shared" ca="1" si="75"/>
        <v>2471256854.8387089</v>
      </c>
      <c r="AG43" s="15"/>
      <c r="AH43" s="3"/>
      <c r="AI43" s="3"/>
      <c r="AK43" s="246" t="s">
        <v>153</v>
      </c>
      <c r="AL43" s="133">
        <f t="shared" ref="AL43:AO43" si="76">IF(AL41&gt;AL42,AL41-AL42,0)</f>
        <v>2272913124.9999986</v>
      </c>
      <c r="AM43" s="248">
        <f t="shared" si="76"/>
        <v>2772913124.9999986</v>
      </c>
      <c r="AN43" s="248">
        <f t="shared" ca="1" si="76"/>
        <v>2950332479.8387084</v>
      </c>
      <c r="AO43" s="248">
        <f t="shared" ca="1" si="76"/>
        <v>2950332479.8387084</v>
      </c>
      <c r="AP43" s="15"/>
      <c r="AQ43" s="3"/>
      <c r="AR43" s="3"/>
    </row>
    <row r="44" spans="1:44" ht="16.5" customHeight="1">
      <c r="A44" s="194" t="s">
        <v>78</v>
      </c>
      <c r="B44" s="17">
        <v>0.6</v>
      </c>
      <c r="C44" s="3"/>
      <c r="D44" s="3"/>
      <c r="E44" s="3"/>
      <c r="F44" s="3"/>
      <c r="G44" s="3"/>
      <c r="H44" s="3"/>
      <c r="I44" s="3"/>
      <c r="J44" s="260" t="s">
        <v>279</v>
      </c>
      <c r="K44" s="261">
        <v>0.7</v>
      </c>
      <c r="L44" s="261">
        <v>0.7</v>
      </c>
      <c r="M44" s="261">
        <v>0.7</v>
      </c>
      <c r="N44" s="261">
        <v>0.7</v>
      </c>
      <c r="O44" s="17"/>
      <c r="P44" s="3"/>
      <c r="Q44" s="3"/>
      <c r="R44" s="25"/>
      <c r="S44" s="262" t="s">
        <v>78</v>
      </c>
      <c r="T44" s="263">
        <v>0.7</v>
      </c>
      <c r="U44" s="263">
        <v>0.7</v>
      </c>
      <c r="V44" s="261">
        <v>0.8</v>
      </c>
      <c r="W44" s="261">
        <v>0.8</v>
      </c>
      <c r="X44" s="17"/>
      <c r="Y44" s="3"/>
      <c r="Z44" s="3"/>
      <c r="AA44" s="25"/>
      <c r="AB44" s="262" t="s">
        <v>78</v>
      </c>
      <c r="AC44" s="263">
        <v>0.7</v>
      </c>
      <c r="AD44" s="263">
        <v>0.7</v>
      </c>
      <c r="AE44" s="263">
        <v>0.8</v>
      </c>
      <c r="AF44" s="263">
        <v>0.8</v>
      </c>
      <c r="AG44" s="17"/>
      <c r="AH44" s="3"/>
      <c r="AI44" s="3"/>
      <c r="AJ44" s="25"/>
      <c r="AK44" s="262" t="s">
        <v>78</v>
      </c>
      <c r="AL44" s="263">
        <v>0.7</v>
      </c>
      <c r="AM44" s="263">
        <v>0.7</v>
      </c>
      <c r="AN44" s="261">
        <v>0.8</v>
      </c>
      <c r="AO44" s="261">
        <v>0.8</v>
      </c>
      <c r="AP44" s="17"/>
      <c r="AQ44" s="3"/>
      <c r="AR44" s="3"/>
    </row>
    <row r="45" spans="1:44" ht="16.5" customHeight="1">
      <c r="A45" s="194" t="s">
        <v>62</v>
      </c>
      <c r="B45" s="15">
        <f>B43*B44</f>
        <v>3499200000</v>
      </c>
      <c r="C45" s="3"/>
      <c r="D45" s="15"/>
      <c r="E45" s="3"/>
      <c r="F45" s="3"/>
      <c r="G45" s="3"/>
      <c r="H45" s="3"/>
      <c r="I45" s="3"/>
      <c r="J45" s="246" t="s">
        <v>62</v>
      </c>
      <c r="K45" s="133">
        <f t="shared" ref="K45:N45" si="77">IF(K43&gt;0,K43*K44,0)</f>
        <v>0</v>
      </c>
      <c r="L45" s="133">
        <f t="shared" si="77"/>
        <v>1060499999.9999999</v>
      </c>
      <c r="M45" s="133">
        <f t="shared" ca="1" si="77"/>
        <v>1184693548.3870969</v>
      </c>
      <c r="N45" s="133">
        <f t="shared" ca="1" si="77"/>
        <v>1184693548.3870969</v>
      </c>
      <c r="O45" s="15"/>
      <c r="P45" s="3"/>
      <c r="Q45" s="3"/>
      <c r="R45" s="25"/>
      <c r="S45" s="246" t="s">
        <v>62</v>
      </c>
      <c r="T45" s="133">
        <f t="shared" ref="T45:W45" si="78">IF(T43&gt;0,T43*T44,0)</f>
        <v>964074999.99999988</v>
      </c>
      <c r="U45" s="133">
        <f t="shared" si="78"/>
        <v>1314075000</v>
      </c>
      <c r="V45" s="133">
        <f t="shared" ca="1" si="78"/>
        <v>1643735483.8709679</v>
      </c>
      <c r="W45" s="133">
        <f t="shared" ca="1" si="78"/>
        <v>1643735483.8709679</v>
      </c>
      <c r="X45" s="15"/>
      <c r="Y45" s="3"/>
      <c r="Z45" s="3"/>
      <c r="AA45" s="25"/>
      <c r="AB45" s="246" t="s">
        <v>62</v>
      </c>
      <c r="AC45" s="133">
        <f t="shared" ref="AC45:AF45" si="79">IF(AC43&gt;0,AC43*AC44,0)</f>
        <v>1255686249.9999993</v>
      </c>
      <c r="AD45" s="133">
        <f t="shared" si="79"/>
        <v>1605686249.9999993</v>
      </c>
      <c r="AE45" s="133">
        <f t="shared" ca="1" si="79"/>
        <v>1977005483.8709671</v>
      </c>
      <c r="AF45" s="133">
        <f t="shared" ca="1" si="79"/>
        <v>1977005483.8709671</v>
      </c>
      <c r="AG45" s="15"/>
      <c r="AH45" s="3"/>
      <c r="AI45" s="3"/>
      <c r="AJ45" s="25"/>
      <c r="AK45" s="246" t="s">
        <v>62</v>
      </c>
      <c r="AL45" s="133">
        <f t="shared" ref="AL45:AO45" si="80">IF(AL43&gt;0,AL43*AL44,0)</f>
        <v>1591039187.4999988</v>
      </c>
      <c r="AM45" s="133">
        <f t="shared" si="80"/>
        <v>1941039187.4999988</v>
      </c>
      <c r="AN45" s="133">
        <f t="shared" ca="1" si="80"/>
        <v>2360265983.8709669</v>
      </c>
      <c r="AO45" s="133">
        <f t="shared" ca="1" si="80"/>
        <v>2360265983.8709669</v>
      </c>
      <c r="AP45" s="15"/>
      <c r="AQ45" s="3"/>
      <c r="AR45" s="3"/>
    </row>
    <row r="46" spans="1:44" ht="16.5" customHeight="1">
      <c r="A46" s="194" t="s">
        <v>63</v>
      </c>
      <c r="B46" s="20">
        <f t="array" ref="B46">IF(B34="기본세율",
INDEX(t!$M$3:$M$9,MATCH(TRUE,$B$45&lt;=t!$L$3:$L$9,0)),
INDEX(t!$O$3:$O$9,MATCH(TRUE,$B$45&lt;=t!$L$3:$L$9,0)))</f>
        <v>0.03</v>
      </c>
      <c r="C46" s="3"/>
      <c r="D46" s="3"/>
      <c r="E46" s="3"/>
      <c r="F46" s="3"/>
      <c r="G46" s="3"/>
      <c r="H46" s="3"/>
      <c r="I46" s="3"/>
      <c r="J46" s="246" t="s">
        <v>63</v>
      </c>
      <c r="K46" s="249">
        <f t="array" ref="K46">INDEX(t!$M$13:$M$19,MATCH(TRUE,K45&lt;=t!$L$13:$L$19,0))</f>
        <v>5.0000000000000001E-3</v>
      </c>
      <c r="L46" s="249">
        <f t="array" ref="L46">INDEX(t!$M$13:$M$19,MATCH(TRUE,L45&lt;=t!$L$13:$L$19,0))</f>
        <v>1.2999999999999999E-2</v>
      </c>
      <c r="M46" s="249">
        <f t="array" aca="1" ref="M46" ca="1">INDEX(t!$O$13:$O$19,MATCH(TRUE,M45&lt;=t!$L$13:$L$19,0))</f>
        <v>1.2999999999999999E-2</v>
      </c>
      <c r="N46" s="249">
        <f t="array" aca="1" ref="N46" ca="1">INDEX(t!$O$13:$O$19,MATCH(TRUE,N45&lt;=t!$L$13:$L$19,0))</f>
        <v>1.2999999999999999E-2</v>
      </c>
      <c r="O46" s="15"/>
      <c r="P46" s="3"/>
      <c r="Q46" s="3"/>
      <c r="R46" s="7"/>
      <c r="S46" s="246" t="s">
        <v>63</v>
      </c>
      <c r="T46" s="249">
        <f t="array" ref="T46">INDEX(t!$M$23:$M$29,MATCH(TRUE,T45&lt;=t!$L$23:$L$29,0))</f>
        <v>1.2999999999999999E-2</v>
      </c>
      <c r="U46" s="249">
        <f t="array" ref="U46">INDEX(t!$M$23:$M$29,MATCH(TRUE,U45&lt;=t!$L$23:$L$29,0))</f>
        <v>0.02</v>
      </c>
      <c r="V46" s="249">
        <f t="array" aca="1" ref="V46" ca="1">INDEX(t!$M$23:$M$29,MATCH(TRUE,V45&lt;=t!$L$23:$L$29,0))</f>
        <v>0.02</v>
      </c>
      <c r="W46" s="249">
        <f t="array" aca="1" ref="W46" ca="1">INDEX(t!$M$23:$M$29,MATCH(TRUE,W45&lt;=t!$L$23:$L$29,0))</f>
        <v>0.02</v>
      </c>
      <c r="X46" s="15"/>
      <c r="Y46" s="3"/>
      <c r="Z46" s="3"/>
      <c r="AA46" s="7"/>
      <c r="AB46" s="246" t="s">
        <v>63</v>
      </c>
      <c r="AC46" s="249">
        <f t="array" ref="AC46">INDEX(t!$M$23:$M$29,MATCH(TRUE,AC45&lt;=t!$L$23:$L$29,0))</f>
        <v>0.02</v>
      </c>
      <c r="AD46" s="249">
        <f t="array" ref="AD46">INDEX(t!$M$23:$M$29,MATCH(TRUE,AD45&lt;=t!$L$23:$L$29,0))</f>
        <v>0.02</v>
      </c>
      <c r="AE46" s="249">
        <f t="array" aca="1" ref="AE46" ca="1">INDEX(t!$M$23:$M$29,MATCH(TRUE,AE45&lt;=t!$L$23:$L$29,0))</f>
        <v>0.02</v>
      </c>
      <c r="AF46" s="249">
        <f t="array" aca="1" ref="AF46" ca="1">INDEX(t!$M$23:$M$29,MATCH(TRUE,AF45&lt;=t!$L$23:$L$29,0))</f>
        <v>0.02</v>
      </c>
      <c r="AG46" s="15"/>
      <c r="AH46" s="3"/>
      <c r="AI46" s="3"/>
      <c r="AJ46" s="7"/>
      <c r="AK46" s="246" t="s">
        <v>63</v>
      </c>
      <c r="AL46" s="249">
        <f t="array" ref="AL46">INDEX(t!$M$23:$M$29,MATCH(TRUE,AL45&lt;=t!$L$23:$L$29,0))</f>
        <v>0.02</v>
      </c>
      <c r="AM46" s="249">
        <f t="array" ref="AM46">INDEX(t!$M$23:$M$29,MATCH(TRUE,AM45&lt;=t!$L$23:$L$29,0))</f>
        <v>0.02</v>
      </c>
      <c r="AN46" s="249">
        <f t="array" aca="1" ref="AN46" ca="1">INDEX(t!$M$23:$M$29,MATCH(TRUE,AN45&lt;=t!$L$23:$L$29,0))</f>
        <v>0.02</v>
      </c>
      <c r="AO46" s="249">
        <f t="array" aca="1" ref="AO46" ca="1">INDEX(t!$M$23:$M$29,MATCH(TRUE,AO45&lt;=t!$L$23:$L$29,0))</f>
        <v>0.02</v>
      </c>
      <c r="AP46" s="15"/>
      <c r="AQ46" s="3"/>
      <c r="AR46" s="3"/>
    </row>
    <row r="47" spans="1:44" ht="16.5" customHeight="1">
      <c r="A47" s="194" t="s">
        <v>167</v>
      </c>
      <c r="B47" s="15">
        <f>B45*B46-VLOOKUP(B46,IF(B34="기본세율",t!$M$2:$N$9,t!$O$2:$P$9),2,0)</f>
        <v>65576000</v>
      </c>
      <c r="C47" s="3"/>
      <c r="D47" s="3"/>
      <c r="E47" s="3"/>
      <c r="F47" s="3"/>
      <c r="G47" s="3"/>
      <c r="H47" s="3"/>
      <c r="I47" s="3"/>
      <c r="J47" s="246" t="s">
        <v>167</v>
      </c>
      <c r="K47" s="133">
        <f>K45*K46-VLOOKUP(K46,t!$M$13:$N$19,2,0)</f>
        <v>0</v>
      </c>
      <c r="L47" s="133">
        <f>L45*L46-VLOOKUP(L46,t!$M$13:$N$19,2,0)</f>
        <v>9586499.9999999981</v>
      </c>
      <c r="M47" s="133">
        <f ca="1">M45*M46-VLOOKUP(M46,t!$O$13:$P$19,2,0)</f>
        <v>11201016.129032258</v>
      </c>
      <c r="N47" s="133">
        <f ca="1">N45*N46-VLOOKUP(N46,t!$O$13:$P$19,2,0)</f>
        <v>11201016.129032258</v>
      </c>
      <c r="O47" s="15"/>
      <c r="P47" s="3"/>
      <c r="Q47" s="3"/>
      <c r="R47" s="25"/>
      <c r="S47" s="246" t="s">
        <v>167</v>
      </c>
      <c r="T47" s="133">
        <f>T45*T46-VLOOKUP(T46,t!$M$22:$N$29,2,0)</f>
        <v>8332974.9999999981</v>
      </c>
      <c r="U47" s="133">
        <f>U45*U46-VLOOKUP(U46,t!$M$22:$N$29,2,0)</f>
        <v>13681500</v>
      </c>
      <c r="V47" s="133">
        <f ca="1">V45*V46-VLOOKUP(V46,t!$M$22:$N$29,2,0)</f>
        <v>20274709.677419357</v>
      </c>
      <c r="W47" s="133">
        <f ca="1">W45*W46-VLOOKUP(W46,t!$M$22:$N$29,2,0)</f>
        <v>20274709.677419357</v>
      </c>
      <c r="X47" s="15"/>
      <c r="Y47" s="3"/>
      <c r="Z47" s="3"/>
      <c r="AA47" s="25"/>
      <c r="AB47" s="246" t="s">
        <v>167</v>
      </c>
      <c r="AC47" s="133">
        <f>AC45*AC46-VLOOKUP(AC46,t!$M$22:$N$29,2,0)</f>
        <v>12513724.999999985</v>
      </c>
      <c r="AD47" s="133">
        <f>AD45*AD46-VLOOKUP(AD46,t!$M$22:$N$29,2,0)</f>
        <v>19513724.999999985</v>
      </c>
      <c r="AE47" s="133">
        <f ca="1">AE45*AE46-VLOOKUP(AE46,t!$M$22:$N$29,2,0)</f>
        <v>26940109.677419342</v>
      </c>
      <c r="AF47" s="133">
        <f ca="1">AF45*AF46-VLOOKUP(AF46,t!$M$22:$N$29,2,0)</f>
        <v>26940109.677419342</v>
      </c>
      <c r="AG47" s="15"/>
      <c r="AH47" s="3"/>
      <c r="AI47" s="3"/>
      <c r="AJ47" s="25"/>
      <c r="AK47" s="246" t="s">
        <v>167</v>
      </c>
      <c r="AL47" s="133">
        <f>AL45*AL46-VLOOKUP(AL46,t!$M$22:$N$29,2,0)</f>
        <v>19220783.749999978</v>
      </c>
      <c r="AM47" s="133">
        <f>AM45*AM46-VLOOKUP(AM46,t!$M$22:$N$29,2,0)</f>
        <v>26220783.749999978</v>
      </c>
      <c r="AN47" s="133">
        <f ca="1">AN45*AN46-VLOOKUP(AN46,t!$M$22:$N$29,2,0)</f>
        <v>34605319.677419342</v>
      </c>
      <c r="AO47" s="133">
        <f ca="1">AO45*AO46-VLOOKUP(AO46,t!$M$22:$N$29,2,0)</f>
        <v>34605319.677419342</v>
      </c>
      <c r="AP47" s="15"/>
      <c r="AQ47" s="3"/>
      <c r="AR47" s="3"/>
    </row>
    <row r="48" spans="1:44" ht="16.5" customHeight="1">
      <c r="A48" s="194" t="s">
        <v>168</v>
      </c>
      <c r="B48" s="103">
        <f>F16*(B45*60%*$F$14)/$F$15</f>
        <v>3383179.9354709149</v>
      </c>
      <c r="C48" s="93"/>
      <c r="D48" s="94"/>
      <c r="E48" s="94"/>
      <c r="F48" s="42"/>
      <c r="G48" s="42"/>
      <c r="H48" s="42"/>
      <c r="I48" s="42"/>
      <c r="J48" s="246" t="s">
        <v>168</v>
      </c>
      <c r="K48" s="103">
        <f>$O$16*(K45*60%*$O$14)/$O$15</f>
        <v>0</v>
      </c>
      <c r="L48" s="103">
        <f>$O$16*(L45*60%*$O$14)/$O$15</f>
        <v>1941846.9492808476</v>
      </c>
      <c r="M48" s="103">
        <f ca="1">$O$16*(M45*60%*$O$14)/$O$15</f>
        <v>2169253.7036946598</v>
      </c>
      <c r="N48" s="103">
        <f ca="1">$O$16*(N45*60%*$O$14)/$O$15</f>
        <v>2169253.7036946598</v>
      </c>
      <c r="O48" s="61"/>
      <c r="P48" s="42"/>
      <c r="Q48" s="42"/>
      <c r="R48" s="29"/>
      <c r="S48" s="246" t="s">
        <v>168</v>
      </c>
      <c r="T48" s="103">
        <f>$X$16*(T45*60%*$X$14)/$X$15</f>
        <v>1801440.3081308224</v>
      </c>
      <c r="U48" s="103">
        <f t="shared" ref="U48:W48" si="81">$X$16*(U45*60%*$X$14)/$X$15</f>
        <v>2455439.3308684607</v>
      </c>
      <c r="V48" s="103">
        <f t="shared" ca="1" si="81"/>
        <v>3071432.571687974</v>
      </c>
      <c r="W48" s="103">
        <f t="shared" ca="1" si="81"/>
        <v>3071432.571687974</v>
      </c>
      <c r="X48" s="61"/>
      <c r="Y48" s="42"/>
      <c r="Z48" s="42"/>
      <c r="AA48" s="29"/>
      <c r="AB48" s="246" t="s">
        <v>168</v>
      </c>
      <c r="AC48" s="103">
        <f>$AG$16*(AC45*60%*$AG$14)/$AG$15</f>
        <v>2401587.1288318718</v>
      </c>
      <c r="AD48" s="103">
        <f t="shared" ref="AD48:AF48" si="82">$AG$16*(AD45*60%*$AG$14)/$AG$15</f>
        <v>3070986.4274951769</v>
      </c>
      <c r="AE48" s="103">
        <f t="shared" ca="1" si="82"/>
        <v>3781160.2410192392</v>
      </c>
      <c r="AF48" s="103">
        <f t="shared" ca="1" si="82"/>
        <v>3781160.2410192392</v>
      </c>
      <c r="AG48" s="61"/>
      <c r="AH48" s="42"/>
      <c r="AI48" s="42"/>
      <c r="AJ48" s="29"/>
      <c r="AK48" s="246" t="s">
        <v>168</v>
      </c>
      <c r="AL48" s="103">
        <f>$AP$16*(AL45*60%*$AP$14)/$AP$15</f>
        <v>3107174.4207625049</v>
      </c>
      <c r="AM48" s="103">
        <f>$AP$16*(AM45*60%*$AP$14)/$AP$15</f>
        <v>3790696.8982796581</v>
      </c>
      <c r="AN48" s="103">
        <f ca="1">$AP$16*(AN45*60%*$AP$14)/$AP$15</f>
        <v>4609413.865414124</v>
      </c>
      <c r="AO48" s="103">
        <f ca="1">$AP$16*(AO45*60%*$AP$14)/$AP$15</f>
        <v>4609413.865414124</v>
      </c>
      <c r="AP48" s="61"/>
      <c r="AQ48" s="42"/>
      <c r="AR48" s="42"/>
    </row>
    <row r="49" spans="1:44" ht="16.5" customHeight="1">
      <c r="A49" s="194" t="s">
        <v>64</v>
      </c>
      <c r="B49" s="15">
        <f>B47-B48</f>
        <v>62192820.064529084</v>
      </c>
      <c r="C49" s="15"/>
      <c r="D49" s="3"/>
      <c r="E49" s="3"/>
      <c r="F49" s="3"/>
      <c r="G49" s="3"/>
      <c r="H49" s="3"/>
      <c r="I49" s="3"/>
      <c r="J49" s="246" t="s">
        <v>64</v>
      </c>
      <c r="K49" s="133">
        <f t="shared" ref="K49:N49" si="83">IF(K47-K48&lt;0,0,K47-K48)</f>
        <v>0</v>
      </c>
      <c r="L49" s="133">
        <f t="shared" si="83"/>
        <v>7644653.0507191503</v>
      </c>
      <c r="M49" s="133">
        <f t="shared" ca="1" si="83"/>
        <v>9031762.4253375977</v>
      </c>
      <c r="N49" s="133">
        <f t="shared" ca="1" si="83"/>
        <v>9031762.4253375977</v>
      </c>
      <c r="O49" s="15"/>
      <c r="P49" s="3"/>
      <c r="Q49" s="3"/>
      <c r="R49" s="7"/>
      <c r="S49" s="246" t="s">
        <v>64</v>
      </c>
      <c r="T49" s="133">
        <f t="shared" ref="T49:W49" si="84">IF(T47-T48&lt;0,0,T47-T48)</f>
        <v>6531534.691869176</v>
      </c>
      <c r="U49" s="133">
        <f t="shared" si="84"/>
        <v>11226060.66913154</v>
      </c>
      <c r="V49" s="133">
        <f t="shared" ca="1" si="84"/>
        <v>17203277.105731383</v>
      </c>
      <c r="W49" s="133">
        <f t="shared" ca="1" si="84"/>
        <v>17203277.105731383</v>
      </c>
      <c r="X49" s="15"/>
      <c r="Y49" s="3"/>
      <c r="Z49" s="3"/>
      <c r="AA49" s="7"/>
      <c r="AB49" s="246" t="s">
        <v>64</v>
      </c>
      <c r="AC49" s="133">
        <f t="shared" ref="AC49:AF49" si="85">IF(AC47-AC48&lt;0,0,AC47-AC48)</f>
        <v>10112137.871168114</v>
      </c>
      <c r="AD49" s="133">
        <f t="shared" si="85"/>
        <v>16442738.572504807</v>
      </c>
      <c r="AE49" s="133">
        <f t="shared" ca="1" si="85"/>
        <v>23158949.436400104</v>
      </c>
      <c r="AF49" s="133">
        <f t="shared" ca="1" si="85"/>
        <v>23158949.436400104</v>
      </c>
      <c r="AG49" s="15"/>
      <c r="AH49" s="3"/>
      <c r="AI49" s="3"/>
      <c r="AJ49" s="7"/>
      <c r="AK49" s="246" t="s">
        <v>64</v>
      </c>
      <c r="AL49" s="133">
        <f t="shared" ref="AL49:AO49" si="86">IF(AL47-AL48&lt;0,0,AL47-AL48)</f>
        <v>16113609.329237472</v>
      </c>
      <c r="AM49" s="133">
        <f t="shared" si="86"/>
        <v>22430086.851720318</v>
      </c>
      <c r="AN49" s="133">
        <f t="shared" ca="1" si="86"/>
        <v>29995905.812005218</v>
      </c>
      <c r="AO49" s="133">
        <f t="shared" ca="1" si="86"/>
        <v>29995905.812005218</v>
      </c>
      <c r="AP49" s="15"/>
      <c r="AQ49" s="3"/>
      <c r="AR49" s="3"/>
    </row>
    <row r="50" spans="1:44" ht="16.5" customHeight="1">
      <c r="A50" s="194" t="s">
        <v>268</v>
      </c>
      <c r="B50" s="17">
        <f>IF(B10="1세대1주택",MIN(80%,SUM(B38,B32)),0)</f>
        <v>0</v>
      </c>
      <c r="C50" s="15"/>
      <c r="D50" s="3"/>
      <c r="E50" s="3"/>
      <c r="F50" s="3"/>
      <c r="G50" s="3"/>
      <c r="H50" s="3"/>
      <c r="I50" s="3"/>
      <c r="J50" s="246" t="s">
        <v>268</v>
      </c>
      <c r="K50" s="121">
        <f>IF(K28="1세대1주택",MIN(80%,K32+MAX(K36,K38)),0)</f>
        <v>0</v>
      </c>
      <c r="L50" s="121">
        <f t="shared" ref="L50:N50" si="87">IF(L28="1세대1주택",MIN(80%,L32+MAX(L36,L38)),0)</f>
        <v>0</v>
      </c>
      <c r="M50" s="121">
        <f t="shared" si="87"/>
        <v>0</v>
      </c>
      <c r="N50" s="121">
        <f t="shared" si="87"/>
        <v>0</v>
      </c>
      <c r="O50" s="15"/>
      <c r="P50" s="3"/>
      <c r="Q50" s="3"/>
      <c r="R50" s="7"/>
      <c r="S50" s="246" t="s">
        <v>268</v>
      </c>
      <c r="T50" s="121">
        <f>IF(T28="1세대1주택",MIN(80%,SUM(T36,T38)),0)</f>
        <v>0</v>
      </c>
      <c r="U50" s="121">
        <f t="shared" ref="U50:W50" si="88">IF(U28="1세대1주택",MIN(80%,SUM(U36,U38)),0)</f>
        <v>0</v>
      </c>
      <c r="V50" s="121">
        <f t="shared" si="88"/>
        <v>0</v>
      </c>
      <c r="W50" s="121">
        <f t="shared" si="88"/>
        <v>0</v>
      </c>
      <c r="X50" s="15"/>
      <c r="Y50" s="3"/>
      <c r="Z50" s="3"/>
      <c r="AA50" s="7"/>
      <c r="AB50" s="246" t="s">
        <v>268</v>
      </c>
      <c r="AC50" s="121">
        <f>IF(AC28="1세대1주택",MIN(80%,SUM(AC36,AC38)),0)</f>
        <v>0</v>
      </c>
      <c r="AD50" s="121">
        <f t="shared" ref="AD50:AF50" si="89">IF(AD28="1세대1주택",MIN(80%,SUM(AD36,AD38)),0)</f>
        <v>0</v>
      </c>
      <c r="AE50" s="121">
        <f t="shared" si="89"/>
        <v>0</v>
      </c>
      <c r="AF50" s="121">
        <f t="shared" si="89"/>
        <v>0</v>
      </c>
      <c r="AG50" s="15"/>
      <c r="AH50" s="3"/>
      <c r="AI50" s="3"/>
      <c r="AJ50" s="7"/>
      <c r="AK50" s="246" t="s">
        <v>268</v>
      </c>
      <c r="AL50" s="121">
        <f>IF(AL28="1세대1주택",MIN(80%,SUM(AL36,AL38)),0)</f>
        <v>0</v>
      </c>
      <c r="AM50" s="121">
        <f t="shared" ref="AM50:AO50" si="90">IF(AM28="1세대1주택",MIN(80%,SUM(AM36,AM38)),0)</f>
        <v>0</v>
      </c>
      <c r="AN50" s="121">
        <f t="shared" si="90"/>
        <v>0</v>
      </c>
      <c r="AO50" s="121">
        <f t="shared" si="90"/>
        <v>0</v>
      </c>
      <c r="AP50" s="15"/>
      <c r="AQ50" s="3"/>
      <c r="AR50" s="3"/>
    </row>
    <row r="51" spans="1:44" ht="16.5" customHeight="1">
      <c r="A51" s="194" t="s">
        <v>271</v>
      </c>
      <c r="B51" s="15">
        <f>B49*(1-B50)</f>
        <v>62192820.064529084</v>
      </c>
      <c r="D51" s="3"/>
      <c r="E51" s="3"/>
      <c r="F51" s="3"/>
      <c r="G51" s="3"/>
      <c r="H51" s="3"/>
      <c r="I51" s="3"/>
      <c r="J51" s="246" t="s">
        <v>271</v>
      </c>
      <c r="K51" s="133">
        <f>K49*(1-K50)</f>
        <v>0</v>
      </c>
      <c r="L51" s="133">
        <f t="shared" ref="L51:N51" si="91">L49*(1-L50)</f>
        <v>7644653.0507191503</v>
      </c>
      <c r="M51" s="133">
        <f t="shared" ca="1" si="91"/>
        <v>9031762.4253375977</v>
      </c>
      <c r="N51" s="133">
        <f t="shared" ca="1" si="91"/>
        <v>9031762.4253375977</v>
      </c>
      <c r="O51" s="15"/>
      <c r="P51" s="3"/>
      <c r="Q51" s="3"/>
      <c r="R51" s="25"/>
      <c r="S51" s="246" t="s">
        <v>271</v>
      </c>
      <c r="T51" s="133">
        <f>T49*(1-T50)</f>
        <v>6531534.691869176</v>
      </c>
      <c r="U51" s="133"/>
      <c r="V51" s="133"/>
      <c r="W51" s="133"/>
      <c r="X51" s="15"/>
      <c r="Y51" s="3"/>
      <c r="Z51" s="3"/>
      <c r="AA51" s="25"/>
      <c r="AB51" s="246" t="s">
        <v>271</v>
      </c>
      <c r="AC51" s="133">
        <f>AC49*(1-AC50)</f>
        <v>10112137.871168114</v>
      </c>
      <c r="AD51" s="133">
        <f t="shared" ref="AD51:AF51" si="92">AD49*(1-AD50)</f>
        <v>16442738.572504807</v>
      </c>
      <c r="AE51" s="133">
        <f t="shared" ca="1" si="92"/>
        <v>23158949.436400104</v>
      </c>
      <c r="AF51" s="133">
        <f t="shared" ca="1" si="92"/>
        <v>23158949.436400104</v>
      </c>
      <c r="AG51" s="15"/>
      <c r="AH51" s="3"/>
      <c r="AI51" s="3"/>
      <c r="AJ51" s="25"/>
      <c r="AK51" s="246" t="s">
        <v>271</v>
      </c>
      <c r="AL51" s="133">
        <f>AL49*(1-AL50)</f>
        <v>16113609.329237472</v>
      </c>
      <c r="AM51" s="133">
        <f t="shared" ref="AM51:AO51" si="93">AM49*(1-AM50)</f>
        <v>22430086.851720318</v>
      </c>
      <c r="AN51" s="133">
        <f t="shared" ca="1" si="93"/>
        <v>29995905.812005218</v>
      </c>
      <c r="AO51" s="133">
        <f t="shared" ca="1" si="93"/>
        <v>29995905.812005218</v>
      </c>
      <c r="AP51" s="15"/>
      <c r="AQ51" s="3"/>
      <c r="AR51" s="3"/>
    </row>
    <row r="52" spans="1:44" ht="16.5" customHeight="1" thickBot="1">
      <c r="A52" s="194" t="s">
        <v>169</v>
      </c>
      <c r="B52" s="15">
        <f>IF(B51&gt;$F$26,$F$26-B51,0)</f>
        <v>-33960195.064529084</v>
      </c>
      <c r="C52" s="15"/>
      <c r="D52" s="15"/>
      <c r="E52" s="3"/>
      <c r="F52" s="3"/>
      <c r="G52" s="3"/>
      <c r="H52" s="3"/>
      <c r="I52" s="3"/>
      <c r="J52" s="254" t="s">
        <v>169</v>
      </c>
      <c r="K52" s="107">
        <f>IF(K51&gt;$O$26,$O$26-K51,0)</f>
        <v>0</v>
      </c>
      <c r="L52" s="107">
        <f t="shared" ref="L52:N52" si="94">IF(L51&gt;$O$26,$O$26-L51,0)</f>
        <v>0</v>
      </c>
      <c r="M52" s="107">
        <f t="shared" ca="1" si="94"/>
        <v>0</v>
      </c>
      <c r="N52" s="107">
        <f t="shared" ca="1" si="94"/>
        <v>0</v>
      </c>
      <c r="O52" s="15"/>
      <c r="P52" s="3"/>
      <c r="Q52" s="3"/>
      <c r="S52" s="254" t="s">
        <v>169</v>
      </c>
      <c r="T52" s="107">
        <f ca="1">IF(T51&gt;$X$26,$X$26-T51,0)</f>
        <v>0</v>
      </c>
      <c r="U52" s="107">
        <f ca="1">IF(U51&gt;$X$26,$X$26-U51,0)</f>
        <v>0</v>
      </c>
      <c r="V52" s="107">
        <f ca="1">IF(V51&gt;$X$26,$X$26-V51,0)</f>
        <v>0</v>
      </c>
      <c r="W52" s="107">
        <f ca="1">IF(W51&gt;$X$26,$X$26-W51,0)</f>
        <v>0</v>
      </c>
      <c r="X52" s="15"/>
      <c r="Y52" s="3"/>
      <c r="Z52" s="3"/>
      <c r="AB52" s="254" t="s">
        <v>169</v>
      </c>
      <c r="AC52" s="107">
        <f ca="1">IF(AC51&gt;$AG$26,$AG$26-AC51,0)</f>
        <v>0</v>
      </c>
      <c r="AD52" s="107">
        <f t="shared" ref="AD52:AF52" ca="1" si="95">IF(AD51&gt;$AG$26,$AG$26-AD51,0)</f>
        <v>0</v>
      </c>
      <c r="AE52" s="107">
        <f t="shared" ca="1" si="95"/>
        <v>0</v>
      </c>
      <c r="AF52" s="107">
        <f t="shared" ca="1" si="95"/>
        <v>0</v>
      </c>
      <c r="AG52" s="15"/>
      <c r="AH52" s="3"/>
      <c r="AI52" s="3"/>
      <c r="AK52" s="254" t="s">
        <v>169</v>
      </c>
      <c r="AL52" s="107">
        <f ca="1">IF(AL51&gt;$AP$26,$AP$26-AL51,0)</f>
        <v>0</v>
      </c>
      <c r="AM52" s="107">
        <f t="shared" ref="AM52:AO52" ca="1" si="96">IF(AM51&gt;$AP$26,$AP$26-AM51,0)</f>
        <v>0</v>
      </c>
      <c r="AN52" s="107">
        <f t="shared" ca="1" si="96"/>
        <v>0</v>
      </c>
      <c r="AO52" s="107">
        <f t="shared" ca="1" si="96"/>
        <v>0</v>
      </c>
      <c r="AP52" s="15"/>
      <c r="AQ52" s="3"/>
      <c r="AR52" s="3"/>
    </row>
    <row r="53" spans="1:44" ht="16.5" customHeight="1" thickBot="1">
      <c r="A53" s="206" t="s">
        <v>171</v>
      </c>
      <c r="B53" s="95">
        <f>B49-B52</f>
        <v>96153015.129058167</v>
      </c>
      <c r="C53" s="15"/>
      <c r="D53" s="3"/>
      <c r="E53" s="3"/>
      <c r="F53" s="15"/>
      <c r="G53" s="15"/>
      <c r="H53" s="3"/>
      <c r="I53" s="3"/>
      <c r="J53" s="251" t="s">
        <v>171</v>
      </c>
      <c r="K53" s="252">
        <f>K49-K52</f>
        <v>0</v>
      </c>
      <c r="L53" s="252">
        <f t="shared" ref="L53:N53" si="97">L49-L52</f>
        <v>7644653.0507191503</v>
      </c>
      <c r="M53" s="253">
        <f t="shared" ca="1" si="97"/>
        <v>9031762.4253375977</v>
      </c>
      <c r="N53" s="253">
        <f t="shared" ca="1" si="97"/>
        <v>9031762.4253375977</v>
      </c>
      <c r="O53" s="15"/>
      <c r="P53" s="3"/>
      <c r="Q53" s="3"/>
      <c r="S53" s="251" t="s">
        <v>171</v>
      </c>
      <c r="T53" s="252">
        <f ca="1">T49-T52</f>
        <v>6531534.691869176</v>
      </c>
      <c r="U53" s="252">
        <f t="shared" ref="U53:W53" ca="1" si="98">U49-U52</f>
        <v>11226060.66913154</v>
      </c>
      <c r="V53" s="252">
        <f t="shared" ca="1" si="98"/>
        <v>17203277.105731383</v>
      </c>
      <c r="W53" s="252">
        <f t="shared" ca="1" si="98"/>
        <v>17203277.105731383</v>
      </c>
      <c r="X53" s="15"/>
      <c r="Y53" s="3"/>
      <c r="Z53" s="3"/>
      <c r="AB53" s="251" t="s">
        <v>171</v>
      </c>
      <c r="AC53" s="252">
        <f ca="1">AC49-AC52</f>
        <v>10112137.871168114</v>
      </c>
      <c r="AD53" s="252">
        <f t="shared" ref="AD53:AF53" ca="1" si="99">AD49-AD52</f>
        <v>16442738.572504807</v>
      </c>
      <c r="AE53" s="252">
        <f t="shared" ca="1" si="99"/>
        <v>23158949.436400104</v>
      </c>
      <c r="AF53" s="252">
        <f t="shared" ca="1" si="99"/>
        <v>23158949.436400104</v>
      </c>
      <c r="AG53" s="15"/>
      <c r="AH53" s="3"/>
      <c r="AI53" s="3"/>
      <c r="AK53" s="251" t="s">
        <v>171</v>
      </c>
      <c r="AL53" s="252">
        <f ca="1">AL49-AL52</f>
        <v>16113609.329237472</v>
      </c>
      <c r="AM53" s="252">
        <f t="shared" ref="AM53:AO53" ca="1" si="100">AM49-AM52</f>
        <v>22430086.851720318</v>
      </c>
      <c r="AN53" s="252">
        <f t="shared" ca="1" si="100"/>
        <v>29995905.812005218</v>
      </c>
      <c r="AO53" s="252">
        <f t="shared" ca="1" si="100"/>
        <v>29995905.812005218</v>
      </c>
      <c r="AP53" s="15"/>
      <c r="AQ53" s="3"/>
      <c r="AR53" s="3"/>
    </row>
    <row r="54" spans="1:44" ht="16.5" customHeight="1" thickBot="1">
      <c r="A54" s="194" t="s">
        <v>54</v>
      </c>
      <c r="B54" s="15">
        <f>B53*0.2</f>
        <v>19230603.025811635</v>
      </c>
      <c r="C54" s="3"/>
      <c r="D54" s="3"/>
      <c r="E54" s="3"/>
      <c r="F54" s="3"/>
      <c r="G54" s="3"/>
      <c r="H54" s="3"/>
      <c r="I54" s="3"/>
      <c r="J54" s="254" t="s">
        <v>54</v>
      </c>
      <c r="K54" s="255">
        <f t="shared" ref="K54:N54" si="101">K53*0.2</f>
        <v>0</v>
      </c>
      <c r="L54" s="255">
        <f t="shared" si="101"/>
        <v>1528930.6101438301</v>
      </c>
      <c r="M54" s="255">
        <f t="shared" ca="1" si="101"/>
        <v>1806352.4850675196</v>
      </c>
      <c r="N54" s="255">
        <f t="shared" ca="1" si="101"/>
        <v>1806352.4850675196</v>
      </c>
      <c r="O54" s="3"/>
      <c r="P54" s="3"/>
      <c r="Q54" s="3"/>
      <c r="S54" s="254" t="s">
        <v>54</v>
      </c>
      <c r="T54" s="255">
        <f t="shared" ref="T54:W54" ca="1" si="102">T53*0.2</f>
        <v>1306306.9383738353</v>
      </c>
      <c r="U54" s="255">
        <f t="shared" ca="1" si="102"/>
        <v>2245212.133826308</v>
      </c>
      <c r="V54" s="255">
        <f t="shared" ca="1" si="102"/>
        <v>3440655.4211462769</v>
      </c>
      <c r="W54" s="255">
        <f t="shared" ca="1" si="102"/>
        <v>3440655.4211462769</v>
      </c>
      <c r="X54" s="3"/>
      <c r="Y54" s="3"/>
      <c r="Z54" s="3"/>
      <c r="AB54" s="254" t="s">
        <v>54</v>
      </c>
      <c r="AC54" s="255">
        <f t="shared" ref="AC54:AF54" ca="1" si="103">AC53*0.2</f>
        <v>2022427.574233623</v>
      </c>
      <c r="AD54" s="255">
        <f t="shared" ca="1" si="103"/>
        <v>3288547.7145009618</v>
      </c>
      <c r="AE54" s="255">
        <f t="shared" ca="1" si="103"/>
        <v>4631789.8872800209</v>
      </c>
      <c r="AF54" s="255">
        <f t="shared" ca="1" si="103"/>
        <v>4631789.8872800209</v>
      </c>
      <c r="AG54" s="3"/>
      <c r="AH54" s="3"/>
      <c r="AI54" s="3"/>
      <c r="AK54" s="254" t="s">
        <v>54</v>
      </c>
      <c r="AL54" s="255">
        <f t="shared" ref="AL54:AO54" ca="1" si="104">AL53*0.2</f>
        <v>3222721.8658474945</v>
      </c>
      <c r="AM54" s="255">
        <f t="shared" ca="1" si="104"/>
        <v>4486017.3703440642</v>
      </c>
      <c r="AN54" s="255">
        <f t="shared" ca="1" si="104"/>
        <v>5999181.1624010438</v>
      </c>
      <c r="AO54" s="255">
        <f t="shared" ca="1" si="104"/>
        <v>5999181.1624010438</v>
      </c>
      <c r="AP54" s="3"/>
      <c r="AQ54" s="3"/>
      <c r="AR54" s="3"/>
    </row>
    <row r="55" spans="1:44" ht="16.5" customHeight="1" thickBot="1">
      <c r="A55" s="206" t="s">
        <v>172</v>
      </c>
      <c r="B55" s="143">
        <f>SUM(B53:B54)</f>
        <v>115383618.15486979</v>
      </c>
      <c r="C55" s="3"/>
      <c r="D55" s="3"/>
      <c r="E55" s="3"/>
      <c r="F55" s="3"/>
      <c r="G55" s="3"/>
      <c r="H55" s="3"/>
      <c r="I55" s="3"/>
      <c r="J55" s="251" t="s">
        <v>172</v>
      </c>
      <c r="K55" s="252">
        <f t="shared" ref="K55:N55" si="105">SUM(K53:K54)</f>
        <v>0</v>
      </c>
      <c r="L55" s="252">
        <f t="shared" si="105"/>
        <v>9173583.6608629804</v>
      </c>
      <c r="M55" s="253">
        <f t="shared" ca="1" si="105"/>
        <v>10838114.910405118</v>
      </c>
      <c r="N55" s="253">
        <f t="shared" ca="1" si="105"/>
        <v>10838114.910405118</v>
      </c>
      <c r="O55" s="3"/>
      <c r="P55" s="3"/>
      <c r="Q55" s="3"/>
      <c r="S55" s="251" t="s">
        <v>172</v>
      </c>
      <c r="T55" s="252">
        <f t="shared" ref="T55:W55" ca="1" si="106">SUM(T53:T54)</f>
        <v>7837841.6302430108</v>
      </c>
      <c r="U55" s="252">
        <f t="shared" ca="1" si="106"/>
        <v>13471272.802957848</v>
      </c>
      <c r="V55" s="252">
        <f t="shared" ca="1" si="106"/>
        <v>20643932.52687766</v>
      </c>
      <c r="W55" s="252">
        <f t="shared" ca="1" si="106"/>
        <v>20643932.52687766</v>
      </c>
      <c r="X55" s="3"/>
      <c r="Y55" s="3"/>
      <c r="Z55" s="3"/>
      <c r="AB55" s="251" t="s">
        <v>172</v>
      </c>
      <c r="AC55" s="252">
        <f t="shared" ref="AC55:AF55" ca="1" si="107">SUM(AC53:AC54)</f>
        <v>12134565.445401737</v>
      </c>
      <c r="AD55" s="252">
        <f t="shared" ca="1" si="107"/>
        <v>19731286.287005767</v>
      </c>
      <c r="AE55" s="252">
        <f t="shared" ca="1" si="107"/>
        <v>27790739.323680125</v>
      </c>
      <c r="AF55" s="252">
        <f t="shared" ca="1" si="107"/>
        <v>27790739.323680125</v>
      </c>
      <c r="AG55" s="3"/>
      <c r="AH55" s="3"/>
      <c r="AI55" s="3"/>
      <c r="AK55" s="251" t="s">
        <v>172</v>
      </c>
      <c r="AL55" s="252">
        <f t="shared" ref="AL55:AO55" ca="1" si="108">SUM(AL53:AL54)</f>
        <v>19336331.195084967</v>
      </c>
      <c r="AM55" s="252">
        <f t="shared" ca="1" si="108"/>
        <v>26916104.222064383</v>
      </c>
      <c r="AN55" s="252">
        <f t="shared" ca="1" si="108"/>
        <v>35995086.974406265</v>
      </c>
      <c r="AO55" s="252">
        <f t="shared" ca="1" si="108"/>
        <v>35995086.974406265</v>
      </c>
      <c r="AP55" s="3"/>
      <c r="AQ55" s="3"/>
      <c r="AR55" s="3"/>
    </row>
    <row r="56" spans="1:44" ht="16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15"/>
      <c r="L56" s="3"/>
      <c r="M56" s="3"/>
      <c r="N56" s="3"/>
      <c r="O56" s="3"/>
      <c r="P56" s="3"/>
      <c r="Q56" s="3"/>
      <c r="S56" s="3"/>
      <c r="T56" s="15"/>
      <c r="U56" s="3"/>
      <c r="V56" s="3"/>
      <c r="W56" s="3"/>
      <c r="X56" s="3"/>
      <c r="Y56" s="3"/>
      <c r="Z56" s="3"/>
      <c r="AB56" s="3"/>
      <c r="AC56" s="15"/>
      <c r="AD56" s="3"/>
      <c r="AE56" s="3"/>
      <c r="AF56" s="3"/>
      <c r="AG56" s="3"/>
      <c r="AH56" s="3"/>
      <c r="AI56" s="3"/>
      <c r="AK56" s="3"/>
      <c r="AL56" s="15"/>
      <c r="AM56" s="3"/>
      <c r="AN56" s="3"/>
      <c r="AO56" s="3"/>
      <c r="AP56" s="3"/>
      <c r="AQ56" s="3"/>
      <c r="AR56" s="3"/>
    </row>
    <row r="57" spans="1:44" ht="16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S57" s="3"/>
      <c r="T57" s="3"/>
      <c r="U57" s="3"/>
      <c r="V57" s="3"/>
      <c r="W57" s="3"/>
      <c r="X57" s="3"/>
      <c r="Y57" s="3"/>
      <c r="Z57" s="3"/>
      <c r="AB57" s="3"/>
      <c r="AC57" s="3"/>
      <c r="AD57" s="3"/>
      <c r="AE57" s="3"/>
      <c r="AF57" s="3"/>
      <c r="AG57" s="3"/>
      <c r="AH57" s="3"/>
      <c r="AI57" s="3"/>
      <c r="AK57" s="3"/>
      <c r="AL57" s="3"/>
      <c r="AM57" s="3"/>
      <c r="AN57" s="3"/>
      <c r="AO57" s="3"/>
      <c r="AP57" s="3"/>
      <c r="AQ57" s="3"/>
      <c r="AR57" s="3"/>
    </row>
    <row r="58" spans="1:44" ht="16.5" customHeight="1">
      <c r="A58" s="192">
        <f>A28</f>
        <v>2026</v>
      </c>
      <c r="B58" s="186" t="s">
        <v>14</v>
      </c>
      <c r="C58" s="244" t="s">
        <v>314</v>
      </c>
      <c r="D58" s="3"/>
      <c r="E58" s="3"/>
      <c r="F58" s="3"/>
      <c r="G58" s="3"/>
      <c r="H58" s="3"/>
      <c r="I58" s="3"/>
      <c r="J58" s="193">
        <f>A58+1</f>
        <v>2027</v>
      </c>
      <c r="K58" s="186" t="s">
        <v>14</v>
      </c>
      <c r="L58" s="186" t="s">
        <v>14</v>
      </c>
      <c r="M58" s="186" t="s">
        <v>14</v>
      </c>
      <c r="N58" s="186" t="s">
        <v>14</v>
      </c>
      <c r="O58" s="3"/>
      <c r="P58" s="3"/>
      <c r="Q58" s="3"/>
      <c r="S58" s="193">
        <f>J58+1</f>
        <v>2028</v>
      </c>
      <c r="T58" s="186" t="s">
        <v>14</v>
      </c>
      <c r="U58" s="186" t="s">
        <v>14</v>
      </c>
      <c r="V58" s="186" t="s">
        <v>14</v>
      </c>
      <c r="W58" s="186" t="s">
        <v>14</v>
      </c>
      <c r="X58" s="3"/>
      <c r="Y58" s="3"/>
      <c r="Z58" s="3"/>
      <c r="AB58" s="193">
        <f>S58+1</f>
        <v>2029</v>
      </c>
      <c r="AC58" s="186" t="s">
        <v>14</v>
      </c>
      <c r="AD58" s="186" t="s">
        <v>14</v>
      </c>
      <c r="AE58" s="186" t="s">
        <v>14</v>
      </c>
      <c r="AF58" s="186" t="s">
        <v>14</v>
      </c>
      <c r="AG58" s="3"/>
      <c r="AH58" s="3"/>
      <c r="AI58" s="3"/>
      <c r="AK58" s="193">
        <f>AB58+1</f>
        <v>2030</v>
      </c>
      <c r="AL58" s="186" t="s">
        <v>14</v>
      </c>
      <c r="AM58" s="186" t="s">
        <v>14</v>
      </c>
      <c r="AN58" s="186" t="s">
        <v>14</v>
      </c>
      <c r="AO58" s="186" t="s">
        <v>14</v>
      </c>
      <c r="AP58" s="3"/>
      <c r="AQ58" s="3"/>
      <c r="AR58" s="3"/>
    </row>
    <row r="59" spans="1:44" ht="16.5" customHeight="1">
      <c r="A59" s="366" t="s">
        <v>309</v>
      </c>
      <c r="B59" s="3"/>
      <c r="C59" s="3"/>
      <c r="D59" s="3"/>
      <c r="E59" s="3"/>
      <c r="F59" s="3"/>
      <c r="G59" s="3"/>
      <c r="H59" s="3"/>
      <c r="I59" s="3"/>
      <c r="J59" s="366" t="s">
        <v>316</v>
      </c>
      <c r="K59" s="186"/>
      <c r="L59" s="186" t="s">
        <v>274</v>
      </c>
      <c r="M59" s="186"/>
      <c r="N59" s="186"/>
      <c r="O59" s="3"/>
      <c r="P59" s="3"/>
      <c r="Q59" s="3"/>
      <c r="S59" s="366" t="s">
        <v>316</v>
      </c>
      <c r="T59" s="186"/>
      <c r="U59" s="186" t="s">
        <v>274</v>
      </c>
      <c r="V59" s="186"/>
      <c r="W59" s="186"/>
      <c r="X59" s="3"/>
      <c r="Y59" s="3"/>
      <c r="Z59" s="3"/>
      <c r="AB59" s="366" t="s">
        <v>316</v>
      </c>
      <c r="AC59" s="186"/>
      <c r="AD59" s="186" t="s">
        <v>274</v>
      </c>
      <c r="AE59" s="186"/>
      <c r="AF59" s="186"/>
      <c r="AG59" s="3"/>
      <c r="AH59" s="3"/>
      <c r="AI59" s="3"/>
      <c r="AK59" s="366" t="s">
        <v>316</v>
      </c>
      <c r="AL59" s="186"/>
      <c r="AM59" s="186" t="s">
        <v>274</v>
      </c>
      <c r="AN59" s="186"/>
      <c r="AO59" s="186"/>
      <c r="AP59" s="3"/>
      <c r="AQ59" s="3"/>
      <c r="AR59" s="3"/>
    </row>
    <row r="60" spans="1:44" ht="16.5" customHeight="1">
      <c r="A60" s="366" t="s">
        <v>228</v>
      </c>
      <c r="B60" s="374">
        <f ca="1">INDIRECT("기초!c"&amp;(MATCH($C$2,기초!$B:$B,0)+9))</f>
        <v>0</v>
      </c>
      <c r="C60" s="374">
        <f ca="1">INDIRECT("기초!d"&amp;(MATCH($C$2,기초!$B:$B,0)+9))</f>
        <v>0.5</v>
      </c>
      <c r="D60" s="374">
        <f ca="1">INDIRECT("기초!e"&amp;(MATCH($C$2,기초!$B:$B,0)+9))</f>
        <v>0</v>
      </c>
      <c r="E60" s="374">
        <f ca="1">INDIRECT("기초!f"&amp;(MATCH($C$2,기초!$B:$B,0)+9))</f>
        <v>0</v>
      </c>
      <c r="F60" s="3"/>
      <c r="G60" s="3"/>
      <c r="H60" s="3"/>
      <c r="I60" s="3"/>
      <c r="J60" s="366" t="s">
        <v>102</v>
      </c>
      <c r="K60" s="121">
        <f ca="1">B60</f>
        <v>0</v>
      </c>
      <c r="L60" s="121">
        <f ca="1">C60</f>
        <v>0.5</v>
      </c>
      <c r="M60" s="121">
        <f ca="1">D60</f>
        <v>0</v>
      </c>
      <c r="N60" s="121">
        <f ca="1">E60</f>
        <v>0</v>
      </c>
      <c r="O60" s="3"/>
      <c r="P60" s="3"/>
      <c r="Q60" s="3"/>
      <c r="S60" s="366" t="s">
        <v>102</v>
      </c>
      <c r="T60" s="121">
        <f ca="1">K60</f>
        <v>0</v>
      </c>
      <c r="U60" s="121">
        <f t="shared" ref="U60:W60" ca="1" si="109">L60</f>
        <v>0.5</v>
      </c>
      <c r="V60" s="121">
        <f t="shared" ca="1" si="109"/>
        <v>0</v>
      </c>
      <c r="W60" s="121">
        <f t="shared" ca="1" si="109"/>
        <v>0</v>
      </c>
      <c r="X60" s="3"/>
      <c r="Y60" s="3"/>
      <c r="Z60" s="3"/>
      <c r="AB60" s="366" t="s">
        <v>102</v>
      </c>
      <c r="AC60" s="121">
        <f ca="1">T60</f>
        <v>0</v>
      </c>
      <c r="AD60" s="121">
        <f t="shared" ref="AD60:AF60" ca="1" si="110">U60</f>
        <v>0.5</v>
      </c>
      <c r="AE60" s="121">
        <f t="shared" ca="1" si="110"/>
        <v>0</v>
      </c>
      <c r="AF60" s="121">
        <f t="shared" ca="1" si="110"/>
        <v>0</v>
      </c>
      <c r="AG60" s="3"/>
      <c r="AH60" s="3"/>
      <c r="AI60" s="3"/>
      <c r="AK60" s="366" t="s">
        <v>102</v>
      </c>
      <c r="AL60" s="121">
        <f ca="1">AC60</f>
        <v>0</v>
      </c>
      <c r="AM60" s="121">
        <f t="shared" ref="AM60:AO60" ca="1" si="111">AD60</f>
        <v>0.5</v>
      </c>
      <c r="AN60" s="121">
        <f t="shared" ca="1" si="111"/>
        <v>0</v>
      </c>
      <c r="AO60" s="121">
        <f t="shared" ca="1" si="111"/>
        <v>0</v>
      </c>
      <c r="AP60" s="3"/>
      <c r="AQ60" s="3"/>
      <c r="AR60" s="3"/>
    </row>
    <row r="61" spans="1:44" ht="16.5" customHeight="1">
      <c r="A61" s="376" t="s">
        <v>42</v>
      </c>
      <c r="B61" s="375">
        <f ca="1">INDIRECT("기초!c"&amp;(MATCH($C$2,기초!$B:$B,0)+7))</f>
        <v>0</v>
      </c>
      <c r="C61" s="375">
        <f ca="1">INDIRECT("기초!d"&amp;(MATCH($C$2,기초!$B:$B,0)+7))</f>
        <v>3</v>
      </c>
      <c r="D61" s="375">
        <f ca="1">INDIRECT("기초!e"&amp;(MATCH($C$2,기초!$B:$B,0)+7))</f>
        <v>0</v>
      </c>
      <c r="E61" s="375">
        <f ca="1">INDIRECT("기초!e"&amp;(MATCH($C$2,기초!$B:$B,0)+7))</f>
        <v>0</v>
      </c>
      <c r="F61" s="3"/>
      <c r="G61" s="3"/>
      <c r="H61" s="3"/>
      <c r="I61" s="3"/>
      <c r="J61" s="373" t="s">
        <v>103</v>
      </c>
      <c r="K61" s="219">
        <f ca="1">B61+1</f>
        <v>1</v>
      </c>
      <c r="L61" s="219">
        <f ca="1">C61+1</f>
        <v>4</v>
      </c>
      <c r="M61" s="219">
        <f ca="1">D61+1</f>
        <v>1</v>
      </c>
      <c r="N61" s="219">
        <f ca="1">E61+1</f>
        <v>1</v>
      </c>
      <c r="O61" s="3"/>
      <c r="P61" s="3"/>
      <c r="Q61" s="3"/>
      <c r="S61" s="373"/>
      <c r="T61" s="219"/>
      <c r="U61" s="219"/>
      <c r="V61" s="219"/>
      <c r="W61" s="219"/>
      <c r="X61" s="3"/>
      <c r="Y61" s="3"/>
      <c r="Z61" s="3"/>
      <c r="AB61" s="373"/>
      <c r="AC61" s="219"/>
      <c r="AD61" s="219"/>
      <c r="AE61" s="219"/>
      <c r="AF61" s="219"/>
      <c r="AG61" s="3"/>
      <c r="AH61" s="3"/>
      <c r="AI61" s="3"/>
      <c r="AK61" s="373"/>
      <c r="AL61" s="219"/>
      <c r="AM61" s="219"/>
      <c r="AN61" s="219"/>
      <c r="AO61" s="219"/>
      <c r="AP61" s="3"/>
      <c r="AQ61" s="3"/>
      <c r="AR61" s="3"/>
    </row>
    <row r="62" spans="1:44" ht="16.5" customHeight="1">
      <c r="A62" s="366" t="s">
        <v>104</v>
      </c>
      <c r="B62" s="10" t="b">
        <f>IF(B$10="1세대1주택",IF(B61&gt;=15,50%,IF(B61&gt;=10,40%,IF(B61&gt;=5,20%,0))))</f>
        <v>0</v>
      </c>
      <c r="C62" s="17"/>
      <c r="D62" s="17"/>
      <c r="E62" s="17"/>
      <c r="F62" s="3"/>
      <c r="G62" s="3"/>
      <c r="H62" s="3"/>
      <c r="I62" s="3"/>
      <c r="J62" s="366" t="s">
        <v>105</v>
      </c>
      <c r="K62" s="121" t="b">
        <f>IF(K$10="1세대1주택",IF(K61&gt;=15,25%,IF(K61&gt;=10,20%,IF(K61&gt;=5,10%,0))))</f>
        <v>0</v>
      </c>
      <c r="L62" s="121" t="b">
        <f t="shared" ref="L62:N62" si="112">IF(L$10="1세대1주택",IF(L61&gt;=15,25%,IF(L61&gt;=10,20%,IF(L61&gt;=5,10%,0))))</f>
        <v>0</v>
      </c>
      <c r="M62" s="121" t="b">
        <f t="shared" si="112"/>
        <v>0</v>
      </c>
      <c r="N62" s="121" t="b">
        <f t="shared" si="112"/>
        <v>0</v>
      </c>
      <c r="O62" s="3"/>
      <c r="P62" s="3"/>
      <c r="Q62" s="3"/>
      <c r="S62" s="366"/>
      <c r="T62" s="121"/>
      <c r="U62" s="121"/>
      <c r="V62" s="121"/>
      <c r="W62" s="121"/>
      <c r="X62" s="3"/>
      <c r="Y62" s="3"/>
      <c r="Z62" s="3"/>
      <c r="AB62" s="366"/>
      <c r="AC62" s="121"/>
      <c r="AD62" s="121"/>
      <c r="AE62" s="121"/>
      <c r="AF62" s="121"/>
      <c r="AG62" s="3"/>
      <c r="AH62" s="3"/>
      <c r="AI62" s="3"/>
      <c r="AK62" s="366"/>
      <c r="AL62" s="121"/>
      <c r="AM62" s="121"/>
      <c r="AN62" s="121"/>
      <c r="AO62" s="121"/>
      <c r="AP62" s="3"/>
      <c r="AQ62" s="3"/>
      <c r="AR62" s="3"/>
    </row>
    <row r="63" spans="1:44" ht="16.5" customHeight="1">
      <c r="A63" s="366" t="s">
        <v>106</v>
      </c>
      <c r="B63" s="2">
        <f>$B$3</f>
        <v>4</v>
      </c>
      <c r="C63" s="2">
        <f t="shared" ref="C63:E63" si="113">$B$3</f>
        <v>4</v>
      </c>
      <c r="D63" s="2">
        <f t="shared" si="113"/>
        <v>4</v>
      </c>
      <c r="E63" s="2">
        <f t="shared" si="113"/>
        <v>4</v>
      </c>
      <c r="F63" s="3"/>
      <c r="G63" s="3"/>
      <c r="H63" s="3"/>
      <c r="I63" s="3"/>
      <c r="J63" s="366" t="s">
        <v>106</v>
      </c>
      <c r="K63" s="119">
        <f>$B$3</f>
        <v>4</v>
      </c>
      <c r="L63" s="119">
        <f t="shared" ref="L63:N63" si="114">$B$3</f>
        <v>4</v>
      </c>
      <c r="M63" s="119">
        <f t="shared" si="114"/>
        <v>4</v>
      </c>
      <c r="N63" s="119">
        <f t="shared" si="114"/>
        <v>4</v>
      </c>
      <c r="O63" s="3"/>
      <c r="P63" s="3"/>
      <c r="Q63" s="3"/>
      <c r="S63" s="366" t="s">
        <v>106</v>
      </c>
      <c r="T63" s="119">
        <f>$B$3</f>
        <v>4</v>
      </c>
      <c r="U63" s="119">
        <f t="shared" ref="U63:W63" si="115">$B$3</f>
        <v>4</v>
      </c>
      <c r="V63" s="119">
        <f t="shared" si="115"/>
        <v>4</v>
      </c>
      <c r="W63" s="119">
        <f t="shared" si="115"/>
        <v>4</v>
      </c>
      <c r="X63" s="3"/>
      <c r="Y63" s="3"/>
      <c r="Z63" s="3"/>
      <c r="AB63" s="366" t="s">
        <v>106</v>
      </c>
      <c r="AC63" s="119">
        <f>$B$3</f>
        <v>4</v>
      </c>
      <c r="AD63" s="119">
        <f t="shared" ref="AD63:AF63" si="116">$B$3</f>
        <v>4</v>
      </c>
      <c r="AE63" s="119">
        <f t="shared" si="116"/>
        <v>4</v>
      </c>
      <c r="AF63" s="119">
        <f t="shared" si="116"/>
        <v>4</v>
      </c>
      <c r="AG63" s="3"/>
      <c r="AH63" s="3"/>
      <c r="AI63" s="3"/>
      <c r="AK63" s="366" t="s">
        <v>106</v>
      </c>
      <c r="AL63" s="119">
        <f>$B$3</f>
        <v>4</v>
      </c>
      <c r="AM63" s="119">
        <f t="shared" ref="AM63:AO63" si="117">$B$3</f>
        <v>4</v>
      </c>
      <c r="AN63" s="119">
        <f t="shared" si="117"/>
        <v>4</v>
      </c>
      <c r="AO63" s="119">
        <f t="shared" si="117"/>
        <v>4</v>
      </c>
      <c r="AP63" s="3"/>
      <c r="AQ63" s="3"/>
      <c r="AR63" s="3"/>
    </row>
    <row r="64" spans="1:44" ht="16.5" customHeight="1">
      <c r="A64" s="366" t="s">
        <v>77</v>
      </c>
      <c r="B64" s="2" t="str">
        <f>IF(B63&lt;=2,"기본세율","중과세율")</f>
        <v>중과세율</v>
      </c>
      <c r="C64" s="17"/>
      <c r="D64" s="17"/>
      <c r="E64" s="17"/>
      <c r="F64" s="3"/>
      <c r="G64" s="3"/>
      <c r="H64" s="3"/>
      <c r="I64" s="3"/>
      <c r="J64" s="366" t="s">
        <v>77</v>
      </c>
      <c r="K64" s="119" t="str">
        <f>IF(K63&lt;=2,"기본세율","중과세율")</f>
        <v>중과세율</v>
      </c>
      <c r="L64" s="119" t="str">
        <f t="shared" ref="L64:N64" si="118">IF(L63&lt;=2,"기본세율","중과세율")</f>
        <v>중과세율</v>
      </c>
      <c r="M64" s="119" t="str">
        <f t="shared" si="118"/>
        <v>중과세율</v>
      </c>
      <c r="N64" s="119" t="str">
        <f t="shared" si="118"/>
        <v>중과세율</v>
      </c>
      <c r="O64" s="3"/>
      <c r="P64" s="3"/>
      <c r="Q64" s="3"/>
      <c r="S64" s="366" t="s">
        <v>77</v>
      </c>
      <c r="T64" s="119" t="str">
        <f>IF(T63&lt;=2,"기본세율","중과세율")</f>
        <v>중과세율</v>
      </c>
      <c r="U64" s="119" t="str">
        <f t="shared" ref="U64:W64" si="119">IF(U63&lt;=2,"기본세율","중과세율")</f>
        <v>중과세율</v>
      </c>
      <c r="V64" s="119" t="str">
        <f t="shared" si="119"/>
        <v>중과세율</v>
      </c>
      <c r="W64" s="119" t="str">
        <f t="shared" si="119"/>
        <v>중과세율</v>
      </c>
      <c r="X64" s="3"/>
      <c r="Y64" s="3"/>
      <c r="Z64" s="3"/>
      <c r="AB64" s="366" t="s">
        <v>77</v>
      </c>
      <c r="AC64" s="119" t="str">
        <f>IF(AC63&lt;=2,"기본세율","중과세율")</f>
        <v>중과세율</v>
      </c>
      <c r="AD64" s="119" t="str">
        <f t="shared" ref="AD64:AF64" si="120">IF(AD63&lt;=2,"기본세율","중과세율")</f>
        <v>중과세율</v>
      </c>
      <c r="AE64" s="119" t="str">
        <f t="shared" si="120"/>
        <v>중과세율</v>
      </c>
      <c r="AF64" s="119" t="str">
        <f t="shared" si="120"/>
        <v>중과세율</v>
      </c>
      <c r="AG64" s="3"/>
      <c r="AH64" s="3"/>
      <c r="AI64" s="3"/>
      <c r="AK64" s="366" t="s">
        <v>77</v>
      </c>
      <c r="AL64" s="119" t="str">
        <f>IF(AL63&lt;=2,"기본세율","중과세율")</f>
        <v>중과세율</v>
      </c>
      <c r="AM64" s="119" t="str">
        <f t="shared" ref="AM64:AO64" si="121">IF(AM63&lt;=2,"기본세율","중과세율")</f>
        <v>중과세율</v>
      </c>
      <c r="AN64" s="119" t="str">
        <f t="shared" si="121"/>
        <v>중과세율</v>
      </c>
      <c r="AO64" s="119" t="str">
        <f t="shared" si="121"/>
        <v>중과세율</v>
      </c>
      <c r="AP64" s="3"/>
      <c r="AQ64" s="3"/>
      <c r="AR64" s="3"/>
    </row>
    <row r="65" spans="1:44" ht="16.5" customHeight="1">
      <c r="A65" s="366" t="s">
        <v>234</v>
      </c>
      <c r="B65" s="375">
        <f ca="1">INDIRECT("기초!c"&amp;(MATCH($C$2,기초!$B:$B,0)+8))</f>
        <v>0</v>
      </c>
      <c r="C65" s="375">
        <f ca="1">INDIRECT("기초!d"&amp;(MATCH($C$2,기초!$B:$B,0)+8))</f>
        <v>3</v>
      </c>
      <c r="D65" s="375">
        <f ca="1">INDIRECT("기초!e"&amp;(MATCH($C$2,기초!$B:$B,0)+8))</f>
        <v>0</v>
      </c>
      <c r="E65" s="375">
        <f ca="1">INDIRECT("기초!e"&amp;(MATCH($C$2,기초!$B:$B,0)+8))</f>
        <v>0</v>
      </c>
      <c r="F65" s="3"/>
      <c r="G65" s="3"/>
      <c r="H65" s="3"/>
      <c r="I65" s="3"/>
      <c r="J65" s="259" t="s">
        <v>277</v>
      </c>
      <c r="K65" s="219">
        <f ca="1">B65+1</f>
        <v>1</v>
      </c>
      <c r="L65" s="219">
        <f ca="1">C65+1</f>
        <v>4</v>
      </c>
      <c r="M65" s="219">
        <f ca="1">D65+1</f>
        <v>1</v>
      </c>
      <c r="N65" s="219">
        <f ca="1">E65+1</f>
        <v>1</v>
      </c>
      <c r="O65" s="3"/>
      <c r="P65" s="3"/>
      <c r="Q65" s="3"/>
      <c r="S65" s="259" t="s">
        <v>277</v>
      </c>
      <c r="T65" s="219">
        <f ca="1">K65+1</f>
        <v>2</v>
      </c>
      <c r="U65" s="219">
        <f t="shared" ref="U65:W65" ca="1" si="122">L65+1</f>
        <v>5</v>
      </c>
      <c r="V65" s="219">
        <f t="shared" ca="1" si="122"/>
        <v>2</v>
      </c>
      <c r="W65" s="219">
        <f t="shared" ca="1" si="122"/>
        <v>2</v>
      </c>
      <c r="X65" s="3"/>
      <c r="Y65" s="3"/>
      <c r="Z65" s="3"/>
      <c r="AB65" s="259" t="s">
        <v>277</v>
      </c>
      <c r="AC65" s="219">
        <f ca="1">T65+1</f>
        <v>3</v>
      </c>
      <c r="AD65" s="219">
        <f t="shared" ref="AD65:AF65" ca="1" si="123">U65+1</f>
        <v>6</v>
      </c>
      <c r="AE65" s="219">
        <f t="shared" ca="1" si="123"/>
        <v>3</v>
      </c>
      <c r="AF65" s="219">
        <f t="shared" ca="1" si="123"/>
        <v>3</v>
      </c>
      <c r="AG65" s="3"/>
      <c r="AH65" s="3"/>
      <c r="AI65" s="3"/>
      <c r="AK65" s="259" t="s">
        <v>277</v>
      </c>
      <c r="AL65" s="219">
        <f ca="1">AC65+1</f>
        <v>4</v>
      </c>
      <c r="AM65" s="219">
        <f t="shared" ref="AM65:AO65" ca="1" si="124">AD65+1</f>
        <v>7</v>
      </c>
      <c r="AN65" s="219">
        <f t="shared" ca="1" si="124"/>
        <v>4</v>
      </c>
      <c r="AO65" s="219">
        <f t="shared" ca="1" si="124"/>
        <v>4</v>
      </c>
      <c r="AP65" s="3"/>
      <c r="AQ65" s="3"/>
      <c r="AR65" s="3"/>
    </row>
    <row r="66" spans="1:44" ht="16.5" customHeight="1">
      <c r="A66" s="367"/>
      <c r="B66" s="3"/>
      <c r="C66" s="17"/>
      <c r="D66" s="17"/>
      <c r="E66" s="17"/>
      <c r="F66" s="3"/>
      <c r="G66" s="3"/>
      <c r="H66" s="3"/>
      <c r="I66" s="3"/>
      <c r="J66" s="259" t="s">
        <v>278</v>
      </c>
      <c r="K66" s="121" t="b">
        <f>IF(AND(K$58="1세대1주택",K59="거주"),IF(K65&gt;=15,50%,IF(K65&gt;=10,40%,IF(K65&gt;=5,20%,0))))</f>
        <v>0</v>
      </c>
      <c r="L66" s="121" t="b">
        <f>IF(AND(L$58="1세대1주택",L59="거주"),IF(L65&gt;=15,50%,IF(L65&gt;=10,40%,IF(L65&gt;=5,20%,0))))</f>
        <v>0</v>
      </c>
      <c r="M66" s="121" t="b">
        <f>IF(AND(M$58="1세대1주택",M59="거주"),IF(M65&gt;=15,50%,IF(M65&gt;=10,40%,IF(M65&gt;=5,20%,0))))</f>
        <v>0</v>
      </c>
      <c r="N66" s="121" t="b">
        <f>IF(AND(N$58="1세대1주택",N59="거주"),IF(N65&gt;=15,50%,IF(N65&gt;=10,40%,IF(N65&gt;=5,20%,0))))</f>
        <v>0</v>
      </c>
      <c r="O66" s="3"/>
      <c r="P66" s="3"/>
      <c r="Q66" s="3"/>
      <c r="S66" s="259" t="s">
        <v>278</v>
      </c>
      <c r="T66" s="10" t="b">
        <f>IF(AND(T$58="1세대1주택",T59="거주"),IF(T65&gt;=15,50%,IF(T65&gt;=10,40%,IF(T65&gt;=5,20%,0))))</f>
        <v>0</v>
      </c>
      <c r="U66" s="10" t="b">
        <f t="shared" ref="U66:W66" si="125">IF(AND(U$58="1세대1주택",U59="거주"),IF(U65&gt;=15,50%,IF(U65&gt;=10,40%,IF(U65&gt;=5,20%,0))))</f>
        <v>0</v>
      </c>
      <c r="V66" s="10" t="b">
        <f t="shared" si="125"/>
        <v>0</v>
      </c>
      <c r="W66" s="10" t="b">
        <f t="shared" si="125"/>
        <v>0</v>
      </c>
      <c r="X66" s="3"/>
      <c r="Y66" s="3"/>
      <c r="Z66" s="3"/>
      <c r="AB66" s="259" t="s">
        <v>278</v>
      </c>
      <c r="AC66" s="10" t="b">
        <f>IF(AND(AC$58="1세대1주택",AC59="거주"),IF(AC65&gt;=15,50%,IF(AC65&gt;=10,40%,IF(AC65&gt;=5,20%,0))))</f>
        <v>0</v>
      </c>
      <c r="AD66" s="10" t="b">
        <f t="shared" ref="AD66:AF66" si="126">IF(AND(AD$58="1세대1주택",AD59="거주"),IF(AD65&gt;=15,50%,IF(AD65&gt;=10,40%,IF(AD65&gt;=5,20%,0))))</f>
        <v>0</v>
      </c>
      <c r="AE66" s="10" t="b">
        <f t="shared" si="126"/>
        <v>0</v>
      </c>
      <c r="AF66" s="10" t="b">
        <f t="shared" si="126"/>
        <v>0</v>
      </c>
      <c r="AG66" s="3"/>
      <c r="AH66" s="3"/>
      <c r="AI66" s="3"/>
      <c r="AK66" s="259" t="s">
        <v>278</v>
      </c>
      <c r="AL66" s="10" t="b">
        <f>IF(AND(AL58="1세대1주택",AL59="거주"),IF(AL65&gt;=15,50%,IF(AL65&gt;=10,40%,IF(AL65&gt;=5,20%,0))))</f>
        <v>0</v>
      </c>
      <c r="AM66" s="10" t="b">
        <f t="shared" ref="AM66:AO66" si="127">IF(AND(AM58="1세대1주택",AM59="거주"),IF(AM65&gt;=15,50%,IF(AM65&gt;=10,40%,IF(AM65&gt;=5,20%,0))))</f>
        <v>0</v>
      </c>
      <c r="AN66" s="10" t="b">
        <f t="shared" si="127"/>
        <v>0</v>
      </c>
      <c r="AO66" s="10" t="b">
        <f t="shared" si="127"/>
        <v>0</v>
      </c>
      <c r="AP66" s="3"/>
      <c r="AQ66" s="3"/>
      <c r="AR66" s="3"/>
    </row>
    <row r="67" spans="1:44" ht="16.5" customHeight="1">
      <c r="A67" s="366" t="s">
        <v>3</v>
      </c>
      <c r="B67" s="219">
        <f>기초!B32</f>
        <v>0</v>
      </c>
      <c r="C67" s="17"/>
      <c r="D67" s="17"/>
      <c r="E67" s="17"/>
      <c r="F67" s="3"/>
      <c r="G67" s="3"/>
      <c r="H67" s="3"/>
      <c r="I67" s="3"/>
      <c r="J67" s="366" t="s">
        <v>108</v>
      </c>
      <c r="K67" s="354">
        <f>B67+1</f>
        <v>1</v>
      </c>
      <c r="L67" s="219">
        <f>K67</f>
        <v>1</v>
      </c>
      <c r="M67" s="219">
        <f>L67</f>
        <v>1</v>
      </c>
      <c r="N67" s="219">
        <f>M67</f>
        <v>1</v>
      </c>
      <c r="O67" s="3"/>
      <c r="P67" s="3"/>
      <c r="Q67" s="3"/>
      <c r="S67" s="366" t="s">
        <v>108</v>
      </c>
      <c r="T67" s="49">
        <f>K67+1</f>
        <v>2</v>
      </c>
      <c r="U67" s="49">
        <f t="shared" ref="U67:W67" si="128">L67+1</f>
        <v>2</v>
      </c>
      <c r="V67" s="49">
        <f t="shared" si="128"/>
        <v>2</v>
      </c>
      <c r="W67" s="49">
        <f t="shared" si="128"/>
        <v>2</v>
      </c>
      <c r="X67" s="3"/>
      <c r="Y67" s="3"/>
      <c r="Z67" s="3"/>
      <c r="AB67" s="366" t="s">
        <v>108</v>
      </c>
      <c r="AC67" s="49">
        <f>T67+1</f>
        <v>3</v>
      </c>
      <c r="AD67" s="49">
        <f t="shared" ref="AD67:AF67" si="129">U67+1</f>
        <v>3</v>
      </c>
      <c r="AE67" s="49">
        <f t="shared" si="129"/>
        <v>3</v>
      </c>
      <c r="AF67" s="49">
        <f t="shared" si="129"/>
        <v>3</v>
      </c>
      <c r="AG67" s="3"/>
      <c r="AH67" s="3"/>
      <c r="AI67" s="3"/>
      <c r="AK67" s="366" t="s">
        <v>108</v>
      </c>
      <c r="AL67" s="49">
        <f>AC67+1</f>
        <v>4</v>
      </c>
      <c r="AM67" s="49">
        <f t="shared" ref="AM67:AO67" si="130">AD67+1</f>
        <v>4</v>
      </c>
      <c r="AN67" s="49">
        <f t="shared" si="130"/>
        <v>4</v>
      </c>
      <c r="AO67" s="49">
        <f t="shared" si="130"/>
        <v>4</v>
      </c>
      <c r="AP67" s="3"/>
      <c r="AQ67" s="3"/>
      <c r="AR67" s="3"/>
    </row>
    <row r="68" spans="1:44" ht="16.5" customHeight="1">
      <c r="A68" s="366" t="s">
        <v>110</v>
      </c>
      <c r="B68" s="10" t="b">
        <f>IF(B$10="1세대1주택",IF(B67&gt;=70,40%,IF(B67&gt;=65,30%,IF(B67&gt;=60,20%,0))))</f>
        <v>0</v>
      </c>
      <c r="C68" s="17"/>
      <c r="D68" s="17"/>
      <c r="E68" s="17"/>
      <c r="F68" s="3"/>
      <c r="G68" s="3"/>
      <c r="H68" s="3"/>
      <c r="I68" s="3"/>
      <c r="J68" s="366" t="s">
        <v>115</v>
      </c>
      <c r="K68" s="121" t="b">
        <f>IF(K$58="1세대1주택",IF(K67&gt;=70,40%,IF(K67&gt;=65,30%,IF(K67&gt;=60,20%,0))))</f>
        <v>0</v>
      </c>
      <c r="L68" s="121" t="b">
        <f>IF(L$58="1세대1주택",IF(L67&gt;=70,40%,IF(L67&gt;=65,30%,IF(L67&gt;=60,20%,0))))</f>
        <v>0</v>
      </c>
      <c r="M68" s="121" t="b">
        <f>IF(M$58="1세대1주택",IF(M67&gt;=70,40%,IF(M67&gt;=65,30%,IF(M67&gt;=60,20%,0))))</f>
        <v>0</v>
      </c>
      <c r="N68" s="121" t="b">
        <f>IF(N$58="1세대1주택",IF(N67&gt;=70,40%,IF(N67&gt;=65,30%,IF(N67&gt;=60,20%,0))))</f>
        <v>0</v>
      </c>
      <c r="O68" s="3"/>
      <c r="P68" s="3"/>
      <c r="Q68" s="3"/>
      <c r="S68" s="366" t="s">
        <v>115</v>
      </c>
      <c r="T68" s="10" t="b">
        <f>IF(T$58="1세대1주택",IF(T67&gt;=70,40%,IF(T67&gt;=65,30%,IF(T67&gt;=60,20%,0))))</f>
        <v>0</v>
      </c>
      <c r="U68" s="10" t="b">
        <f>IF(U$58="1세대1주택",IF(U67&gt;=70,40%,IF(U67&gt;=65,30%,IF(U67&gt;=60,20%,0))))</f>
        <v>0</v>
      </c>
      <c r="V68" s="10" t="b">
        <f>IF(V$58="1세대1주택",IF(V67&gt;=70,40%,IF(V67&gt;=65,30%,IF(V67&gt;=60,20%,0))))</f>
        <v>0</v>
      </c>
      <c r="W68" s="10" t="b">
        <f>IF(W$58="1세대1주택",IF(W67&gt;=70,40%,IF(W67&gt;=65,30%,IF(W67&gt;=60,20%,0))))</f>
        <v>0</v>
      </c>
      <c r="X68" s="3"/>
      <c r="Y68" s="3"/>
      <c r="Z68" s="3"/>
      <c r="AB68" s="366" t="s">
        <v>115</v>
      </c>
      <c r="AC68" s="10" t="b">
        <f>IF(AC$58="1세대1주택",IF(AC67&gt;=70,40%,IF(AC67&gt;=65,30%,IF(AC67&gt;=60,20%,0))))</f>
        <v>0</v>
      </c>
      <c r="AD68" s="10" t="b">
        <f>IF(AD$58="1세대1주택",IF(AD67&gt;=70,40%,IF(AD67&gt;=65,30%,IF(AD67&gt;=60,20%,0))))</f>
        <v>0</v>
      </c>
      <c r="AE68" s="10" t="b">
        <f>IF(AE$58="1세대1주택",IF(AE67&gt;=70,40%,IF(AE67&gt;=65,30%,IF(AE67&gt;=60,20%,0))))</f>
        <v>0</v>
      </c>
      <c r="AF68" s="10" t="b">
        <f>IF(AF$58="1세대1주택",IF(AF67&gt;=70,40%,IF(AF67&gt;=65,30%,IF(AF67&gt;=60,20%,0))))</f>
        <v>0</v>
      </c>
      <c r="AG68" s="3"/>
      <c r="AH68" s="3"/>
      <c r="AI68" s="3"/>
      <c r="AK68" s="366" t="s">
        <v>115</v>
      </c>
      <c r="AL68" s="10" t="b">
        <f>IF(AL58="1세대1주택",IF(AL67&gt;=70,40%,IF(AL67&gt;=65,30%,IF(AL67&gt;=60,20%,0))))</f>
        <v>0</v>
      </c>
      <c r="AM68" s="10" t="b">
        <f t="shared" ref="AM68:AO68" si="131">IF(AM58="1세대1주택",IF(AM67&gt;=70,40%,IF(AM67&gt;=65,30%,IF(AM67&gt;=60,20%,0))))</f>
        <v>0</v>
      </c>
      <c r="AN68" s="10" t="b">
        <f t="shared" si="131"/>
        <v>0</v>
      </c>
      <c r="AO68" s="10" t="b">
        <f t="shared" si="131"/>
        <v>0</v>
      </c>
      <c r="AP68" s="3"/>
      <c r="AQ68" s="3"/>
      <c r="AR68" s="3"/>
    </row>
    <row r="69" spans="1:44" ht="16.5" customHeight="1">
      <c r="A69" s="83"/>
      <c r="B69" s="17"/>
      <c r="C69" s="17"/>
      <c r="D69" s="17"/>
      <c r="E69" s="17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S69" s="3"/>
      <c r="T69" s="3"/>
      <c r="U69" s="3"/>
      <c r="V69" s="3"/>
      <c r="W69" s="3"/>
      <c r="X69" s="3"/>
      <c r="Y69" s="3"/>
      <c r="Z69" s="3"/>
      <c r="AB69" s="3"/>
      <c r="AC69" s="3"/>
      <c r="AD69" s="3"/>
      <c r="AE69" s="3"/>
      <c r="AF69" s="3"/>
      <c r="AG69" s="3"/>
      <c r="AH69" s="3"/>
      <c r="AI69" s="3"/>
      <c r="AK69" s="3"/>
      <c r="AL69" s="3"/>
      <c r="AM69" s="3"/>
      <c r="AN69" s="3"/>
      <c r="AO69" s="3"/>
      <c r="AP69" s="3"/>
      <c r="AQ69" s="3"/>
      <c r="AR69" s="3"/>
    </row>
    <row r="70" spans="1:44" ht="16.5" customHeight="1">
      <c r="A70" s="192">
        <f>A58</f>
        <v>2026</v>
      </c>
      <c r="B70" s="17"/>
      <c r="C70" s="17"/>
      <c r="D70" s="17"/>
      <c r="E70" s="17"/>
      <c r="F70" s="3"/>
      <c r="G70" s="3"/>
      <c r="H70" s="3"/>
      <c r="I70" s="3"/>
      <c r="J70" s="245">
        <f>A70+1</f>
        <v>2027</v>
      </c>
      <c r="K70" s="121" t="s">
        <v>319</v>
      </c>
      <c r="L70" s="121" t="s">
        <v>317</v>
      </c>
      <c r="M70" s="121" t="s">
        <v>211</v>
      </c>
      <c r="N70" s="121" t="s">
        <v>215</v>
      </c>
      <c r="O70" s="3"/>
      <c r="P70" s="3"/>
      <c r="Q70" s="3"/>
      <c r="S70" s="245">
        <f>J70+1</f>
        <v>2028</v>
      </c>
      <c r="T70" s="121" t="s">
        <v>319</v>
      </c>
      <c r="U70" s="121" t="s">
        <v>317</v>
      </c>
      <c r="V70" s="121" t="s">
        <v>211</v>
      </c>
      <c r="W70" s="121" t="s">
        <v>215</v>
      </c>
      <c r="X70" s="3"/>
      <c r="Y70" s="3"/>
      <c r="Z70" s="3"/>
      <c r="AB70" s="245">
        <f>S70+1</f>
        <v>2029</v>
      </c>
      <c r="AC70" s="121" t="s">
        <v>319</v>
      </c>
      <c r="AD70" s="121" t="s">
        <v>317</v>
      </c>
      <c r="AE70" s="121" t="s">
        <v>211</v>
      </c>
      <c r="AF70" s="121" t="s">
        <v>215</v>
      </c>
      <c r="AG70" s="3"/>
      <c r="AH70" s="3"/>
      <c r="AI70" s="3"/>
      <c r="AK70" s="245">
        <f>AB70+1</f>
        <v>2030</v>
      </c>
      <c r="AL70" s="121" t="s">
        <v>319</v>
      </c>
      <c r="AM70" s="121" t="s">
        <v>317</v>
      </c>
      <c r="AN70" s="121" t="s">
        <v>211</v>
      </c>
      <c r="AO70" s="121" t="s">
        <v>215</v>
      </c>
      <c r="AP70" s="3"/>
      <c r="AQ70" s="3"/>
      <c r="AR70" s="3"/>
    </row>
    <row r="71" spans="1:44" ht="16.5" customHeight="1">
      <c r="A71" s="194" t="s">
        <v>142</v>
      </c>
      <c r="B71" s="15">
        <f ca="1">SUMPRODUCT($B$11:$E$11,$B$60:$E$60)</f>
        <v>1000000000</v>
      </c>
      <c r="C71" s="3"/>
      <c r="D71" s="3"/>
      <c r="E71" s="3"/>
      <c r="F71" s="3"/>
      <c r="G71" s="3"/>
      <c r="H71" s="3"/>
      <c r="I71" s="3"/>
      <c r="J71" s="246" t="s">
        <v>142</v>
      </c>
      <c r="K71" s="247">
        <f ca="1">SUMPRODUCT($K$11:$N$11,$K$60:$N$60)</f>
        <v>1150000000</v>
      </c>
      <c r="L71" s="247">
        <f ca="1">SUMPRODUCT($K$11:$N$11,$K$60:$N$60)</f>
        <v>1150000000</v>
      </c>
      <c r="M71" s="247">
        <f ca="1">SUMPRODUCT($K$11:$N$11,$K$60:$N$60)</f>
        <v>1150000000</v>
      </c>
      <c r="N71" s="247">
        <f ca="1">SUMPRODUCT($K$11:$N$11,$K$60:$N$60)</f>
        <v>1150000000</v>
      </c>
      <c r="O71" s="3"/>
      <c r="P71" s="3"/>
      <c r="Q71" s="3"/>
      <c r="S71" s="246" t="s">
        <v>142</v>
      </c>
      <c r="T71" s="247">
        <f ca="1">SUMPRODUCT($T$11:$W$11,$T$60:$W$60)</f>
        <v>1322500000</v>
      </c>
      <c r="U71" s="247">
        <f t="shared" ref="U71:W71" ca="1" si="132">SUMPRODUCT($T$11:$W$11,$T$60:$W$60)</f>
        <v>1322500000</v>
      </c>
      <c r="V71" s="247">
        <f t="shared" ca="1" si="132"/>
        <v>1322500000</v>
      </c>
      <c r="W71" s="247">
        <f t="shared" ca="1" si="132"/>
        <v>1322500000</v>
      </c>
      <c r="X71" s="3"/>
      <c r="Y71" s="3"/>
      <c r="Z71" s="3"/>
      <c r="AB71" s="246" t="s">
        <v>142</v>
      </c>
      <c r="AC71" s="247">
        <f ca="1">SUMPRODUCT($AC$11:$AF$11,$AC$60:$AF$60)</f>
        <v>1520875000</v>
      </c>
      <c r="AD71" s="247">
        <f t="shared" ref="AD71:AF71" ca="1" si="133">SUMPRODUCT($AC$11:$AF$11,$AC$60:$AF$60)</f>
        <v>1520875000</v>
      </c>
      <c r="AE71" s="247">
        <f t="shared" ca="1" si="133"/>
        <v>1520875000</v>
      </c>
      <c r="AF71" s="247">
        <f t="shared" ca="1" si="133"/>
        <v>1520875000</v>
      </c>
      <c r="AG71" s="3"/>
      <c r="AH71" s="3"/>
      <c r="AI71" s="3"/>
      <c r="AK71" s="246" t="s">
        <v>142</v>
      </c>
      <c r="AL71" s="247">
        <f ca="1">SUMPRODUCT($AL$11:$AO$11,$AL$60:$AO$60)</f>
        <v>1749006249.9999998</v>
      </c>
      <c r="AM71" s="247">
        <f t="shared" ref="AM71:AO71" ca="1" si="134">SUMPRODUCT($AL$11:$AO$11,$AL$60:$AO$60)</f>
        <v>1749006249.9999998</v>
      </c>
      <c r="AN71" s="247">
        <f t="shared" ca="1" si="134"/>
        <v>1749006249.9999998</v>
      </c>
      <c r="AO71" s="247">
        <f t="shared" ca="1" si="134"/>
        <v>1749006249.9999998</v>
      </c>
      <c r="AP71" s="3"/>
      <c r="AQ71" s="3"/>
      <c r="AR71" s="3"/>
    </row>
    <row r="72" spans="1:44" ht="16.5" customHeight="1">
      <c r="A72" s="194" t="s">
        <v>145</v>
      </c>
      <c r="B72" s="15">
        <f>IF(B58="1세대1주택",12*10^8,9*10^8)</f>
        <v>900000000</v>
      </c>
      <c r="C72" s="3"/>
      <c r="D72" s="3"/>
      <c r="E72" s="3"/>
      <c r="F72" s="3"/>
      <c r="G72" s="3"/>
      <c r="H72" s="3"/>
      <c r="I72" s="3"/>
      <c r="J72" s="246" t="s">
        <v>145</v>
      </c>
      <c r="K72" s="247">
        <v>1400000000</v>
      </c>
      <c r="L72" s="247">
        <v>900000000</v>
      </c>
      <c r="M72" s="247">
        <f ca="1">4*10^8+500000000*IFERROR(OFFSET($J$11,0,MATCH("거주",$K59:$N59,0))/$O$11,0)</f>
        <v>722580645.16129029</v>
      </c>
      <c r="N72" s="247">
        <f ca="1">4*10^8+500000000*IFERROR(OFFSET($J$11,0,MATCH("거주",$K59:$N59,0))/$O$11,0)</f>
        <v>722580645.16129029</v>
      </c>
      <c r="O72" s="3"/>
      <c r="P72" s="3"/>
      <c r="Q72" s="3"/>
      <c r="S72" s="246" t="s">
        <v>145</v>
      </c>
      <c r="T72" s="247">
        <v>1400000000</v>
      </c>
      <c r="U72" s="247">
        <v>900000000</v>
      </c>
      <c r="V72" s="247">
        <f ca="1">4*10^8+500000000*IFERROR(OFFSET($S$11,0,MATCH("거주",$T59:$W59,0))/$X$11,0)</f>
        <v>722580645.16129029</v>
      </c>
      <c r="W72" s="247">
        <f ca="1">4*10^8+500000000*IFERROR(OFFSET($S$11,0,MATCH("거주",$T59:$W59,0))/$X$11,0)</f>
        <v>722580645.16129029</v>
      </c>
      <c r="X72" s="3"/>
      <c r="Y72" s="3"/>
      <c r="Z72" s="3"/>
      <c r="AB72" s="246" t="s">
        <v>145</v>
      </c>
      <c r="AC72" s="247">
        <v>1400000000</v>
      </c>
      <c r="AD72" s="247">
        <v>900000000</v>
      </c>
      <c r="AE72" s="247">
        <f ca="1">4*10^8+500000000*IFERROR(OFFSET($AB$11,0,MATCH("거주",$AC59:$AF59,0))/$AG$11,0)</f>
        <v>722580645.16129041</v>
      </c>
      <c r="AF72" s="247">
        <f ca="1">4*10^8+500000000*IFERROR(OFFSET($AB$11,0,MATCH("거주",$AC59:$AF59,0))/$AG$11,0)</f>
        <v>722580645.16129041</v>
      </c>
      <c r="AG72" s="3"/>
      <c r="AH72" s="3"/>
      <c r="AI72" s="3"/>
      <c r="AK72" s="246" t="s">
        <v>145</v>
      </c>
      <c r="AL72" s="247">
        <f ca="1">IF(AL70="거주용1주택",14*10^8,IF(AL70="비거주1주택",9*10^8,400000000+500000000*IFERROR(OFFSET(AL$29,0,MATCH("거주",$K59:$N59,0))/$AQ$11,0)))</f>
        <v>1400000000</v>
      </c>
      <c r="AM72" s="247">
        <f ca="1">IF(AM70="거주용1주택",14*10^8,IF(AM70="비거주1주택",9*10^8,400000000+500000000*IFERROR(OFFSET(AM$29,0,MATCH("거주",$K59:$N59,0))/$AQ$11,0)))</f>
        <v>900000000</v>
      </c>
      <c r="AN72" s="247">
        <f ca="1">4*10^8+500000000*IFERROR(OFFSET($AK$11,0,MATCH("거주",$AL59:$AO59,0))/$AP$11,0)</f>
        <v>722580645.16129029</v>
      </c>
      <c r="AO72" s="247">
        <f ca="1">4*10^8+500000000*IFERROR(OFFSET($AK$11,0,MATCH("거주",$AL59:$AO59,0))/$AP$11,0)</f>
        <v>722580645.16129029</v>
      </c>
      <c r="AP72" s="3"/>
      <c r="AQ72" s="3"/>
      <c r="AR72" s="3"/>
    </row>
    <row r="73" spans="1:44" ht="16.5" customHeight="1">
      <c r="A73" s="194" t="s">
        <v>153</v>
      </c>
      <c r="B73" s="15">
        <f ca="1">IF(B71&gt;B72,B71-B72,0)</f>
        <v>100000000</v>
      </c>
      <c r="C73" s="3"/>
      <c r="D73" s="3"/>
      <c r="E73" s="3"/>
      <c r="F73" s="3"/>
      <c r="G73" s="3"/>
      <c r="H73" s="3"/>
      <c r="I73" s="3"/>
      <c r="J73" s="246" t="s">
        <v>153</v>
      </c>
      <c r="K73" s="133">
        <f t="shared" ref="K73:N73" ca="1" si="135">IF(K71&gt;K72,K71-K72,0)</f>
        <v>0</v>
      </c>
      <c r="L73" s="133">
        <f t="shared" ca="1" si="135"/>
        <v>250000000</v>
      </c>
      <c r="M73" s="133">
        <f t="shared" ca="1" si="135"/>
        <v>427419354.83870971</v>
      </c>
      <c r="N73" s="133">
        <f t="shared" ca="1" si="135"/>
        <v>427419354.83870971</v>
      </c>
      <c r="O73" s="3"/>
      <c r="P73" s="3"/>
      <c r="Q73" s="3"/>
      <c r="S73" s="246" t="s">
        <v>153</v>
      </c>
      <c r="T73" s="133">
        <f t="shared" ref="T73:W73" ca="1" si="136">IF(T71&gt;T72,T71-T72,0)</f>
        <v>0</v>
      </c>
      <c r="U73" s="133">
        <f t="shared" ca="1" si="136"/>
        <v>422500000</v>
      </c>
      <c r="V73" s="133">
        <f t="shared" ca="1" si="136"/>
        <v>599919354.83870971</v>
      </c>
      <c r="W73" s="133">
        <f t="shared" ca="1" si="136"/>
        <v>599919354.83870971</v>
      </c>
      <c r="X73" s="3"/>
      <c r="Y73" s="3"/>
      <c r="Z73" s="3"/>
      <c r="AB73" s="246" t="s">
        <v>153</v>
      </c>
      <c r="AC73" s="133">
        <f t="shared" ref="AC73:AF73" ca="1" si="137">IF(AC71&gt;AC72,AC71-AC72,0)</f>
        <v>120875000</v>
      </c>
      <c r="AD73" s="133">
        <f t="shared" ca="1" si="137"/>
        <v>620875000</v>
      </c>
      <c r="AE73" s="133">
        <f t="shared" ca="1" si="137"/>
        <v>798294354.83870959</v>
      </c>
      <c r="AF73" s="133">
        <f t="shared" ca="1" si="137"/>
        <v>798294354.83870959</v>
      </c>
      <c r="AG73" s="3"/>
      <c r="AH73" s="3"/>
      <c r="AI73" s="3"/>
      <c r="AK73" s="246" t="s">
        <v>153</v>
      </c>
      <c r="AL73" s="133">
        <f t="shared" ref="AL73:AO73" ca="1" si="138">IF(AL71&gt;AL72,AL71-AL72,0)</f>
        <v>349006249.99999976</v>
      </c>
      <c r="AM73" s="248">
        <f t="shared" ca="1" si="138"/>
        <v>849006249.99999976</v>
      </c>
      <c r="AN73" s="248">
        <f t="shared" ca="1" si="138"/>
        <v>1026425604.8387095</v>
      </c>
      <c r="AO73" s="248">
        <f t="shared" ca="1" si="138"/>
        <v>1026425604.8387095</v>
      </c>
      <c r="AP73" s="3"/>
      <c r="AQ73" s="3"/>
      <c r="AR73" s="3"/>
    </row>
    <row r="74" spans="1:44" ht="16.5" customHeight="1">
      <c r="A74" s="194" t="s">
        <v>78</v>
      </c>
      <c r="B74" s="17">
        <v>0.6</v>
      </c>
      <c r="C74" s="3"/>
      <c r="D74" s="3"/>
      <c r="E74" s="3"/>
      <c r="F74" s="3"/>
      <c r="G74" s="3"/>
      <c r="H74" s="3"/>
      <c r="I74" s="3"/>
      <c r="J74" s="260" t="s">
        <v>279</v>
      </c>
      <c r="K74" s="261">
        <v>0.7</v>
      </c>
      <c r="L74" s="261">
        <v>0.7</v>
      </c>
      <c r="M74" s="261">
        <v>0.7</v>
      </c>
      <c r="N74" s="261">
        <v>0.7</v>
      </c>
      <c r="O74" s="3"/>
      <c r="P74" s="3"/>
      <c r="Q74" s="3"/>
      <c r="S74" s="260" t="s">
        <v>279</v>
      </c>
      <c r="T74" s="263">
        <v>0.7</v>
      </c>
      <c r="U74" s="263">
        <v>0.7</v>
      </c>
      <c r="V74" s="261">
        <v>0.8</v>
      </c>
      <c r="W74" s="261">
        <v>0.8</v>
      </c>
      <c r="X74" s="3"/>
      <c r="Y74" s="3"/>
      <c r="Z74" s="3"/>
      <c r="AB74" s="260" t="s">
        <v>279</v>
      </c>
      <c r="AC74" s="263">
        <v>0.7</v>
      </c>
      <c r="AD74" s="263">
        <v>0.7</v>
      </c>
      <c r="AE74" s="261">
        <v>0.8</v>
      </c>
      <c r="AF74" s="261">
        <v>0.8</v>
      </c>
      <c r="AG74" s="3"/>
      <c r="AH74" s="3"/>
      <c r="AI74" s="3"/>
      <c r="AK74" s="260" t="s">
        <v>279</v>
      </c>
      <c r="AL74" s="263">
        <v>0.7</v>
      </c>
      <c r="AM74" s="263">
        <v>0.7</v>
      </c>
      <c r="AN74" s="261">
        <v>0.8</v>
      </c>
      <c r="AO74" s="261">
        <v>0.8</v>
      </c>
      <c r="AP74" s="3"/>
      <c r="AQ74" s="3"/>
      <c r="AR74" s="3"/>
    </row>
    <row r="75" spans="1:44" ht="16.5" customHeight="1">
      <c r="A75" s="194" t="s">
        <v>62</v>
      </c>
      <c r="B75" s="15">
        <f ca="1">B73*B74</f>
        <v>60000000</v>
      </c>
      <c r="C75" s="3"/>
      <c r="D75" s="15"/>
      <c r="E75" s="3"/>
      <c r="F75" s="3"/>
      <c r="G75" s="3"/>
      <c r="H75" s="3"/>
      <c r="I75" s="3"/>
      <c r="J75" s="246" t="s">
        <v>62</v>
      </c>
      <c r="K75" s="133">
        <f t="shared" ref="K75:N75" ca="1" si="139">IF(K73&gt;0,K73*K74,0)</f>
        <v>0</v>
      </c>
      <c r="L75" s="133">
        <f t="shared" ca="1" si="139"/>
        <v>175000000</v>
      </c>
      <c r="M75" s="133">
        <f t="shared" ca="1" si="139"/>
        <v>299193548.38709676</v>
      </c>
      <c r="N75" s="133">
        <f t="shared" ca="1" si="139"/>
        <v>299193548.38709676</v>
      </c>
      <c r="O75" s="3"/>
      <c r="P75" s="3"/>
      <c r="Q75" s="3"/>
      <c r="S75" s="246" t="s">
        <v>62</v>
      </c>
      <c r="T75" s="133">
        <f t="shared" ref="T75:W75" ca="1" si="140">IF(T73&gt;0,T73*T74,0)</f>
        <v>0</v>
      </c>
      <c r="U75" s="133">
        <f t="shared" ca="1" si="140"/>
        <v>295750000</v>
      </c>
      <c r="V75" s="133">
        <f t="shared" ca="1" si="140"/>
        <v>479935483.87096781</v>
      </c>
      <c r="W75" s="133">
        <f t="shared" ca="1" si="140"/>
        <v>479935483.87096781</v>
      </c>
      <c r="X75" s="3"/>
      <c r="Y75" s="3"/>
      <c r="Z75" s="3"/>
      <c r="AB75" s="246" t="s">
        <v>62</v>
      </c>
      <c r="AC75" s="133">
        <f t="shared" ref="AC75:AF75" ca="1" si="141">IF(AC73&gt;0,AC73*AC74,0)</f>
        <v>84612500</v>
      </c>
      <c r="AD75" s="133">
        <f t="shared" ca="1" si="141"/>
        <v>434612500</v>
      </c>
      <c r="AE75" s="133">
        <f t="shared" ca="1" si="141"/>
        <v>638635483.87096775</v>
      </c>
      <c r="AF75" s="133">
        <f t="shared" ca="1" si="141"/>
        <v>638635483.87096775</v>
      </c>
      <c r="AG75" s="3"/>
      <c r="AH75" s="3"/>
      <c r="AI75" s="3"/>
      <c r="AK75" s="246" t="s">
        <v>62</v>
      </c>
      <c r="AL75" s="133">
        <f t="shared" ref="AL75:AO75" ca="1" si="142">IF(AL73&gt;0,AL73*AL74,0)</f>
        <v>244304374.99999982</v>
      </c>
      <c r="AM75" s="133">
        <f t="shared" ca="1" si="142"/>
        <v>594304374.99999976</v>
      </c>
      <c r="AN75" s="133">
        <f t="shared" ca="1" si="142"/>
        <v>821140483.87096763</v>
      </c>
      <c r="AO75" s="133">
        <f t="shared" ca="1" si="142"/>
        <v>821140483.87096763</v>
      </c>
      <c r="AP75" s="3"/>
      <c r="AQ75" s="3"/>
      <c r="AR75" s="3"/>
    </row>
    <row r="76" spans="1:44" ht="16.5" customHeight="1">
      <c r="A76" s="194" t="s">
        <v>63</v>
      </c>
      <c r="B76" s="20">
        <f t="array" ref="B76">IF(B64="기본세율",
INDEX(t!$M$3:$M$9,MATCH(TRUE,$B$45&lt;=t!$L$3:$L$9,0)),
INDEX(t!$O$3:$O$9,MATCH(TRUE,$B$45&lt;=t!$L$3:$L$9,0)))</f>
        <v>0.03</v>
      </c>
      <c r="C76" s="3"/>
      <c r="D76" s="3"/>
      <c r="E76" s="3"/>
      <c r="F76" s="3"/>
      <c r="G76" s="3"/>
      <c r="H76" s="3"/>
      <c r="I76" s="3"/>
      <c r="J76" s="246" t="s">
        <v>63</v>
      </c>
      <c r="K76" s="249">
        <f t="array" aca="1" ref="K76" ca="1">INDEX(t!$M$13:$M$19,MATCH(TRUE,K75&lt;=t!$L$13:$L$19,0))</f>
        <v>5.0000000000000001E-3</v>
      </c>
      <c r="L76" s="249">
        <f t="array" aca="1" ref="L76" ca="1">INDEX(t!$M$13:$M$19,MATCH(TRUE,L75&lt;=t!$L$13:$L$19,0))</f>
        <v>5.0000000000000001E-3</v>
      </c>
      <c r="M76" s="249">
        <f t="array" aca="1" ref="M76" ca="1">INDEX(t!$M$13:$M$19,MATCH(TRUE,M75&lt;=t!$L$13:$L$19,0))</f>
        <v>5.0000000000000001E-3</v>
      </c>
      <c r="N76" s="249">
        <f t="array" aca="1" ref="N76" ca="1">INDEX(t!$M$13:$M$19,MATCH(TRUE,N75&lt;=t!$L$13:$L$19,0))</f>
        <v>5.0000000000000001E-3</v>
      </c>
      <c r="O76" s="3"/>
      <c r="P76" s="3"/>
      <c r="Q76" s="3"/>
      <c r="S76" s="246" t="s">
        <v>63</v>
      </c>
      <c r="T76" s="249">
        <f t="array" aca="1" ref="T76" ca="1">INDEX(t!$M$23:$M$29,MATCH(TRUE,T75&lt;=t!$L$23:$L$29,0))</f>
        <v>5.0000000000000001E-3</v>
      </c>
      <c r="U76" s="249">
        <f t="array" aca="1" ref="U76" ca="1">INDEX(t!$M$23:$M$29,MATCH(TRUE,U75&lt;=t!$L$23:$L$29,0))</f>
        <v>5.0000000000000001E-3</v>
      </c>
      <c r="V76" s="249">
        <f t="array" aca="1" ref="V76" ca="1">INDEX(t!$M$23:$M$29,MATCH(TRUE,V75&lt;=t!$L$23:$L$29,0))</f>
        <v>7.0000000000000001E-3</v>
      </c>
      <c r="W76" s="249">
        <f t="array" aca="1" ref="W76" ca="1">INDEX(t!$M$23:$M$29,MATCH(TRUE,W75&lt;=t!$L$23:$L$29,0))</f>
        <v>7.0000000000000001E-3</v>
      </c>
      <c r="X76" s="3"/>
      <c r="Y76" s="3"/>
      <c r="Z76" s="3"/>
      <c r="AB76" s="246" t="s">
        <v>63</v>
      </c>
      <c r="AC76" s="249">
        <f t="array" aca="1" ref="AC76" ca="1">INDEX(t!$M$23:$M$29,MATCH(TRUE,AC75&lt;=t!$L$23:$L$29,0))</f>
        <v>5.0000000000000001E-3</v>
      </c>
      <c r="AD76" s="249">
        <f t="array" aca="1" ref="AD76" ca="1">INDEX(t!$M$23:$M$29,MATCH(TRUE,AD75&lt;=t!$L$23:$L$29,0))</f>
        <v>7.0000000000000001E-3</v>
      </c>
      <c r="AE76" s="249">
        <f t="array" aca="1" ref="AE76" ca="1">INDEX(t!$M$23:$M$29,MATCH(TRUE,AE75&lt;=t!$L$23:$L$29,0))</f>
        <v>1.2999999999999999E-2</v>
      </c>
      <c r="AF76" s="249">
        <f t="array" aca="1" ref="AF76" ca="1">INDEX(t!$M$23:$M$29,MATCH(TRUE,AF75&lt;=t!$L$23:$L$29,0))</f>
        <v>1.2999999999999999E-2</v>
      </c>
      <c r="AG76" s="3"/>
      <c r="AH76" s="3"/>
      <c r="AI76" s="3"/>
      <c r="AK76" s="246" t="s">
        <v>63</v>
      </c>
      <c r="AL76" s="249">
        <f t="array" aca="1" ref="AL76" ca="1">INDEX(t!$M$23:$M$29,MATCH(TRUE,AL75&lt;=t!$L$23:$L$29,0))</f>
        <v>5.0000000000000001E-3</v>
      </c>
      <c r="AM76" s="249">
        <f t="array" aca="1" ref="AM76" ca="1">INDEX(t!$M$23:$M$29,MATCH(TRUE,AM75&lt;=t!$L$23:$L$29,0))</f>
        <v>7.0000000000000001E-3</v>
      </c>
      <c r="AN76" s="249">
        <f t="array" aca="1" ref="AN76" ca="1">INDEX(t!$M$23:$M$29,MATCH(TRUE,AN75&lt;=t!$L$23:$L$29,0))</f>
        <v>1.2999999999999999E-2</v>
      </c>
      <c r="AO76" s="249">
        <f t="array" aca="1" ref="AO76" ca="1">INDEX(t!$M$23:$M$29,MATCH(TRUE,AO75&lt;=t!$L$23:$L$29,0))</f>
        <v>1.2999999999999999E-2</v>
      </c>
      <c r="AP76" s="3"/>
      <c r="AQ76" s="3"/>
      <c r="AR76" s="3"/>
    </row>
    <row r="77" spans="1:44" ht="16.5" customHeight="1">
      <c r="A77" s="194" t="s">
        <v>167</v>
      </c>
      <c r="B77" s="15">
        <f ca="1">B75*B76-VLOOKUP(B76,IF(B64="기본세율",t!$M$2:$N$9,t!$O$2:$P$9),2,0)</f>
        <v>-37600000</v>
      </c>
      <c r="C77" s="3"/>
      <c r="D77" s="3"/>
      <c r="E77" s="3"/>
      <c r="F77" s="3"/>
      <c r="G77" s="3"/>
      <c r="H77" s="3"/>
      <c r="I77" s="3"/>
      <c r="J77" s="246" t="s">
        <v>167</v>
      </c>
      <c r="K77" s="133">
        <f ca="1">K75*K76-VLOOKUP(K76,t!$M$13:$N$19,2,0)</f>
        <v>0</v>
      </c>
      <c r="L77" s="133">
        <f ca="1">L75*L76-VLOOKUP(L76,t!$M$13:$N$19,2,0)</f>
        <v>875000</v>
      </c>
      <c r="M77" s="133">
        <f ca="1">M75*M76-VLOOKUP(M76,t!$M$13:$N$19,2,0)</f>
        <v>1495967.7419354839</v>
      </c>
      <c r="N77" s="133">
        <f ca="1">N75*N76-VLOOKUP(N76,t!$M$13:$N$19,2,0)</f>
        <v>1495967.7419354839</v>
      </c>
      <c r="O77" s="3"/>
      <c r="P77" s="3"/>
      <c r="Q77" s="3"/>
      <c r="S77" s="246" t="s">
        <v>167</v>
      </c>
      <c r="T77" s="133">
        <f ca="1">T75*T76-VLOOKUP(T76,t!$M$22:$N$29,2,0)</f>
        <v>0</v>
      </c>
      <c r="U77" s="133">
        <f ca="1">U75*U76-VLOOKUP(U76,t!$M$22:$N$29,2,0)</f>
        <v>1478750</v>
      </c>
      <c r="V77" s="133">
        <f ca="1">V75*V76-VLOOKUP(V76,t!$M$22:$N$29,2,0)</f>
        <v>2759548.3870967748</v>
      </c>
      <c r="W77" s="133">
        <f ca="1">W75*W76-VLOOKUP(W76,t!$M$22:$N$29,2,0)</f>
        <v>2759548.3870967748</v>
      </c>
      <c r="X77" s="3"/>
      <c r="Y77" s="3"/>
      <c r="Z77" s="3"/>
      <c r="AB77" s="246" t="s">
        <v>167</v>
      </c>
      <c r="AC77" s="133">
        <f ca="1">AC75*AC76-VLOOKUP(AC76,t!$M$22:$N$29,2,0)</f>
        <v>423062.5</v>
      </c>
      <c r="AD77" s="133">
        <f ca="1">AD75*AD76-VLOOKUP(AD76,t!$M$22:$N$29,2,0)</f>
        <v>2442287.5</v>
      </c>
      <c r="AE77" s="133">
        <f ca="1">AE75*AE76-VLOOKUP(AE76,t!$M$22:$N$29,2,0)</f>
        <v>4102261.2903225804</v>
      </c>
      <c r="AF77" s="133">
        <f ca="1">AF75*AF76-VLOOKUP(AF76,t!$M$22:$N$29,2,0)</f>
        <v>4102261.2903225804</v>
      </c>
      <c r="AG77" s="3"/>
      <c r="AH77" s="3"/>
      <c r="AI77" s="3"/>
      <c r="AK77" s="246" t="s">
        <v>167</v>
      </c>
      <c r="AL77" s="133">
        <f ca="1">AL75*AL76-VLOOKUP(AL76,t!$M$22:$N$29,2,0)</f>
        <v>1221521.8749999991</v>
      </c>
      <c r="AM77" s="133">
        <f ca="1">AM75*AM76-VLOOKUP(AM76,t!$M$22:$N$29,2,0)</f>
        <v>3560130.6249999986</v>
      </c>
      <c r="AN77" s="133">
        <f ca="1">AN75*AN76-VLOOKUP(AN76,t!$M$22:$N$29,2,0)</f>
        <v>6474826.2903225794</v>
      </c>
      <c r="AO77" s="133">
        <f ca="1">AO75*AO76-VLOOKUP(AO76,t!$M$22:$N$29,2,0)</f>
        <v>6474826.2903225794</v>
      </c>
      <c r="AP77" s="3"/>
      <c r="AQ77" s="3"/>
      <c r="AR77" s="3"/>
    </row>
    <row r="78" spans="1:44" ht="16.5" customHeight="1">
      <c r="A78" s="194" t="s">
        <v>168</v>
      </c>
      <c r="B78" s="103">
        <f ca="1">F46*(B75*60%*$F$14)/$F$15</f>
        <v>0</v>
      </c>
      <c r="C78" s="93"/>
      <c r="D78" s="94"/>
      <c r="E78" s="94"/>
      <c r="F78" s="3"/>
      <c r="G78" s="3"/>
      <c r="H78" s="3"/>
      <c r="I78" s="3"/>
      <c r="J78" s="246" t="s">
        <v>168</v>
      </c>
      <c r="K78" s="103">
        <f ca="1">$O$16*(K75*60%*$O$14)/$O$15</f>
        <v>0</v>
      </c>
      <c r="L78" s="103">
        <f ca="1">$O$16*(L75*60%*$O$14)/$O$15</f>
        <v>320436.79031037091</v>
      </c>
      <c r="M78" s="103">
        <f ca="1">$O$16*(M75*60%*$O$14)/$O$15</f>
        <v>547843.54472418258</v>
      </c>
      <c r="N78" s="103">
        <f ca="1">$O$16*(N75*60%*$O$14)/$O$15</f>
        <v>547843.54472418258</v>
      </c>
      <c r="O78" s="3"/>
      <c r="P78" s="3"/>
      <c r="Q78" s="3"/>
      <c r="S78" s="246" t="s">
        <v>168</v>
      </c>
      <c r="T78" s="103">
        <f ca="1">$X$16*(T75*60%*$X$14)/$X$15</f>
        <v>0</v>
      </c>
      <c r="U78" s="103">
        <f t="shared" ref="U78:W78" ca="1" si="143">$X$16*(U75*60%*$X$14)/$X$15</f>
        <v>552629.17421330384</v>
      </c>
      <c r="V78" s="103">
        <f t="shared" ca="1" si="143"/>
        <v>896792.39265350928</v>
      </c>
      <c r="W78" s="103">
        <f t="shared" ca="1" si="143"/>
        <v>896792.39265350928</v>
      </c>
      <c r="X78" s="3"/>
      <c r="Y78" s="3"/>
      <c r="Z78" s="3"/>
      <c r="AB78" s="246" t="s">
        <v>168</v>
      </c>
      <c r="AC78" s="103">
        <f ca="1">$AG$16*(AC75*60%*$AG$14)/$AG$15</f>
        <v>161827.28045185402</v>
      </c>
      <c r="AD78" s="103">
        <f t="shared" ref="AD78:AF78" ca="1" si="144">$AG$16*(AD75*60%*$AG$14)/$AG$15</f>
        <v>831226.57911515923</v>
      </c>
      <c r="AE78" s="103">
        <f t="shared" ca="1" si="144"/>
        <v>1221434.7000135039</v>
      </c>
      <c r="AF78" s="103">
        <f t="shared" ca="1" si="144"/>
        <v>1221434.7000135039</v>
      </c>
      <c r="AG78" s="3"/>
      <c r="AH78" s="3"/>
      <c r="AI78" s="3"/>
      <c r="AK78" s="246" t="s">
        <v>168</v>
      </c>
      <c r="AL78" s="103">
        <f ca="1">$AP$16*(AL75*60%*$AP$14)/$AP$15</f>
        <v>477107.23333794117</v>
      </c>
      <c r="AM78" s="103">
        <f ca="1">$AP$16*(AM75*60%*$AP$14)/$AP$15</f>
        <v>1160629.7108550938</v>
      </c>
      <c r="AN78" s="103">
        <f ca="1">$AP$16*(AN75*60%*$AP$14)/$AP$15</f>
        <v>1603622.794071764</v>
      </c>
      <c r="AO78" s="103">
        <f ca="1">$AP$16*(AO75*60%*$AP$14)/$AP$15</f>
        <v>1603622.794071764</v>
      </c>
      <c r="AP78" s="3"/>
      <c r="AQ78" s="3"/>
      <c r="AR78" s="3"/>
    </row>
    <row r="79" spans="1:44" ht="16.5" customHeight="1">
      <c r="A79" s="194" t="s">
        <v>64</v>
      </c>
      <c r="B79" s="15">
        <f ca="1">B77-B78</f>
        <v>-37600000</v>
      </c>
      <c r="C79" s="15"/>
      <c r="D79" s="3"/>
      <c r="E79" s="3"/>
      <c r="F79" s="3"/>
      <c r="G79" s="3"/>
      <c r="H79" s="3"/>
      <c r="I79" s="3"/>
      <c r="J79" s="246" t="s">
        <v>64</v>
      </c>
      <c r="K79" s="133">
        <f t="shared" ref="K79:N79" ca="1" si="145">IF(K77-K78&lt;0,0,K77-K78)</f>
        <v>0</v>
      </c>
      <c r="L79" s="133">
        <f t="shared" ca="1" si="145"/>
        <v>554563.20968962903</v>
      </c>
      <c r="M79" s="133">
        <f t="shared" ca="1" si="145"/>
        <v>948124.1972113013</v>
      </c>
      <c r="N79" s="133">
        <f t="shared" ca="1" si="145"/>
        <v>948124.1972113013</v>
      </c>
      <c r="O79" s="3"/>
      <c r="P79" s="3"/>
      <c r="Q79" s="3"/>
      <c r="S79" s="246" t="s">
        <v>64</v>
      </c>
      <c r="T79" s="133">
        <f t="shared" ref="T79:W79" ca="1" si="146">IF(T77-T78&lt;0,0,T77-T78)</f>
        <v>0</v>
      </c>
      <c r="U79" s="133">
        <f t="shared" ca="1" si="146"/>
        <v>926120.82578669616</v>
      </c>
      <c r="V79" s="133">
        <f t="shared" ca="1" si="146"/>
        <v>1862755.9944432655</v>
      </c>
      <c r="W79" s="133">
        <f t="shared" ca="1" si="146"/>
        <v>1862755.9944432655</v>
      </c>
      <c r="X79" s="3"/>
      <c r="Y79" s="3"/>
      <c r="Z79" s="3"/>
      <c r="AB79" s="246" t="s">
        <v>64</v>
      </c>
      <c r="AC79" s="133">
        <f t="shared" ref="AC79:AF79" ca="1" si="147">IF(AC77-AC78&lt;0,0,AC77-AC78)</f>
        <v>261235.21954814598</v>
      </c>
      <c r="AD79" s="133">
        <f t="shared" ca="1" si="147"/>
        <v>1611060.9208848407</v>
      </c>
      <c r="AE79" s="133">
        <f t="shared" ca="1" si="147"/>
        <v>2880826.5903090765</v>
      </c>
      <c r="AF79" s="133">
        <f t="shared" ca="1" si="147"/>
        <v>2880826.5903090765</v>
      </c>
      <c r="AG79" s="3"/>
      <c r="AH79" s="3"/>
      <c r="AI79" s="3"/>
      <c r="AK79" s="246" t="s">
        <v>64</v>
      </c>
      <c r="AL79" s="133">
        <f t="shared" ref="AL79:AO79" ca="1" si="148">IF(AL77-AL78&lt;0,0,AL77-AL78)</f>
        <v>744414.64166205795</v>
      </c>
      <c r="AM79" s="133">
        <f t="shared" ca="1" si="148"/>
        <v>2399500.9141449048</v>
      </c>
      <c r="AN79" s="133">
        <f t="shared" ca="1" si="148"/>
        <v>4871203.4962508157</v>
      </c>
      <c r="AO79" s="133">
        <f t="shared" ca="1" si="148"/>
        <v>4871203.4962508157</v>
      </c>
      <c r="AP79" s="3"/>
      <c r="AQ79" s="3"/>
      <c r="AR79" s="3"/>
    </row>
    <row r="80" spans="1:44" ht="16.5" customHeight="1">
      <c r="A80" s="194" t="s">
        <v>268</v>
      </c>
      <c r="B80" s="17">
        <f>IF(B40="1세대1주택",MIN(80%,SUM(B68,B62)),0)</f>
        <v>0</v>
      </c>
      <c r="C80" s="15"/>
      <c r="D80" s="3"/>
      <c r="E80" s="3"/>
      <c r="F80" s="3"/>
      <c r="G80" s="3"/>
      <c r="H80" s="3"/>
      <c r="I80" s="3"/>
      <c r="J80" s="246" t="s">
        <v>268</v>
      </c>
      <c r="K80" s="121">
        <f>IF(K58="1세대1주택",MIN(80%,K62+MAX(K66,K68)),0)</f>
        <v>0</v>
      </c>
      <c r="L80" s="121">
        <f t="shared" ref="L80:N80" si="149">IF(L58="1세대1주택",MIN(80%,L62+MAX(L66,L68)),0)</f>
        <v>0</v>
      </c>
      <c r="M80" s="121">
        <f t="shared" si="149"/>
        <v>0</v>
      </c>
      <c r="N80" s="121">
        <f t="shared" si="149"/>
        <v>0</v>
      </c>
      <c r="O80" s="3"/>
      <c r="P80" s="3"/>
      <c r="Q80" s="3"/>
      <c r="S80" s="246" t="s">
        <v>268</v>
      </c>
      <c r="T80" s="121">
        <f>IF(T58="1세대1주택",MIN(80%,SUM(T66,T68)),0)</f>
        <v>0</v>
      </c>
      <c r="U80" s="121">
        <f t="shared" ref="U80:W80" si="150">IF(U58="1세대1주택",MIN(80%,SUM(U66,U68)),0)</f>
        <v>0</v>
      </c>
      <c r="V80" s="121">
        <f t="shared" si="150"/>
        <v>0</v>
      </c>
      <c r="W80" s="121">
        <f t="shared" si="150"/>
        <v>0</v>
      </c>
      <c r="X80" s="3"/>
      <c r="Y80" s="3"/>
      <c r="Z80" s="3"/>
      <c r="AB80" s="246" t="s">
        <v>268</v>
      </c>
      <c r="AC80" s="121">
        <f>IF(AC58="1세대1주택",MIN(80%,SUM(AC66,AC68)),0)</f>
        <v>0</v>
      </c>
      <c r="AD80" s="121">
        <f t="shared" ref="AD80:AF80" si="151">IF(AD58="1세대1주택",MIN(80%,SUM(AD66,AD68)),0)</f>
        <v>0</v>
      </c>
      <c r="AE80" s="121">
        <f t="shared" si="151"/>
        <v>0</v>
      </c>
      <c r="AF80" s="121">
        <f t="shared" si="151"/>
        <v>0</v>
      </c>
      <c r="AG80" s="3"/>
      <c r="AH80" s="3"/>
      <c r="AI80" s="3"/>
      <c r="AK80" s="246" t="s">
        <v>268</v>
      </c>
      <c r="AL80" s="121">
        <f>IF(AL58="1세대1주택",MIN(80%,SUM(AL66,AL68)),0)</f>
        <v>0</v>
      </c>
      <c r="AM80" s="121">
        <f t="shared" ref="AM80:AO80" si="152">IF(AM58="1세대1주택",MIN(80%,SUM(AM66,AM68)),0)</f>
        <v>0</v>
      </c>
      <c r="AN80" s="121">
        <f t="shared" si="152"/>
        <v>0</v>
      </c>
      <c r="AO80" s="121">
        <f t="shared" si="152"/>
        <v>0</v>
      </c>
      <c r="AP80" s="3"/>
      <c r="AQ80" s="3"/>
      <c r="AR80" s="3"/>
    </row>
    <row r="81" spans="1:44" ht="16.5" customHeight="1">
      <c r="A81" s="194" t="s">
        <v>271</v>
      </c>
      <c r="B81" s="15">
        <f ca="1">B79*(1-B80)</f>
        <v>-37600000</v>
      </c>
      <c r="D81" s="3"/>
      <c r="E81" s="3"/>
      <c r="F81" s="3"/>
      <c r="G81" s="3"/>
      <c r="H81" s="3"/>
      <c r="I81" s="3"/>
      <c r="J81" s="246" t="s">
        <v>271</v>
      </c>
      <c r="K81" s="133">
        <f ca="1">K79*(1-K80)</f>
        <v>0</v>
      </c>
      <c r="L81" s="133">
        <f t="shared" ref="L81:N81" ca="1" si="153">L79*(1-L80)</f>
        <v>554563.20968962903</v>
      </c>
      <c r="M81" s="133">
        <f t="shared" ca="1" si="153"/>
        <v>948124.1972113013</v>
      </c>
      <c r="N81" s="133">
        <f t="shared" ca="1" si="153"/>
        <v>948124.1972113013</v>
      </c>
      <c r="O81" s="3"/>
      <c r="P81" s="3"/>
      <c r="Q81" s="3"/>
      <c r="S81" s="246" t="s">
        <v>271</v>
      </c>
      <c r="T81" s="133">
        <f ca="1">T79*(1-T80)</f>
        <v>0</v>
      </c>
      <c r="U81" s="133">
        <f t="shared" ref="U81:W81" ca="1" si="154">U79*(1-U80)</f>
        <v>926120.82578669616</v>
      </c>
      <c r="V81" s="133">
        <f t="shared" ca="1" si="154"/>
        <v>1862755.9944432655</v>
      </c>
      <c r="W81" s="133">
        <f t="shared" ca="1" si="154"/>
        <v>1862755.9944432655</v>
      </c>
      <c r="X81" s="3"/>
      <c r="Y81" s="3"/>
      <c r="Z81" s="3"/>
      <c r="AB81" s="246" t="s">
        <v>271</v>
      </c>
      <c r="AC81" s="133">
        <f ca="1">AC79*(1-AC80)</f>
        <v>261235.21954814598</v>
      </c>
      <c r="AD81" s="133">
        <f t="shared" ref="AD81:AF81" ca="1" si="155">AD79*(1-AD80)</f>
        <v>1611060.9208848407</v>
      </c>
      <c r="AE81" s="133">
        <f t="shared" ca="1" si="155"/>
        <v>2880826.5903090765</v>
      </c>
      <c r="AF81" s="133">
        <f t="shared" ca="1" si="155"/>
        <v>2880826.5903090765</v>
      </c>
      <c r="AG81" s="3"/>
      <c r="AH81" s="3"/>
      <c r="AI81" s="3"/>
      <c r="AK81" s="246" t="s">
        <v>271</v>
      </c>
      <c r="AL81" s="133">
        <f ca="1">AL79*(1-AL80)</f>
        <v>744414.64166205795</v>
      </c>
      <c r="AM81" s="133">
        <f t="shared" ref="AM81:AO81" ca="1" si="156">AM79*(1-AM80)</f>
        <v>2399500.9141449048</v>
      </c>
      <c r="AN81" s="133">
        <f t="shared" ca="1" si="156"/>
        <v>4871203.4962508157</v>
      </c>
      <c r="AO81" s="133">
        <f t="shared" ca="1" si="156"/>
        <v>4871203.4962508157</v>
      </c>
      <c r="AP81" s="3"/>
      <c r="AQ81" s="3"/>
      <c r="AR81" s="3"/>
    </row>
    <row r="82" spans="1:44" ht="16.5" customHeight="1" thickBot="1">
      <c r="A82" s="194" t="s">
        <v>169</v>
      </c>
      <c r="B82" s="15">
        <f ca="1">IF(B81&gt;$F$26,$F$26-B81,0)</f>
        <v>0</v>
      </c>
      <c r="C82" s="15"/>
      <c r="D82" s="15"/>
      <c r="E82" s="3"/>
      <c r="F82" s="3"/>
      <c r="G82" s="3"/>
      <c r="H82" s="3"/>
      <c r="I82" s="3"/>
      <c r="J82" s="254" t="s">
        <v>169</v>
      </c>
      <c r="K82" s="107">
        <f ca="1">IF(K81&gt;$O$26,$O$26-K81,0)</f>
        <v>0</v>
      </c>
      <c r="L82" s="107">
        <f t="shared" ref="L82:N82" ca="1" si="157">IF(L81&gt;$O$26,$O$26-L81,0)</f>
        <v>0</v>
      </c>
      <c r="M82" s="107">
        <f t="shared" ca="1" si="157"/>
        <v>0</v>
      </c>
      <c r="N82" s="107">
        <f t="shared" ca="1" si="157"/>
        <v>0</v>
      </c>
      <c r="O82" s="3"/>
      <c r="P82" s="3"/>
      <c r="Q82" s="3"/>
      <c r="S82" s="254" t="s">
        <v>169</v>
      </c>
      <c r="T82" s="107">
        <f ca="1">IF(T81&gt;$X$26,$X$26-T81,0)</f>
        <v>0</v>
      </c>
      <c r="U82" s="107">
        <f t="shared" ref="U82:W82" ca="1" si="158">IF(U81&gt;$X$26,$X$26-U81,0)</f>
        <v>0</v>
      </c>
      <c r="V82" s="107">
        <f t="shared" ca="1" si="158"/>
        <v>0</v>
      </c>
      <c r="W82" s="107">
        <f t="shared" ca="1" si="158"/>
        <v>0</v>
      </c>
      <c r="X82" s="3"/>
      <c r="Y82" s="3"/>
      <c r="Z82" s="3"/>
      <c r="AB82" s="254" t="s">
        <v>169</v>
      </c>
      <c r="AC82" s="107">
        <f ca="1">IF(AC81&gt;$AG$26,$AG$26-AC81,0)</f>
        <v>0</v>
      </c>
      <c r="AD82" s="107">
        <f t="shared" ref="AD82:AF82" ca="1" si="159">IF(AD81&gt;$AG$26,$AG$26-AD81,0)</f>
        <v>0</v>
      </c>
      <c r="AE82" s="107">
        <f t="shared" ca="1" si="159"/>
        <v>0</v>
      </c>
      <c r="AF82" s="107">
        <f t="shared" ca="1" si="159"/>
        <v>0</v>
      </c>
      <c r="AG82" s="3"/>
      <c r="AH82" s="3"/>
      <c r="AI82" s="3"/>
      <c r="AK82" s="254" t="s">
        <v>169</v>
      </c>
      <c r="AL82" s="107">
        <f ca="1">IF(AL81&gt;$AP$26,$AP$26-AL81,0)</f>
        <v>0</v>
      </c>
      <c r="AM82" s="107">
        <f t="shared" ref="AM82:AO82" ca="1" si="160">IF(AM81&gt;$AP$26,$AP$26-AM81,0)</f>
        <v>0</v>
      </c>
      <c r="AN82" s="107">
        <f t="shared" ca="1" si="160"/>
        <v>0</v>
      </c>
      <c r="AO82" s="107">
        <f t="shared" ca="1" si="160"/>
        <v>0</v>
      </c>
      <c r="AP82" s="3"/>
      <c r="AQ82" s="3"/>
      <c r="AR82" s="3"/>
    </row>
    <row r="83" spans="1:44" ht="16.5" customHeight="1" thickBot="1">
      <c r="A83" s="206" t="s">
        <v>171</v>
      </c>
      <c r="B83" s="95">
        <f ca="1">B79-B82</f>
        <v>-37600000</v>
      </c>
      <c r="C83" s="15"/>
      <c r="D83" s="3"/>
      <c r="E83" s="3"/>
      <c r="F83" s="3"/>
      <c r="G83" s="3"/>
      <c r="H83" s="3"/>
      <c r="I83" s="3"/>
      <c r="J83" s="251" t="s">
        <v>171</v>
      </c>
      <c r="K83" s="252">
        <f ca="1">K79-K82</f>
        <v>0</v>
      </c>
      <c r="L83" s="252">
        <f t="shared" ref="L83:N83" ca="1" si="161">L79-L82</f>
        <v>554563.20968962903</v>
      </c>
      <c r="M83" s="252">
        <f t="shared" ca="1" si="161"/>
        <v>948124.1972113013</v>
      </c>
      <c r="N83" s="252">
        <f t="shared" ca="1" si="161"/>
        <v>948124.1972113013</v>
      </c>
      <c r="O83" s="3"/>
      <c r="P83" s="3"/>
      <c r="Q83" s="3"/>
      <c r="S83" s="251" t="s">
        <v>171</v>
      </c>
      <c r="T83" s="252">
        <f ca="1">T79-T82</f>
        <v>0</v>
      </c>
      <c r="U83" s="252">
        <f t="shared" ref="U83:W83" ca="1" si="162">U79-U82</f>
        <v>926120.82578669616</v>
      </c>
      <c r="V83" s="252">
        <f t="shared" ca="1" si="162"/>
        <v>1862755.9944432655</v>
      </c>
      <c r="W83" s="252">
        <f t="shared" ca="1" si="162"/>
        <v>1862755.9944432655</v>
      </c>
      <c r="X83" s="3"/>
      <c r="Y83" s="3"/>
      <c r="Z83" s="3"/>
      <c r="AB83" s="251" t="s">
        <v>171</v>
      </c>
      <c r="AC83" s="252">
        <f ca="1">AC79-AC82</f>
        <v>261235.21954814598</v>
      </c>
      <c r="AD83" s="252">
        <f t="shared" ref="AD83:AF83" ca="1" si="163">AD79-AD82</f>
        <v>1611060.9208848407</v>
      </c>
      <c r="AE83" s="252">
        <f t="shared" ca="1" si="163"/>
        <v>2880826.5903090765</v>
      </c>
      <c r="AF83" s="252">
        <f t="shared" ca="1" si="163"/>
        <v>2880826.5903090765</v>
      </c>
      <c r="AG83" s="3"/>
      <c r="AH83" s="3"/>
      <c r="AI83" s="3"/>
      <c r="AK83" s="251" t="s">
        <v>171</v>
      </c>
      <c r="AL83" s="252">
        <f ca="1">AL79-AL82</f>
        <v>744414.64166205795</v>
      </c>
      <c r="AM83" s="252">
        <f t="shared" ref="AM83:AO83" ca="1" si="164">AM79-AM82</f>
        <v>2399500.9141449048</v>
      </c>
      <c r="AN83" s="252">
        <f t="shared" ca="1" si="164"/>
        <v>4871203.4962508157</v>
      </c>
      <c r="AO83" s="252">
        <f t="shared" ca="1" si="164"/>
        <v>4871203.4962508157</v>
      </c>
      <c r="AP83" s="3"/>
      <c r="AQ83" s="3"/>
      <c r="AR83" s="3"/>
    </row>
    <row r="84" spans="1:44" ht="16.5" customHeight="1" thickBot="1">
      <c r="A84" s="194" t="s">
        <v>54</v>
      </c>
      <c r="B84" s="15">
        <f ca="1">B83*0.2</f>
        <v>-7520000</v>
      </c>
      <c r="C84" s="3"/>
      <c r="D84" s="3"/>
      <c r="E84" s="3"/>
      <c r="F84" s="3"/>
      <c r="G84" s="3"/>
      <c r="H84" s="3"/>
      <c r="I84" s="3"/>
      <c r="J84" s="254" t="s">
        <v>54</v>
      </c>
      <c r="K84" s="255">
        <f t="shared" ref="K84:N84" ca="1" si="165">K83*0.2</f>
        <v>0</v>
      </c>
      <c r="L84" s="255">
        <f t="shared" ca="1" si="165"/>
        <v>110912.64193792582</v>
      </c>
      <c r="M84" s="255">
        <f t="shared" ca="1" si="165"/>
        <v>189624.83944226027</v>
      </c>
      <c r="N84" s="255">
        <f t="shared" ca="1" si="165"/>
        <v>189624.83944226027</v>
      </c>
      <c r="O84" s="3"/>
      <c r="P84" s="3"/>
      <c r="Q84" s="3"/>
      <c r="S84" s="254" t="s">
        <v>54</v>
      </c>
      <c r="T84" s="255">
        <f t="shared" ref="T84:W84" ca="1" si="166">T83*0.2</f>
        <v>0</v>
      </c>
      <c r="U84" s="255">
        <f t="shared" ca="1" si="166"/>
        <v>185224.16515733924</v>
      </c>
      <c r="V84" s="255">
        <f t="shared" ca="1" si="166"/>
        <v>372551.19888865313</v>
      </c>
      <c r="W84" s="255">
        <f t="shared" ca="1" si="166"/>
        <v>372551.19888865313</v>
      </c>
      <c r="X84" s="3"/>
      <c r="Y84" s="3"/>
      <c r="Z84" s="3"/>
      <c r="AB84" s="254" t="s">
        <v>54</v>
      </c>
      <c r="AC84" s="255">
        <f t="shared" ref="AC84:AF84" ca="1" si="167">AC83*0.2</f>
        <v>52247.043909629196</v>
      </c>
      <c r="AD84" s="255">
        <f t="shared" ca="1" si="167"/>
        <v>322212.18417696818</v>
      </c>
      <c r="AE84" s="255">
        <f t="shared" ca="1" si="167"/>
        <v>576165.31806181534</v>
      </c>
      <c r="AF84" s="255">
        <f t="shared" ca="1" si="167"/>
        <v>576165.31806181534</v>
      </c>
      <c r="AG84" s="3"/>
      <c r="AH84" s="3"/>
      <c r="AI84" s="3"/>
      <c r="AK84" s="254" t="s">
        <v>54</v>
      </c>
      <c r="AL84" s="255">
        <f t="shared" ref="AL84:AO84" ca="1" si="168">AL83*0.2</f>
        <v>148882.9283324116</v>
      </c>
      <c r="AM84" s="255">
        <f t="shared" ca="1" si="168"/>
        <v>479900.18282898096</v>
      </c>
      <c r="AN84" s="255">
        <f t="shared" ca="1" si="168"/>
        <v>974240.69925016316</v>
      </c>
      <c r="AO84" s="255">
        <f t="shared" ca="1" si="168"/>
        <v>974240.69925016316</v>
      </c>
      <c r="AP84" s="3"/>
      <c r="AQ84" s="3"/>
      <c r="AR84" s="3"/>
    </row>
    <row r="85" spans="1:44" ht="16.5" customHeight="1" thickBot="1">
      <c r="A85" s="206" t="s">
        <v>172</v>
      </c>
      <c r="B85" s="143">
        <f ca="1">SUM(B83:B84)</f>
        <v>-45120000</v>
      </c>
      <c r="C85" s="3"/>
      <c r="D85" s="3"/>
      <c r="E85" s="3"/>
      <c r="F85" s="3"/>
      <c r="G85" s="3"/>
      <c r="H85" s="3"/>
      <c r="I85" s="3"/>
      <c r="J85" s="251" t="s">
        <v>172</v>
      </c>
      <c r="K85" s="252">
        <f t="shared" ref="K85:N85" ca="1" si="169">SUM(K83:K84)</f>
        <v>0</v>
      </c>
      <c r="L85" s="252">
        <f t="shared" ca="1" si="169"/>
        <v>665475.85162755486</v>
      </c>
      <c r="M85" s="252">
        <f t="shared" ca="1" si="169"/>
        <v>1137749.0366535615</v>
      </c>
      <c r="N85" s="252">
        <f t="shared" ca="1" si="169"/>
        <v>1137749.0366535615</v>
      </c>
      <c r="O85" s="3"/>
      <c r="P85" s="3"/>
      <c r="Q85" s="3"/>
      <c r="S85" s="251" t="s">
        <v>172</v>
      </c>
      <c r="T85" s="252">
        <f t="shared" ref="T85:W85" ca="1" si="170">SUM(T83:T84)</f>
        <v>0</v>
      </c>
      <c r="U85" s="252">
        <f t="shared" ca="1" si="170"/>
        <v>1111344.9909440354</v>
      </c>
      <c r="V85" s="252">
        <f t="shared" ca="1" si="170"/>
        <v>2235307.1933319187</v>
      </c>
      <c r="W85" s="252">
        <f t="shared" ca="1" si="170"/>
        <v>2235307.1933319187</v>
      </c>
      <c r="X85" s="3"/>
      <c r="Y85" s="3"/>
      <c r="Z85" s="3"/>
      <c r="AB85" s="251" t="s">
        <v>172</v>
      </c>
      <c r="AC85" s="252">
        <f t="shared" ref="AC85:AF85" ca="1" si="171">SUM(AC83:AC84)</f>
        <v>313482.26345777517</v>
      </c>
      <c r="AD85" s="252">
        <f t="shared" ca="1" si="171"/>
        <v>1933273.1050618088</v>
      </c>
      <c r="AE85" s="252">
        <f t="shared" ca="1" si="171"/>
        <v>3456991.9083708916</v>
      </c>
      <c r="AF85" s="252">
        <f t="shared" ca="1" si="171"/>
        <v>3456991.9083708916</v>
      </c>
      <c r="AG85" s="3"/>
      <c r="AH85" s="3"/>
      <c r="AI85" s="3"/>
      <c r="AK85" s="251" t="s">
        <v>172</v>
      </c>
      <c r="AL85" s="252">
        <f t="shared" ref="AL85:AO85" ca="1" si="172">SUM(AL83:AL84)</f>
        <v>893297.56999446952</v>
      </c>
      <c r="AM85" s="252">
        <f t="shared" ca="1" si="172"/>
        <v>2879401.0969738858</v>
      </c>
      <c r="AN85" s="252">
        <f t="shared" ca="1" si="172"/>
        <v>5845444.1955009792</v>
      </c>
      <c r="AO85" s="252">
        <f t="shared" ca="1" si="172"/>
        <v>5845444.1955009792</v>
      </c>
      <c r="AP85" s="3"/>
      <c r="AQ85" s="3"/>
      <c r="AR85" s="3"/>
    </row>
    <row r="86" spans="1:44" ht="16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S86" s="3"/>
      <c r="T86" s="3"/>
      <c r="U86" s="3"/>
      <c r="V86" s="3"/>
      <c r="W86" s="3"/>
      <c r="X86" s="3"/>
      <c r="Y86" s="3"/>
      <c r="Z86" s="3"/>
      <c r="AB86" s="3"/>
      <c r="AC86" s="3"/>
      <c r="AD86" s="3"/>
      <c r="AE86" s="3"/>
      <c r="AF86" s="3"/>
      <c r="AG86" s="3"/>
      <c r="AH86" s="3"/>
      <c r="AI86" s="3"/>
      <c r="AK86" s="3"/>
      <c r="AL86" s="3"/>
      <c r="AM86" s="3"/>
      <c r="AN86" s="3"/>
      <c r="AO86" s="3"/>
      <c r="AP86" s="3"/>
      <c r="AQ86" s="3"/>
      <c r="AR86" s="3"/>
    </row>
    <row r="87" spans="1:44" ht="16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S87" s="3"/>
      <c r="T87" s="3"/>
      <c r="U87" s="3"/>
      <c r="V87" s="3"/>
      <c r="W87" s="3"/>
      <c r="X87" s="3"/>
      <c r="Y87" s="3"/>
      <c r="Z87" s="3"/>
      <c r="AB87" s="3"/>
      <c r="AC87" s="3"/>
      <c r="AD87" s="3"/>
      <c r="AE87" s="3"/>
      <c r="AF87" s="3"/>
      <c r="AG87" s="3"/>
      <c r="AH87" s="3"/>
      <c r="AI87" s="3"/>
      <c r="AK87" s="3"/>
      <c r="AL87" s="3"/>
      <c r="AM87" s="3"/>
      <c r="AN87" s="3"/>
      <c r="AO87" s="3"/>
      <c r="AP87" s="3"/>
      <c r="AQ87" s="3"/>
      <c r="AR87" s="3"/>
    </row>
    <row r="88" spans="1:44" ht="16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S88" s="3"/>
      <c r="T88" s="3"/>
      <c r="U88" s="3"/>
      <c r="V88" s="3"/>
      <c r="W88" s="3"/>
      <c r="X88" s="3"/>
      <c r="Y88" s="3"/>
      <c r="Z88" s="3"/>
      <c r="AB88" s="3"/>
      <c r="AC88" s="3"/>
      <c r="AD88" s="3"/>
      <c r="AE88" s="3"/>
      <c r="AF88" s="3"/>
      <c r="AG88" s="3"/>
      <c r="AH88" s="3"/>
      <c r="AI88" s="3"/>
      <c r="AK88" s="3"/>
      <c r="AL88" s="3"/>
      <c r="AM88" s="3"/>
      <c r="AN88" s="3"/>
      <c r="AO88" s="3"/>
      <c r="AP88" s="3"/>
      <c r="AQ88" s="3"/>
      <c r="AR88" s="3"/>
    </row>
    <row r="89" spans="1:44" ht="16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S89" s="3"/>
      <c r="T89" s="3"/>
      <c r="U89" s="3"/>
      <c r="V89" s="3"/>
      <c r="W89" s="3"/>
      <c r="X89" s="3"/>
      <c r="Y89" s="3"/>
      <c r="Z89" s="3"/>
      <c r="AB89" s="3"/>
      <c r="AC89" s="3"/>
      <c r="AD89" s="3"/>
      <c r="AE89" s="3"/>
      <c r="AF89" s="3"/>
      <c r="AG89" s="3"/>
      <c r="AH89" s="3"/>
      <c r="AI89" s="3"/>
      <c r="AK89" s="3"/>
      <c r="AL89" s="3"/>
      <c r="AM89" s="3"/>
      <c r="AN89" s="3"/>
      <c r="AO89" s="3"/>
      <c r="AP89" s="3"/>
      <c r="AQ89" s="3"/>
      <c r="AR89" s="3"/>
    </row>
    <row r="90" spans="1:44" ht="16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S90" s="3"/>
      <c r="T90" s="3"/>
      <c r="U90" s="3"/>
      <c r="V90" s="3"/>
      <c r="W90" s="3"/>
      <c r="X90" s="3"/>
      <c r="Y90" s="3"/>
      <c r="Z90" s="3"/>
      <c r="AB90" s="3"/>
      <c r="AC90" s="3"/>
      <c r="AD90" s="3"/>
      <c r="AE90" s="3"/>
      <c r="AF90" s="3"/>
      <c r="AG90" s="3"/>
      <c r="AH90" s="3"/>
      <c r="AI90" s="3"/>
      <c r="AK90" s="3"/>
      <c r="AL90" s="3"/>
      <c r="AM90" s="3"/>
      <c r="AN90" s="3"/>
      <c r="AO90" s="3"/>
      <c r="AP90" s="3"/>
      <c r="AQ90" s="3"/>
      <c r="AR90" s="3"/>
    </row>
    <row r="91" spans="1:44" ht="16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S91" s="3"/>
      <c r="T91" s="3"/>
      <c r="U91" s="3"/>
      <c r="V91" s="3"/>
      <c r="W91" s="3"/>
      <c r="X91" s="3"/>
      <c r="Y91" s="3"/>
      <c r="Z91" s="3"/>
      <c r="AB91" s="3"/>
      <c r="AC91" s="3"/>
      <c r="AD91" s="3"/>
      <c r="AE91" s="3"/>
      <c r="AF91" s="3"/>
      <c r="AG91" s="3"/>
      <c r="AH91" s="3"/>
      <c r="AI91" s="3"/>
      <c r="AK91" s="3"/>
      <c r="AL91" s="3"/>
      <c r="AM91" s="3"/>
      <c r="AN91" s="3"/>
      <c r="AO91" s="3"/>
      <c r="AP91" s="3"/>
      <c r="AQ91" s="3"/>
      <c r="AR91" s="3"/>
    </row>
    <row r="92" spans="1:44" ht="16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S92" s="3"/>
      <c r="T92" s="3"/>
      <c r="U92" s="3"/>
      <c r="V92" s="3"/>
      <c r="W92" s="3"/>
      <c r="X92" s="3"/>
      <c r="Y92" s="3"/>
      <c r="Z92" s="3"/>
      <c r="AB92" s="3"/>
      <c r="AC92" s="3"/>
      <c r="AD92" s="3"/>
      <c r="AE92" s="3"/>
      <c r="AF92" s="3"/>
      <c r="AG92" s="3"/>
      <c r="AH92" s="3"/>
      <c r="AI92" s="3"/>
      <c r="AK92" s="3"/>
      <c r="AL92" s="3"/>
      <c r="AM92" s="3"/>
      <c r="AN92" s="3"/>
      <c r="AO92" s="3"/>
      <c r="AP92" s="3"/>
      <c r="AQ92" s="3"/>
      <c r="AR92" s="3"/>
    </row>
    <row r="93" spans="1:44" ht="16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S93" s="3"/>
      <c r="T93" s="3"/>
      <c r="U93" s="3"/>
      <c r="V93" s="3"/>
      <c r="W93" s="3"/>
      <c r="X93" s="3"/>
      <c r="Y93" s="3"/>
      <c r="Z93" s="3"/>
      <c r="AB93" s="3"/>
      <c r="AC93" s="3"/>
      <c r="AD93" s="3"/>
      <c r="AE93" s="3"/>
      <c r="AF93" s="3"/>
      <c r="AG93" s="3"/>
      <c r="AH93" s="3"/>
      <c r="AI93" s="3"/>
      <c r="AK93" s="3"/>
      <c r="AL93" s="3"/>
      <c r="AM93" s="3"/>
      <c r="AN93" s="3"/>
      <c r="AO93" s="3"/>
      <c r="AP93" s="3"/>
      <c r="AQ93" s="3"/>
      <c r="AR93" s="3"/>
    </row>
    <row r="94" spans="1:44" ht="16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S94" s="3"/>
      <c r="T94" s="3"/>
      <c r="U94" s="3"/>
      <c r="V94" s="3"/>
      <c r="W94" s="3"/>
      <c r="X94" s="3"/>
      <c r="Y94" s="3"/>
      <c r="Z94" s="3"/>
      <c r="AB94" s="3"/>
      <c r="AC94" s="3"/>
      <c r="AD94" s="3"/>
      <c r="AE94" s="3"/>
      <c r="AF94" s="3"/>
      <c r="AG94" s="3"/>
      <c r="AH94" s="3"/>
      <c r="AI94" s="3"/>
      <c r="AK94" s="3"/>
      <c r="AL94" s="3"/>
      <c r="AM94" s="3"/>
      <c r="AN94" s="3"/>
      <c r="AO94" s="3"/>
      <c r="AP94" s="3"/>
      <c r="AQ94" s="3"/>
      <c r="AR94" s="3"/>
    </row>
    <row r="95" spans="1:44" ht="16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S95" s="3"/>
      <c r="T95" s="3"/>
      <c r="U95" s="3"/>
      <c r="V95" s="3"/>
      <c r="W95" s="3"/>
      <c r="X95" s="3"/>
      <c r="Y95" s="3"/>
      <c r="Z95" s="3"/>
      <c r="AB95" s="3"/>
      <c r="AC95" s="3"/>
      <c r="AD95" s="3"/>
      <c r="AE95" s="3"/>
      <c r="AF95" s="3"/>
      <c r="AG95" s="3"/>
      <c r="AH95" s="3"/>
      <c r="AI95" s="3"/>
      <c r="AK95" s="3"/>
      <c r="AL95" s="3"/>
      <c r="AM95" s="3"/>
      <c r="AN95" s="3"/>
      <c r="AO95" s="3"/>
      <c r="AP95" s="3"/>
      <c r="AQ95" s="3"/>
      <c r="AR95" s="3"/>
    </row>
    <row r="96" spans="1:44" ht="16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S96" s="3"/>
      <c r="T96" s="3"/>
      <c r="U96" s="3"/>
      <c r="V96" s="3"/>
      <c r="W96" s="3"/>
      <c r="X96" s="3"/>
      <c r="Y96" s="3"/>
      <c r="Z96" s="3"/>
      <c r="AB96" s="3"/>
      <c r="AC96" s="3"/>
      <c r="AD96" s="3"/>
      <c r="AE96" s="3"/>
      <c r="AF96" s="3"/>
      <c r="AG96" s="3"/>
      <c r="AH96" s="3"/>
      <c r="AI96" s="3"/>
      <c r="AK96" s="3"/>
      <c r="AL96" s="3"/>
      <c r="AM96" s="3"/>
      <c r="AN96" s="3"/>
      <c r="AO96" s="3"/>
      <c r="AP96" s="3"/>
      <c r="AQ96" s="3"/>
      <c r="AR96" s="3"/>
    </row>
    <row r="97" spans="1:44" ht="16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S97" s="3"/>
      <c r="T97" s="3"/>
      <c r="U97" s="3"/>
      <c r="V97" s="3"/>
      <c r="W97" s="3"/>
      <c r="X97" s="3"/>
      <c r="Y97" s="3"/>
      <c r="Z97" s="3"/>
      <c r="AB97" s="3"/>
      <c r="AC97" s="3"/>
      <c r="AD97" s="3"/>
      <c r="AE97" s="3"/>
      <c r="AF97" s="3"/>
      <c r="AG97" s="3"/>
      <c r="AH97" s="3"/>
      <c r="AI97" s="3"/>
      <c r="AK97" s="3"/>
      <c r="AL97" s="3"/>
      <c r="AM97" s="3"/>
      <c r="AN97" s="3"/>
      <c r="AO97" s="3"/>
      <c r="AP97" s="3"/>
      <c r="AQ97" s="3"/>
      <c r="AR97" s="3"/>
    </row>
    <row r="98" spans="1:44" ht="16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S98" s="3"/>
      <c r="T98" s="3"/>
      <c r="U98" s="3"/>
      <c r="V98" s="3"/>
      <c r="W98" s="3"/>
      <c r="X98" s="3"/>
      <c r="Y98" s="3"/>
      <c r="Z98" s="3"/>
      <c r="AB98" s="3"/>
      <c r="AC98" s="3"/>
      <c r="AD98" s="3"/>
      <c r="AE98" s="3"/>
      <c r="AF98" s="3"/>
      <c r="AG98" s="3"/>
      <c r="AH98" s="3"/>
      <c r="AI98" s="3"/>
      <c r="AK98" s="3"/>
      <c r="AL98" s="3"/>
      <c r="AM98" s="3"/>
      <c r="AN98" s="3"/>
      <c r="AO98" s="3"/>
      <c r="AP98" s="3"/>
      <c r="AQ98" s="3"/>
      <c r="AR98" s="3"/>
    </row>
    <row r="99" spans="1:44" ht="16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S99" s="3"/>
      <c r="T99" s="3"/>
      <c r="U99" s="3"/>
      <c r="V99" s="3"/>
      <c r="W99" s="3"/>
      <c r="X99" s="3"/>
      <c r="Y99" s="3"/>
      <c r="Z99" s="3"/>
      <c r="AB99" s="3"/>
      <c r="AC99" s="3"/>
      <c r="AD99" s="3"/>
      <c r="AE99" s="3"/>
      <c r="AF99" s="3"/>
      <c r="AG99" s="3"/>
      <c r="AH99" s="3"/>
      <c r="AI99" s="3"/>
      <c r="AK99" s="3"/>
      <c r="AL99" s="3"/>
      <c r="AM99" s="3"/>
      <c r="AN99" s="3"/>
      <c r="AO99" s="3"/>
      <c r="AP99" s="3"/>
      <c r="AQ99" s="3"/>
      <c r="AR99" s="3"/>
    </row>
    <row r="100" spans="1:44" ht="16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S100" s="3"/>
      <c r="T100" s="3"/>
      <c r="U100" s="3"/>
      <c r="V100" s="3"/>
      <c r="W100" s="3"/>
      <c r="X100" s="3"/>
      <c r="Y100" s="3"/>
      <c r="Z100" s="3"/>
      <c r="AB100" s="3"/>
      <c r="AC100" s="3"/>
      <c r="AD100" s="3"/>
      <c r="AE100" s="3"/>
      <c r="AF100" s="3"/>
      <c r="AG100" s="3"/>
      <c r="AH100" s="3"/>
      <c r="AI100" s="3"/>
      <c r="AK100" s="3"/>
      <c r="AL100" s="3"/>
      <c r="AM100" s="3"/>
      <c r="AN100" s="3"/>
      <c r="AO100" s="3"/>
      <c r="AP100" s="3"/>
      <c r="AQ100" s="3"/>
      <c r="AR100" s="3"/>
    </row>
    <row r="101" spans="1:44" ht="16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S101" s="3"/>
      <c r="T101" s="3"/>
      <c r="U101" s="3"/>
      <c r="V101" s="3"/>
      <c r="W101" s="3"/>
      <c r="X101" s="3"/>
      <c r="Y101" s="3"/>
      <c r="Z101" s="3"/>
      <c r="AB101" s="3"/>
      <c r="AC101" s="3"/>
      <c r="AD101" s="3"/>
      <c r="AE101" s="3"/>
      <c r="AF101" s="3"/>
      <c r="AG101" s="3"/>
      <c r="AH101" s="3"/>
      <c r="AI101" s="3"/>
      <c r="AK101" s="3"/>
      <c r="AL101" s="3"/>
      <c r="AM101" s="3"/>
      <c r="AN101" s="3"/>
      <c r="AO101" s="3"/>
      <c r="AP101" s="3"/>
      <c r="AQ101" s="3"/>
      <c r="AR101" s="3"/>
    </row>
    <row r="102" spans="1:44" ht="16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S102" s="3"/>
      <c r="T102" s="3"/>
      <c r="U102" s="3"/>
      <c r="V102" s="3"/>
      <c r="W102" s="3"/>
      <c r="X102" s="3"/>
      <c r="Y102" s="3"/>
      <c r="Z102" s="3"/>
      <c r="AB102" s="3"/>
      <c r="AC102" s="3"/>
      <c r="AD102" s="3"/>
      <c r="AE102" s="3"/>
      <c r="AF102" s="3"/>
      <c r="AG102" s="3"/>
      <c r="AH102" s="3"/>
      <c r="AI102" s="3"/>
      <c r="AK102" s="3"/>
      <c r="AL102" s="3"/>
      <c r="AM102" s="3"/>
      <c r="AN102" s="3"/>
      <c r="AO102" s="3"/>
      <c r="AP102" s="3"/>
      <c r="AQ102" s="3"/>
      <c r="AR102" s="3"/>
    </row>
    <row r="103" spans="1:44" ht="16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S103" s="3"/>
      <c r="T103" s="3"/>
      <c r="U103" s="3"/>
      <c r="V103" s="3"/>
      <c r="W103" s="3"/>
      <c r="X103" s="3"/>
      <c r="Y103" s="3"/>
      <c r="Z103" s="3"/>
      <c r="AB103" s="3"/>
      <c r="AC103" s="3"/>
      <c r="AD103" s="3"/>
      <c r="AE103" s="3"/>
      <c r="AF103" s="3"/>
      <c r="AG103" s="3"/>
      <c r="AH103" s="3"/>
      <c r="AI103" s="3"/>
      <c r="AK103" s="3"/>
      <c r="AL103" s="3"/>
      <c r="AM103" s="3"/>
      <c r="AN103" s="3"/>
      <c r="AO103" s="3"/>
      <c r="AP103" s="3"/>
      <c r="AQ103" s="3"/>
      <c r="AR103" s="3"/>
    </row>
    <row r="104" spans="1:44" ht="16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S104" s="3"/>
      <c r="T104" s="3"/>
      <c r="U104" s="3"/>
      <c r="V104" s="3"/>
      <c r="W104" s="3"/>
      <c r="X104" s="3"/>
      <c r="Y104" s="3"/>
      <c r="Z104" s="3"/>
      <c r="AB104" s="3"/>
      <c r="AC104" s="3"/>
      <c r="AD104" s="3"/>
      <c r="AE104" s="3"/>
      <c r="AF104" s="3"/>
      <c r="AG104" s="3"/>
      <c r="AH104" s="3"/>
      <c r="AI104" s="3"/>
      <c r="AK104" s="3"/>
      <c r="AL104" s="3"/>
      <c r="AM104" s="3"/>
      <c r="AN104" s="3"/>
      <c r="AO104" s="3"/>
      <c r="AP104" s="3"/>
      <c r="AQ104" s="3"/>
      <c r="AR104" s="3"/>
    </row>
    <row r="105" spans="1:44" ht="16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S105" s="3"/>
      <c r="T105" s="3"/>
      <c r="U105" s="3"/>
      <c r="V105" s="3"/>
      <c r="W105" s="3"/>
      <c r="X105" s="3"/>
      <c r="Y105" s="3"/>
      <c r="Z105" s="3"/>
      <c r="AB105" s="3"/>
      <c r="AC105" s="3"/>
      <c r="AD105" s="3"/>
      <c r="AE105" s="3"/>
      <c r="AF105" s="3"/>
      <c r="AG105" s="3"/>
      <c r="AH105" s="3"/>
      <c r="AI105" s="3"/>
      <c r="AK105" s="3"/>
      <c r="AL105" s="3"/>
      <c r="AM105" s="3"/>
      <c r="AN105" s="3"/>
      <c r="AO105" s="3"/>
      <c r="AP105" s="3"/>
      <c r="AQ105" s="3"/>
      <c r="AR105" s="3"/>
    </row>
    <row r="106" spans="1:44" ht="16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S106" s="3"/>
      <c r="T106" s="3"/>
      <c r="U106" s="3"/>
      <c r="V106" s="3"/>
      <c r="W106" s="3"/>
      <c r="X106" s="3"/>
      <c r="Y106" s="3"/>
      <c r="Z106" s="3"/>
      <c r="AB106" s="3"/>
      <c r="AC106" s="3"/>
      <c r="AD106" s="3"/>
      <c r="AE106" s="3"/>
      <c r="AF106" s="3"/>
      <c r="AG106" s="3"/>
      <c r="AH106" s="3"/>
      <c r="AI106" s="3"/>
      <c r="AK106" s="3"/>
      <c r="AL106" s="3"/>
      <c r="AM106" s="3"/>
      <c r="AN106" s="3"/>
      <c r="AO106" s="3"/>
      <c r="AP106" s="3"/>
      <c r="AQ106" s="3"/>
      <c r="AR106" s="3"/>
    </row>
    <row r="107" spans="1:44" ht="16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S107" s="3"/>
      <c r="T107" s="3"/>
      <c r="U107" s="3"/>
      <c r="V107" s="3"/>
      <c r="W107" s="3"/>
      <c r="X107" s="3"/>
      <c r="Y107" s="3"/>
      <c r="Z107" s="3"/>
      <c r="AB107" s="3"/>
      <c r="AC107" s="3"/>
      <c r="AD107" s="3"/>
      <c r="AE107" s="3"/>
      <c r="AF107" s="3"/>
      <c r="AG107" s="3"/>
      <c r="AH107" s="3"/>
      <c r="AI107" s="3"/>
      <c r="AK107" s="3"/>
      <c r="AL107" s="3"/>
      <c r="AM107" s="3"/>
      <c r="AN107" s="3"/>
      <c r="AO107" s="3"/>
      <c r="AP107" s="3"/>
      <c r="AQ107" s="3"/>
      <c r="AR107" s="3"/>
    </row>
    <row r="108" spans="1:44" ht="16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S108" s="3"/>
      <c r="T108" s="3"/>
      <c r="U108" s="3"/>
      <c r="V108" s="3"/>
      <c r="W108" s="3"/>
      <c r="X108" s="3"/>
      <c r="Y108" s="3"/>
      <c r="Z108" s="3"/>
      <c r="AB108" s="3"/>
      <c r="AC108" s="3"/>
      <c r="AD108" s="3"/>
      <c r="AE108" s="3"/>
      <c r="AF108" s="3"/>
      <c r="AG108" s="3"/>
      <c r="AH108" s="3"/>
      <c r="AI108" s="3"/>
      <c r="AK108" s="3"/>
      <c r="AL108" s="3"/>
      <c r="AM108" s="3"/>
      <c r="AN108" s="3"/>
      <c r="AO108" s="3"/>
      <c r="AP108" s="3"/>
      <c r="AQ108" s="3"/>
      <c r="AR108" s="3"/>
    </row>
    <row r="109" spans="1:44" ht="16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S109" s="3"/>
      <c r="T109" s="3"/>
      <c r="U109" s="3"/>
      <c r="V109" s="3"/>
      <c r="W109" s="3"/>
      <c r="X109" s="3"/>
      <c r="Y109" s="3"/>
      <c r="Z109" s="3"/>
      <c r="AB109" s="3"/>
      <c r="AC109" s="3"/>
      <c r="AD109" s="3"/>
      <c r="AE109" s="3"/>
      <c r="AF109" s="3"/>
      <c r="AG109" s="3"/>
      <c r="AH109" s="3"/>
      <c r="AI109" s="3"/>
      <c r="AK109" s="3"/>
      <c r="AL109" s="3"/>
      <c r="AM109" s="3"/>
      <c r="AN109" s="3"/>
      <c r="AO109" s="3"/>
      <c r="AP109" s="3"/>
      <c r="AQ109" s="3"/>
      <c r="AR109" s="3"/>
    </row>
    <row r="110" spans="1:44" ht="16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S110" s="3"/>
      <c r="T110" s="3"/>
      <c r="U110" s="3"/>
      <c r="V110" s="3"/>
      <c r="W110" s="3"/>
      <c r="X110" s="3"/>
      <c r="Y110" s="3"/>
      <c r="Z110" s="3"/>
      <c r="AB110" s="3"/>
      <c r="AC110" s="3"/>
      <c r="AD110" s="3"/>
      <c r="AE110" s="3"/>
      <c r="AF110" s="3"/>
      <c r="AG110" s="3"/>
      <c r="AH110" s="3"/>
      <c r="AI110" s="3"/>
      <c r="AK110" s="3"/>
      <c r="AL110" s="3"/>
      <c r="AM110" s="3"/>
      <c r="AN110" s="3"/>
      <c r="AO110" s="3"/>
      <c r="AP110" s="3"/>
      <c r="AQ110" s="3"/>
      <c r="AR110" s="3"/>
    </row>
    <row r="111" spans="1:44" ht="16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S111" s="3"/>
      <c r="T111" s="3"/>
      <c r="U111" s="3"/>
      <c r="V111" s="3"/>
      <c r="W111" s="3"/>
      <c r="X111" s="3"/>
      <c r="Y111" s="3"/>
      <c r="Z111" s="3"/>
      <c r="AB111" s="3"/>
      <c r="AC111" s="3"/>
      <c r="AD111" s="3"/>
      <c r="AE111" s="3"/>
      <c r="AF111" s="3"/>
      <c r="AG111" s="3"/>
      <c r="AH111" s="3"/>
      <c r="AI111" s="3"/>
      <c r="AK111" s="3"/>
      <c r="AL111" s="3"/>
      <c r="AM111" s="3"/>
      <c r="AN111" s="3"/>
      <c r="AO111" s="3"/>
      <c r="AP111" s="3"/>
      <c r="AQ111" s="3"/>
      <c r="AR111" s="3"/>
    </row>
    <row r="112" spans="1:44" ht="16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S112" s="3"/>
      <c r="T112" s="3"/>
      <c r="U112" s="3"/>
      <c r="V112" s="3"/>
      <c r="W112" s="3"/>
      <c r="X112" s="3"/>
      <c r="Y112" s="3"/>
      <c r="Z112" s="3"/>
      <c r="AB112" s="3"/>
      <c r="AC112" s="3"/>
      <c r="AD112" s="3"/>
      <c r="AE112" s="3"/>
      <c r="AF112" s="3"/>
      <c r="AG112" s="3"/>
      <c r="AH112" s="3"/>
      <c r="AI112" s="3"/>
      <c r="AK112" s="3"/>
      <c r="AL112" s="3"/>
      <c r="AM112" s="3"/>
      <c r="AN112" s="3"/>
      <c r="AO112" s="3"/>
      <c r="AP112" s="3"/>
      <c r="AQ112" s="3"/>
      <c r="AR112" s="3"/>
    </row>
    <row r="113" spans="1:44" ht="16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S113" s="3"/>
      <c r="T113" s="3"/>
      <c r="U113" s="3"/>
      <c r="V113" s="3"/>
      <c r="W113" s="3"/>
      <c r="X113" s="3"/>
      <c r="Y113" s="3"/>
      <c r="Z113" s="3"/>
      <c r="AB113" s="3"/>
      <c r="AC113" s="3"/>
      <c r="AD113" s="3"/>
      <c r="AE113" s="3"/>
      <c r="AF113" s="3"/>
      <c r="AG113" s="3"/>
      <c r="AH113" s="3"/>
      <c r="AI113" s="3"/>
      <c r="AK113" s="3"/>
      <c r="AL113" s="3"/>
      <c r="AM113" s="3"/>
      <c r="AN113" s="3"/>
      <c r="AO113" s="3"/>
      <c r="AP113" s="3"/>
      <c r="AQ113" s="3"/>
      <c r="AR113" s="3"/>
    </row>
    <row r="114" spans="1:44" ht="16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S114" s="3"/>
      <c r="T114" s="3"/>
      <c r="U114" s="3"/>
      <c r="V114" s="3"/>
      <c r="W114" s="3"/>
      <c r="X114" s="3"/>
      <c r="Y114" s="3"/>
      <c r="Z114" s="3"/>
      <c r="AB114" s="3"/>
      <c r="AC114" s="3"/>
      <c r="AD114" s="3"/>
      <c r="AE114" s="3"/>
      <c r="AF114" s="3"/>
      <c r="AG114" s="3"/>
      <c r="AH114" s="3"/>
      <c r="AI114" s="3"/>
      <c r="AK114" s="3"/>
      <c r="AL114" s="3"/>
      <c r="AM114" s="3"/>
      <c r="AN114" s="3"/>
      <c r="AO114" s="3"/>
      <c r="AP114" s="3"/>
      <c r="AQ114" s="3"/>
      <c r="AR114" s="3"/>
    </row>
    <row r="115" spans="1:44" ht="16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S115" s="3"/>
      <c r="T115" s="3"/>
      <c r="U115" s="3"/>
      <c r="V115" s="3"/>
      <c r="W115" s="3"/>
      <c r="X115" s="3"/>
      <c r="Y115" s="3"/>
      <c r="Z115" s="3"/>
      <c r="AB115" s="3"/>
      <c r="AC115" s="3"/>
      <c r="AD115" s="3"/>
      <c r="AE115" s="3"/>
      <c r="AF115" s="3"/>
      <c r="AG115" s="3"/>
      <c r="AH115" s="3"/>
      <c r="AI115" s="3"/>
      <c r="AK115" s="3"/>
      <c r="AL115" s="3"/>
      <c r="AM115" s="3"/>
      <c r="AN115" s="3"/>
      <c r="AO115" s="3"/>
      <c r="AP115" s="3"/>
      <c r="AQ115" s="3"/>
      <c r="AR115" s="3"/>
    </row>
    <row r="116" spans="1:44" ht="16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S116" s="3"/>
      <c r="T116" s="3"/>
      <c r="U116" s="3"/>
      <c r="V116" s="3"/>
      <c r="W116" s="3"/>
      <c r="X116" s="3"/>
      <c r="Y116" s="3"/>
      <c r="Z116" s="3"/>
      <c r="AB116" s="3"/>
      <c r="AC116" s="3"/>
      <c r="AD116" s="3"/>
      <c r="AE116" s="3"/>
      <c r="AF116" s="3"/>
      <c r="AG116" s="3"/>
      <c r="AH116" s="3"/>
      <c r="AI116" s="3"/>
      <c r="AK116" s="3"/>
      <c r="AL116" s="3"/>
      <c r="AM116" s="3"/>
      <c r="AN116" s="3"/>
      <c r="AO116" s="3"/>
      <c r="AP116" s="3"/>
      <c r="AQ116" s="3"/>
      <c r="AR116" s="3"/>
    </row>
    <row r="117" spans="1:44" ht="16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S117" s="3"/>
      <c r="T117" s="3"/>
      <c r="U117" s="3"/>
      <c r="V117" s="3"/>
      <c r="W117" s="3"/>
      <c r="X117" s="3"/>
      <c r="Y117" s="3"/>
      <c r="Z117" s="3"/>
      <c r="AB117" s="3"/>
      <c r="AC117" s="3"/>
      <c r="AD117" s="3"/>
      <c r="AE117" s="3"/>
      <c r="AF117" s="3"/>
      <c r="AG117" s="3"/>
      <c r="AH117" s="3"/>
      <c r="AI117" s="3"/>
      <c r="AK117" s="3"/>
      <c r="AL117" s="3"/>
      <c r="AM117" s="3"/>
      <c r="AN117" s="3"/>
      <c r="AO117" s="3"/>
      <c r="AP117" s="3"/>
      <c r="AQ117" s="3"/>
      <c r="AR117" s="3"/>
    </row>
    <row r="118" spans="1:44" ht="16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S118" s="3"/>
      <c r="T118" s="3"/>
      <c r="U118" s="3"/>
      <c r="V118" s="3"/>
      <c r="W118" s="3"/>
      <c r="X118" s="3"/>
      <c r="Y118" s="3"/>
      <c r="Z118" s="3"/>
      <c r="AB118" s="3"/>
      <c r="AC118" s="3"/>
      <c r="AD118" s="3"/>
      <c r="AE118" s="3"/>
      <c r="AF118" s="3"/>
      <c r="AG118" s="3"/>
      <c r="AH118" s="3"/>
      <c r="AI118" s="3"/>
      <c r="AK118" s="3"/>
      <c r="AL118" s="3"/>
      <c r="AM118" s="3"/>
      <c r="AN118" s="3"/>
      <c r="AO118" s="3"/>
      <c r="AP118" s="3"/>
      <c r="AQ118" s="3"/>
      <c r="AR118" s="3"/>
    </row>
    <row r="119" spans="1:44" ht="16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S119" s="3"/>
      <c r="T119" s="3"/>
      <c r="U119" s="3"/>
      <c r="V119" s="3"/>
      <c r="W119" s="3"/>
      <c r="X119" s="3"/>
      <c r="Y119" s="3"/>
      <c r="Z119" s="3"/>
      <c r="AB119" s="3"/>
      <c r="AC119" s="3"/>
      <c r="AD119" s="3"/>
      <c r="AE119" s="3"/>
      <c r="AF119" s="3"/>
      <c r="AG119" s="3"/>
      <c r="AH119" s="3"/>
      <c r="AI119" s="3"/>
      <c r="AK119" s="3"/>
      <c r="AL119" s="3"/>
      <c r="AM119" s="3"/>
      <c r="AN119" s="3"/>
      <c r="AO119" s="3"/>
      <c r="AP119" s="3"/>
      <c r="AQ119" s="3"/>
      <c r="AR119" s="3"/>
    </row>
    <row r="120" spans="1:44" ht="16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S120" s="3"/>
      <c r="T120" s="3"/>
      <c r="U120" s="3"/>
      <c r="V120" s="3"/>
      <c r="W120" s="3"/>
      <c r="X120" s="3"/>
      <c r="Y120" s="3"/>
      <c r="Z120" s="3"/>
      <c r="AB120" s="3"/>
      <c r="AC120" s="3"/>
      <c r="AD120" s="3"/>
      <c r="AE120" s="3"/>
      <c r="AF120" s="3"/>
      <c r="AG120" s="3"/>
      <c r="AH120" s="3"/>
      <c r="AI120" s="3"/>
      <c r="AK120" s="3"/>
      <c r="AL120" s="3"/>
      <c r="AM120" s="3"/>
      <c r="AN120" s="3"/>
      <c r="AO120" s="3"/>
      <c r="AP120" s="3"/>
      <c r="AQ120" s="3"/>
      <c r="AR120" s="3"/>
    </row>
    <row r="121" spans="1:44" ht="16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S121" s="3"/>
      <c r="T121" s="3"/>
      <c r="U121" s="3"/>
      <c r="V121" s="3"/>
      <c r="W121" s="3"/>
      <c r="X121" s="3"/>
      <c r="Y121" s="3"/>
      <c r="Z121" s="3"/>
      <c r="AB121" s="3"/>
      <c r="AC121" s="3"/>
      <c r="AD121" s="3"/>
      <c r="AE121" s="3"/>
      <c r="AF121" s="3"/>
      <c r="AG121" s="3"/>
      <c r="AH121" s="3"/>
      <c r="AI121" s="3"/>
      <c r="AK121" s="3"/>
      <c r="AL121" s="3"/>
      <c r="AM121" s="3"/>
      <c r="AN121" s="3"/>
      <c r="AO121" s="3"/>
      <c r="AP121" s="3"/>
      <c r="AQ121" s="3"/>
      <c r="AR121" s="3"/>
    </row>
    <row r="122" spans="1:44" ht="16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S122" s="3"/>
      <c r="T122" s="3"/>
      <c r="U122" s="3"/>
      <c r="V122" s="3"/>
      <c r="W122" s="3"/>
      <c r="X122" s="3"/>
      <c r="Y122" s="3"/>
      <c r="Z122" s="3"/>
      <c r="AB122" s="3"/>
      <c r="AC122" s="3"/>
      <c r="AD122" s="3"/>
      <c r="AE122" s="3"/>
      <c r="AF122" s="3"/>
      <c r="AG122" s="3"/>
      <c r="AH122" s="3"/>
      <c r="AI122" s="3"/>
      <c r="AK122" s="3"/>
      <c r="AL122" s="3"/>
      <c r="AM122" s="3"/>
      <c r="AN122" s="3"/>
      <c r="AO122" s="3"/>
      <c r="AP122" s="3"/>
      <c r="AQ122" s="3"/>
      <c r="AR122" s="3"/>
    </row>
    <row r="123" spans="1:44" ht="16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S123" s="3"/>
      <c r="T123" s="3"/>
      <c r="U123" s="3"/>
      <c r="V123" s="3"/>
      <c r="W123" s="3"/>
      <c r="X123" s="3"/>
      <c r="Y123" s="3"/>
      <c r="Z123" s="3"/>
      <c r="AB123" s="3"/>
      <c r="AC123" s="3"/>
      <c r="AD123" s="3"/>
      <c r="AE123" s="3"/>
      <c r="AF123" s="3"/>
      <c r="AG123" s="3"/>
      <c r="AH123" s="3"/>
      <c r="AI123" s="3"/>
      <c r="AK123" s="3"/>
      <c r="AL123" s="3"/>
      <c r="AM123" s="3"/>
      <c r="AN123" s="3"/>
      <c r="AO123" s="3"/>
      <c r="AP123" s="3"/>
      <c r="AQ123" s="3"/>
      <c r="AR123" s="3"/>
    </row>
    <row r="124" spans="1:44" ht="16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S124" s="3"/>
      <c r="T124" s="3"/>
      <c r="U124" s="3"/>
      <c r="V124" s="3"/>
      <c r="W124" s="3"/>
      <c r="X124" s="3"/>
      <c r="Y124" s="3"/>
      <c r="Z124" s="3"/>
      <c r="AB124" s="3"/>
      <c r="AC124" s="3"/>
      <c r="AD124" s="3"/>
      <c r="AE124" s="3"/>
      <c r="AF124" s="3"/>
      <c r="AG124" s="3"/>
      <c r="AH124" s="3"/>
      <c r="AI124" s="3"/>
      <c r="AK124" s="3"/>
      <c r="AL124" s="3"/>
      <c r="AM124" s="3"/>
      <c r="AN124" s="3"/>
      <c r="AO124" s="3"/>
      <c r="AP124" s="3"/>
      <c r="AQ124" s="3"/>
      <c r="AR124" s="3"/>
    </row>
    <row r="125" spans="1:44" ht="16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S125" s="3"/>
      <c r="T125" s="3"/>
      <c r="U125" s="3"/>
      <c r="V125" s="3"/>
      <c r="W125" s="3"/>
      <c r="X125" s="3"/>
      <c r="Y125" s="3"/>
      <c r="Z125" s="3"/>
      <c r="AB125" s="3"/>
      <c r="AC125" s="3"/>
      <c r="AD125" s="3"/>
      <c r="AE125" s="3"/>
      <c r="AF125" s="3"/>
      <c r="AG125" s="3"/>
      <c r="AH125" s="3"/>
      <c r="AI125" s="3"/>
      <c r="AK125" s="3"/>
      <c r="AL125" s="3"/>
      <c r="AM125" s="3"/>
      <c r="AN125" s="3"/>
      <c r="AO125" s="3"/>
      <c r="AP125" s="3"/>
      <c r="AQ125" s="3"/>
      <c r="AR125" s="3"/>
    </row>
    <row r="126" spans="1:44" ht="16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S126" s="3"/>
      <c r="T126" s="3"/>
      <c r="U126" s="3"/>
      <c r="V126" s="3"/>
      <c r="W126" s="3"/>
      <c r="X126" s="3"/>
      <c r="Y126" s="3"/>
      <c r="Z126" s="3"/>
      <c r="AB126" s="3"/>
      <c r="AC126" s="3"/>
      <c r="AD126" s="3"/>
      <c r="AE126" s="3"/>
      <c r="AF126" s="3"/>
      <c r="AG126" s="3"/>
      <c r="AH126" s="3"/>
      <c r="AI126" s="3"/>
      <c r="AK126" s="3"/>
      <c r="AL126" s="3"/>
      <c r="AM126" s="3"/>
      <c r="AN126" s="3"/>
      <c r="AO126" s="3"/>
      <c r="AP126" s="3"/>
      <c r="AQ126" s="3"/>
      <c r="AR126" s="3"/>
    </row>
    <row r="127" spans="1:44" ht="16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S127" s="3"/>
      <c r="T127" s="3"/>
      <c r="U127" s="3"/>
      <c r="V127" s="3"/>
      <c r="W127" s="3"/>
      <c r="X127" s="3"/>
      <c r="Y127" s="3"/>
      <c r="Z127" s="3"/>
      <c r="AB127" s="3"/>
      <c r="AC127" s="3"/>
      <c r="AD127" s="3"/>
      <c r="AE127" s="3"/>
      <c r="AF127" s="3"/>
      <c r="AG127" s="3"/>
      <c r="AH127" s="3"/>
      <c r="AI127" s="3"/>
      <c r="AK127" s="3"/>
      <c r="AL127" s="3"/>
      <c r="AM127" s="3"/>
      <c r="AN127" s="3"/>
      <c r="AO127" s="3"/>
      <c r="AP127" s="3"/>
      <c r="AQ127" s="3"/>
      <c r="AR127" s="3"/>
    </row>
    <row r="128" spans="1:44" ht="16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S128" s="3"/>
      <c r="T128" s="3"/>
      <c r="U128" s="3"/>
      <c r="V128" s="3"/>
      <c r="W128" s="3"/>
      <c r="X128" s="3"/>
      <c r="Y128" s="3"/>
      <c r="Z128" s="3"/>
      <c r="AB128" s="3"/>
      <c r="AC128" s="3"/>
      <c r="AD128" s="3"/>
      <c r="AE128" s="3"/>
      <c r="AF128" s="3"/>
      <c r="AG128" s="3"/>
      <c r="AH128" s="3"/>
      <c r="AI128" s="3"/>
      <c r="AK128" s="3"/>
      <c r="AL128" s="3"/>
      <c r="AM128" s="3"/>
      <c r="AN128" s="3"/>
      <c r="AO128" s="3"/>
      <c r="AP128" s="3"/>
      <c r="AQ128" s="3"/>
      <c r="AR128" s="3"/>
    </row>
    <row r="129" spans="1:44" ht="16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S129" s="3"/>
      <c r="T129" s="3"/>
      <c r="U129" s="3"/>
      <c r="V129" s="3"/>
      <c r="W129" s="3"/>
      <c r="X129" s="3"/>
      <c r="Y129" s="3"/>
      <c r="Z129" s="3"/>
      <c r="AB129" s="3"/>
      <c r="AC129" s="3"/>
      <c r="AD129" s="3"/>
      <c r="AE129" s="3"/>
      <c r="AF129" s="3"/>
      <c r="AG129" s="3"/>
      <c r="AH129" s="3"/>
      <c r="AI129" s="3"/>
      <c r="AK129" s="3"/>
      <c r="AL129" s="3"/>
      <c r="AM129" s="3"/>
      <c r="AN129" s="3"/>
      <c r="AO129" s="3"/>
      <c r="AP129" s="3"/>
      <c r="AQ129" s="3"/>
      <c r="AR129" s="3"/>
    </row>
    <row r="130" spans="1:44" ht="16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S130" s="3"/>
      <c r="T130" s="3"/>
      <c r="U130" s="3"/>
      <c r="V130" s="3"/>
      <c r="W130" s="3"/>
      <c r="X130" s="3"/>
      <c r="Y130" s="3"/>
      <c r="Z130" s="3"/>
      <c r="AB130" s="3"/>
      <c r="AC130" s="3"/>
      <c r="AD130" s="3"/>
      <c r="AE130" s="3"/>
      <c r="AF130" s="3"/>
      <c r="AG130" s="3"/>
      <c r="AH130" s="3"/>
      <c r="AI130" s="3"/>
      <c r="AK130" s="3"/>
      <c r="AL130" s="3"/>
      <c r="AM130" s="3"/>
      <c r="AN130" s="3"/>
      <c r="AO130" s="3"/>
      <c r="AP130" s="3"/>
      <c r="AQ130" s="3"/>
      <c r="AR130" s="3"/>
    </row>
    <row r="131" spans="1:44" ht="16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S131" s="3"/>
      <c r="T131" s="3"/>
      <c r="U131" s="3"/>
      <c r="V131" s="3"/>
      <c r="W131" s="3"/>
      <c r="X131" s="3"/>
      <c r="Y131" s="3"/>
      <c r="Z131" s="3"/>
      <c r="AB131" s="3"/>
      <c r="AC131" s="3"/>
      <c r="AD131" s="3"/>
      <c r="AE131" s="3"/>
      <c r="AF131" s="3"/>
      <c r="AG131" s="3"/>
      <c r="AH131" s="3"/>
      <c r="AI131" s="3"/>
      <c r="AK131" s="3"/>
      <c r="AL131" s="3"/>
      <c r="AM131" s="3"/>
      <c r="AN131" s="3"/>
      <c r="AO131" s="3"/>
      <c r="AP131" s="3"/>
      <c r="AQ131" s="3"/>
      <c r="AR131" s="3"/>
    </row>
    <row r="132" spans="1:44" ht="16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S132" s="3"/>
      <c r="T132" s="3"/>
      <c r="U132" s="3"/>
      <c r="V132" s="3"/>
      <c r="W132" s="3"/>
      <c r="X132" s="3"/>
      <c r="Y132" s="3"/>
      <c r="Z132" s="3"/>
      <c r="AB132" s="3"/>
      <c r="AC132" s="3"/>
      <c r="AD132" s="3"/>
      <c r="AE132" s="3"/>
      <c r="AF132" s="3"/>
      <c r="AG132" s="3"/>
      <c r="AH132" s="3"/>
      <c r="AI132" s="3"/>
      <c r="AK132" s="3"/>
      <c r="AL132" s="3"/>
      <c r="AM132" s="3"/>
      <c r="AN132" s="3"/>
      <c r="AO132" s="3"/>
      <c r="AP132" s="3"/>
      <c r="AQ132" s="3"/>
      <c r="AR132" s="3"/>
    </row>
    <row r="133" spans="1:44" ht="16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S133" s="3"/>
      <c r="T133" s="3"/>
      <c r="U133" s="3"/>
      <c r="V133" s="3"/>
      <c r="W133" s="3"/>
      <c r="X133" s="3"/>
      <c r="Y133" s="3"/>
      <c r="Z133" s="3"/>
      <c r="AB133" s="3"/>
      <c r="AC133" s="3"/>
      <c r="AD133" s="3"/>
      <c r="AE133" s="3"/>
      <c r="AF133" s="3"/>
      <c r="AG133" s="3"/>
      <c r="AH133" s="3"/>
      <c r="AI133" s="3"/>
      <c r="AK133" s="3"/>
      <c r="AL133" s="3"/>
      <c r="AM133" s="3"/>
      <c r="AN133" s="3"/>
      <c r="AO133" s="3"/>
      <c r="AP133" s="3"/>
      <c r="AQ133" s="3"/>
      <c r="AR133" s="3"/>
    </row>
    <row r="134" spans="1:44" ht="16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S134" s="3"/>
      <c r="T134" s="3"/>
      <c r="U134" s="3"/>
      <c r="V134" s="3"/>
      <c r="W134" s="3"/>
      <c r="X134" s="3"/>
      <c r="Y134" s="3"/>
      <c r="Z134" s="3"/>
      <c r="AB134" s="3"/>
      <c r="AC134" s="3"/>
      <c r="AD134" s="3"/>
      <c r="AE134" s="3"/>
      <c r="AF134" s="3"/>
      <c r="AG134" s="3"/>
      <c r="AH134" s="3"/>
      <c r="AI134" s="3"/>
      <c r="AK134" s="3"/>
      <c r="AL134" s="3"/>
      <c r="AM134" s="3"/>
      <c r="AN134" s="3"/>
      <c r="AO134" s="3"/>
      <c r="AP134" s="3"/>
      <c r="AQ134" s="3"/>
      <c r="AR134" s="3"/>
    </row>
    <row r="135" spans="1:44" ht="16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S135" s="3"/>
      <c r="T135" s="3"/>
      <c r="U135" s="3"/>
      <c r="V135" s="3"/>
      <c r="W135" s="3"/>
      <c r="X135" s="3"/>
      <c r="Y135" s="3"/>
      <c r="Z135" s="3"/>
      <c r="AB135" s="3"/>
      <c r="AC135" s="3"/>
      <c r="AD135" s="3"/>
      <c r="AE135" s="3"/>
      <c r="AF135" s="3"/>
      <c r="AG135" s="3"/>
      <c r="AH135" s="3"/>
      <c r="AI135" s="3"/>
      <c r="AK135" s="3"/>
      <c r="AL135" s="3"/>
      <c r="AM135" s="3"/>
      <c r="AN135" s="3"/>
      <c r="AO135" s="3"/>
      <c r="AP135" s="3"/>
      <c r="AQ135" s="3"/>
      <c r="AR135" s="3"/>
    </row>
    <row r="136" spans="1:44" ht="16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S136" s="3"/>
      <c r="T136" s="3"/>
      <c r="U136" s="3"/>
      <c r="V136" s="3"/>
      <c r="W136" s="3"/>
      <c r="X136" s="3"/>
      <c r="Y136" s="3"/>
      <c r="Z136" s="3"/>
      <c r="AB136" s="3"/>
      <c r="AC136" s="3"/>
      <c r="AD136" s="3"/>
      <c r="AE136" s="3"/>
      <c r="AF136" s="3"/>
      <c r="AG136" s="3"/>
      <c r="AH136" s="3"/>
      <c r="AI136" s="3"/>
      <c r="AK136" s="3"/>
      <c r="AL136" s="3"/>
      <c r="AM136" s="3"/>
      <c r="AN136" s="3"/>
      <c r="AO136" s="3"/>
      <c r="AP136" s="3"/>
      <c r="AQ136" s="3"/>
      <c r="AR136" s="3"/>
    </row>
    <row r="137" spans="1:44" ht="16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S137" s="3"/>
      <c r="T137" s="3"/>
      <c r="U137" s="3"/>
      <c r="V137" s="3"/>
      <c r="W137" s="3"/>
      <c r="X137" s="3"/>
      <c r="Y137" s="3"/>
      <c r="Z137" s="3"/>
      <c r="AB137" s="3"/>
      <c r="AC137" s="3"/>
      <c r="AD137" s="3"/>
      <c r="AE137" s="3"/>
      <c r="AF137" s="3"/>
      <c r="AG137" s="3"/>
      <c r="AH137" s="3"/>
      <c r="AI137" s="3"/>
      <c r="AK137" s="3"/>
      <c r="AL137" s="3"/>
      <c r="AM137" s="3"/>
      <c r="AN137" s="3"/>
      <c r="AO137" s="3"/>
      <c r="AP137" s="3"/>
      <c r="AQ137" s="3"/>
      <c r="AR137" s="3"/>
    </row>
    <row r="138" spans="1:44" ht="16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S138" s="3"/>
      <c r="T138" s="3"/>
      <c r="U138" s="3"/>
      <c r="V138" s="3"/>
      <c r="W138" s="3"/>
      <c r="X138" s="3"/>
      <c r="Y138" s="3"/>
      <c r="Z138" s="3"/>
      <c r="AB138" s="3"/>
      <c r="AC138" s="3"/>
      <c r="AD138" s="3"/>
      <c r="AE138" s="3"/>
      <c r="AF138" s="3"/>
      <c r="AG138" s="3"/>
      <c r="AH138" s="3"/>
      <c r="AI138" s="3"/>
      <c r="AK138" s="3"/>
      <c r="AL138" s="3"/>
      <c r="AM138" s="3"/>
      <c r="AN138" s="3"/>
      <c r="AO138" s="3"/>
      <c r="AP138" s="3"/>
      <c r="AQ138" s="3"/>
      <c r="AR138" s="3"/>
    </row>
    <row r="139" spans="1:44" ht="16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S139" s="3"/>
      <c r="T139" s="3"/>
      <c r="U139" s="3"/>
      <c r="V139" s="3"/>
      <c r="W139" s="3"/>
      <c r="X139" s="3"/>
      <c r="Y139" s="3"/>
      <c r="Z139" s="3"/>
      <c r="AB139" s="3"/>
      <c r="AC139" s="3"/>
      <c r="AD139" s="3"/>
      <c r="AE139" s="3"/>
      <c r="AF139" s="3"/>
      <c r="AG139" s="3"/>
      <c r="AH139" s="3"/>
      <c r="AI139" s="3"/>
      <c r="AK139" s="3"/>
      <c r="AL139" s="3"/>
      <c r="AM139" s="3"/>
      <c r="AN139" s="3"/>
      <c r="AO139" s="3"/>
      <c r="AP139" s="3"/>
      <c r="AQ139" s="3"/>
      <c r="AR139" s="3"/>
    </row>
    <row r="140" spans="1:44" ht="16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S140" s="3"/>
      <c r="T140" s="3"/>
      <c r="U140" s="3"/>
      <c r="V140" s="3"/>
      <c r="W140" s="3"/>
      <c r="X140" s="3"/>
      <c r="Y140" s="3"/>
      <c r="Z140" s="3"/>
      <c r="AB140" s="3"/>
      <c r="AC140" s="3"/>
      <c r="AD140" s="3"/>
      <c r="AE140" s="3"/>
      <c r="AF140" s="3"/>
      <c r="AG140" s="3"/>
      <c r="AH140" s="3"/>
      <c r="AI140" s="3"/>
      <c r="AK140" s="3"/>
      <c r="AL140" s="3"/>
      <c r="AM140" s="3"/>
      <c r="AN140" s="3"/>
      <c r="AO140" s="3"/>
      <c r="AP140" s="3"/>
      <c r="AQ140" s="3"/>
      <c r="AR140" s="3"/>
    </row>
    <row r="141" spans="1:44" ht="16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S141" s="3"/>
      <c r="T141" s="3"/>
      <c r="U141" s="3"/>
      <c r="V141" s="3"/>
      <c r="W141" s="3"/>
      <c r="X141" s="3"/>
      <c r="Y141" s="3"/>
      <c r="Z141" s="3"/>
      <c r="AB141" s="3"/>
      <c r="AC141" s="3"/>
      <c r="AD141" s="3"/>
      <c r="AE141" s="3"/>
      <c r="AF141" s="3"/>
      <c r="AG141" s="3"/>
      <c r="AH141" s="3"/>
      <c r="AI141" s="3"/>
      <c r="AK141" s="3"/>
      <c r="AL141" s="3"/>
      <c r="AM141" s="3"/>
      <c r="AN141" s="3"/>
      <c r="AO141" s="3"/>
      <c r="AP141" s="3"/>
      <c r="AQ141" s="3"/>
      <c r="AR141" s="3"/>
    </row>
    <row r="142" spans="1:44" ht="16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S142" s="3"/>
      <c r="T142" s="3"/>
      <c r="U142" s="3"/>
      <c r="V142" s="3"/>
      <c r="W142" s="3"/>
      <c r="X142" s="3"/>
      <c r="Y142" s="3"/>
      <c r="Z142" s="3"/>
      <c r="AB142" s="3"/>
      <c r="AC142" s="3"/>
      <c r="AD142" s="3"/>
      <c r="AE142" s="3"/>
      <c r="AF142" s="3"/>
      <c r="AG142" s="3"/>
      <c r="AH142" s="3"/>
      <c r="AI142" s="3"/>
      <c r="AK142" s="3"/>
      <c r="AL142" s="3"/>
      <c r="AM142" s="3"/>
      <c r="AN142" s="3"/>
      <c r="AO142" s="3"/>
      <c r="AP142" s="3"/>
      <c r="AQ142" s="3"/>
      <c r="AR142" s="3"/>
    </row>
    <row r="143" spans="1:44" ht="16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S143" s="3"/>
      <c r="T143" s="3"/>
      <c r="U143" s="3"/>
      <c r="V143" s="3"/>
      <c r="W143" s="3"/>
      <c r="X143" s="3"/>
      <c r="Y143" s="3"/>
      <c r="Z143" s="3"/>
      <c r="AB143" s="3"/>
      <c r="AC143" s="3"/>
      <c r="AD143" s="3"/>
      <c r="AE143" s="3"/>
      <c r="AF143" s="3"/>
      <c r="AG143" s="3"/>
      <c r="AH143" s="3"/>
      <c r="AI143" s="3"/>
      <c r="AK143" s="3"/>
      <c r="AL143" s="3"/>
      <c r="AM143" s="3"/>
      <c r="AN143" s="3"/>
      <c r="AO143" s="3"/>
      <c r="AP143" s="3"/>
      <c r="AQ143" s="3"/>
      <c r="AR143" s="3"/>
    </row>
    <row r="144" spans="1:44" ht="16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S144" s="3"/>
      <c r="T144" s="3"/>
      <c r="U144" s="3"/>
      <c r="V144" s="3"/>
      <c r="W144" s="3"/>
      <c r="X144" s="3"/>
      <c r="Y144" s="3"/>
      <c r="Z144" s="3"/>
      <c r="AB144" s="3"/>
      <c r="AC144" s="3"/>
      <c r="AD144" s="3"/>
      <c r="AE144" s="3"/>
      <c r="AF144" s="3"/>
      <c r="AG144" s="3"/>
      <c r="AH144" s="3"/>
      <c r="AI144" s="3"/>
      <c r="AK144" s="3"/>
      <c r="AL144" s="3"/>
      <c r="AM144" s="3"/>
      <c r="AN144" s="3"/>
      <c r="AO144" s="3"/>
      <c r="AP144" s="3"/>
      <c r="AQ144" s="3"/>
      <c r="AR144" s="3"/>
    </row>
    <row r="145" spans="1:44" ht="16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S145" s="3"/>
      <c r="T145" s="3"/>
      <c r="U145" s="3"/>
      <c r="V145" s="3"/>
      <c r="W145" s="3"/>
      <c r="X145" s="3"/>
      <c r="Y145" s="3"/>
      <c r="Z145" s="3"/>
      <c r="AB145" s="3"/>
      <c r="AC145" s="3"/>
      <c r="AD145" s="3"/>
      <c r="AE145" s="3"/>
      <c r="AF145" s="3"/>
      <c r="AG145" s="3"/>
      <c r="AH145" s="3"/>
      <c r="AI145" s="3"/>
      <c r="AK145" s="3"/>
      <c r="AL145" s="3"/>
      <c r="AM145" s="3"/>
      <c r="AN145" s="3"/>
      <c r="AO145" s="3"/>
      <c r="AP145" s="3"/>
      <c r="AQ145" s="3"/>
      <c r="AR145" s="3"/>
    </row>
    <row r="146" spans="1:44" ht="16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S146" s="3"/>
      <c r="T146" s="3"/>
      <c r="U146" s="3"/>
      <c r="V146" s="3"/>
      <c r="W146" s="3"/>
      <c r="X146" s="3"/>
      <c r="Y146" s="3"/>
      <c r="Z146" s="3"/>
      <c r="AB146" s="3"/>
      <c r="AC146" s="3"/>
      <c r="AD146" s="3"/>
      <c r="AE146" s="3"/>
      <c r="AF146" s="3"/>
      <c r="AG146" s="3"/>
      <c r="AH146" s="3"/>
      <c r="AI146" s="3"/>
      <c r="AK146" s="3"/>
      <c r="AL146" s="3"/>
      <c r="AM146" s="3"/>
      <c r="AN146" s="3"/>
      <c r="AO146" s="3"/>
      <c r="AP146" s="3"/>
      <c r="AQ146" s="3"/>
      <c r="AR146" s="3"/>
    </row>
    <row r="147" spans="1:44" ht="16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S147" s="3"/>
      <c r="T147" s="3"/>
      <c r="U147" s="3"/>
      <c r="V147" s="3"/>
      <c r="W147" s="3"/>
      <c r="X147" s="3"/>
      <c r="Y147" s="3"/>
      <c r="Z147" s="3"/>
      <c r="AB147" s="3"/>
      <c r="AC147" s="3"/>
      <c r="AD147" s="3"/>
      <c r="AE147" s="3"/>
      <c r="AF147" s="3"/>
      <c r="AG147" s="3"/>
      <c r="AH147" s="3"/>
      <c r="AI147" s="3"/>
      <c r="AK147" s="3"/>
      <c r="AL147" s="3"/>
      <c r="AM147" s="3"/>
      <c r="AN147" s="3"/>
      <c r="AO147" s="3"/>
      <c r="AP147" s="3"/>
      <c r="AQ147" s="3"/>
      <c r="AR147" s="3"/>
    </row>
    <row r="148" spans="1:44" ht="16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S148" s="3"/>
      <c r="T148" s="3"/>
      <c r="U148" s="3"/>
      <c r="V148" s="3"/>
      <c r="W148" s="3"/>
      <c r="X148" s="3"/>
      <c r="Y148" s="3"/>
      <c r="Z148" s="3"/>
      <c r="AB148" s="3"/>
      <c r="AC148" s="3"/>
      <c r="AD148" s="3"/>
      <c r="AE148" s="3"/>
      <c r="AF148" s="3"/>
      <c r="AG148" s="3"/>
      <c r="AH148" s="3"/>
      <c r="AI148" s="3"/>
      <c r="AK148" s="3"/>
      <c r="AL148" s="3"/>
      <c r="AM148" s="3"/>
      <c r="AN148" s="3"/>
      <c r="AO148" s="3"/>
      <c r="AP148" s="3"/>
      <c r="AQ148" s="3"/>
      <c r="AR148" s="3"/>
    </row>
    <row r="149" spans="1:44" ht="16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S149" s="3"/>
      <c r="T149" s="3"/>
      <c r="U149" s="3"/>
      <c r="V149" s="3"/>
      <c r="W149" s="3"/>
      <c r="X149" s="3"/>
      <c r="Y149" s="3"/>
      <c r="Z149" s="3"/>
      <c r="AB149" s="3"/>
      <c r="AC149" s="3"/>
      <c r="AD149" s="3"/>
      <c r="AE149" s="3"/>
      <c r="AF149" s="3"/>
      <c r="AG149" s="3"/>
      <c r="AH149" s="3"/>
      <c r="AI149" s="3"/>
      <c r="AK149" s="3"/>
      <c r="AL149" s="3"/>
      <c r="AM149" s="3"/>
      <c r="AN149" s="3"/>
      <c r="AO149" s="3"/>
      <c r="AP149" s="3"/>
      <c r="AQ149" s="3"/>
      <c r="AR149" s="3"/>
    </row>
    <row r="150" spans="1:44" ht="16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S150" s="3"/>
      <c r="T150" s="3"/>
      <c r="U150" s="3"/>
      <c r="V150" s="3"/>
      <c r="W150" s="3"/>
      <c r="X150" s="3"/>
      <c r="Y150" s="3"/>
      <c r="Z150" s="3"/>
      <c r="AB150" s="3"/>
      <c r="AC150" s="3"/>
      <c r="AD150" s="3"/>
      <c r="AE150" s="3"/>
      <c r="AF150" s="3"/>
      <c r="AG150" s="3"/>
      <c r="AH150" s="3"/>
      <c r="AI150" s="3"/>
      <c r="AK150" s="3"/>
      <c r="AL150" s="3"/>
      <c r="AM150" s="3"/>
      <c r="AN150" s="3"/>
      <c r="AO150" s="3"/>
      <c r="AP150" s="3"/>
      <c r="AQ150" s="3"/>
      <c r="AR150" s="3"/>
    </row>
    <row r="151" spans="1:44" ht="16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S151" s="3"/>
      <c r="T151" s="3"/>
      <c r="U151" s="3"/>
      <c r="V151" s="3"/>
      <c r="W151" s="3"/>
      <c r="X151" s="3"/>
      <c r="Y151" s="3"/>
      <c r="Z151" s="3"/>
      <c r="AB151" s="3"/>
      <c r="AC151" s="3"/>
      <c r="AD151" s="3"/>
      <c r="AE151" s="3"/>
      <c r="AF151" s="3"/>
      <c r="AG151" s="3"/>
      <c r="AH151" s="3"/>
      <c r="AI151" s="3"/>
      <c r="AK151" s="3"/>
      <c r="AL151" s="3"/>
      <c r="AM151" s="3"/>
      <c r="AN151" s="3"/>
      <c r="AO151" s="3"/>
      <c r="AP151" s="3"/>
      <c r="AQ151" s="3"/>
      <c r="AR151" s="3"/>
    </row>
    <row r="152" spans="1:44" ht="16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S152" s="3"/>
      <c r="T152" s="3"/>
      <c r="U152" s="3"/>
      <c r="V152" s="3"/>
      <c r="W152" s="3"/>
      <c r="X152" s="3"/>
      <c r="Y152" s="3"/>
      <c r="Z152" s="3"/>
      <c r="AB152" s="3"/>
      <c r="AC152" s="3"/>
      <c r="AD152" s="3"/>
      <c r="AE152" s="3"/>
      <c r="AF152" s="3"/>
      <c r="AG152" s="3"/>
      <c r="AH152" s="3"/>
      <c r="AI152" s="3"/>
      <c r="AK152" s="3"/>
      <c r="AL152" s="3"/>
      <c r="AM152" s="3"/>
      <c r="AN152" s="3"/>
      <c r="AO152" s="3"/>
      <c r="AP152" s="3"/>
      <c r="AQ152" s="3"/>
      <c r="AR152" s="3"/>
    </row>
    <row r="153" spans="1:44" ht="16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S153" s="3"/>
      <c r="T153" s="3"/>
      <c r="U153" s="3"/>
      <c r="V153" s="3"/>
      <c r="W153" s="3"/>
      <c r="X153" s="3"/>
      <c r="Y153" s="3"/>
      <c r="Z153" s="3"/>
      <c r="AB153" s="3"/>
      <c r="AC153" s="3"/>
      <c r="AD153" s="3"/>
      <c r="AE153" s="3"/>
      <c r="AF153" s="3"/>
      <c r="AG153" s="3"/>
      <c r="AH153" s="3"/>
      <c r="AI153" s="3"/>
      <c r="AK153" s="3"/>
      <c r="AL153" s="3"/>
      <c r="AM153" s="3"/>
      <c r="AN153" s="3"/>
      <c r="AO153" s="3"/>
      <c r="AP153" s="3"/>
      <c r="AQ153" s="3"/>
      <c r="AR153" s="3"/>
    </row>
    <row r="154" spans="1:44" ht="16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S154" s="3"/>
      <c r="T154" s="3"/>
      <c r="U154" s="3"/>
      <c r="V154" s="3"/>
      <c r="W154" s="3"/>
      <c r="X154" s="3"/>
      <c r="Y154" s="3"/>
      <c r="Z154" s="3"/>
      <c r="AB154" s="3"/>
      <c r="AC154" s="3"/>
      <c r="AD154" s="3"/>
      <c r="AE154" s="3"/>
      <c r="AF154" s="3"/>
      <c r="AG154" s="3"/>
      <c r="AH154" s="3"/>
      <c r="AI154" s="3"/>
      <c r="AK154" s="3"/>
      <c r="AL154" s="3"/>
      <c r="AM154" s="3"/>
      <c r="AN154" s="3"/>
      <c r="AO154" s="3"/>
      <c r="AP154" s="3"/>
      <c r="AQ154" s="3"/>
      <c r="AR154" s="3"/>
    </row>
    <row r="155" spans="1:44" ht="16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S155" s="3"/>
      <c r="T155" s="3"/>
      <c r="U155" s="3"/>
      <c r="V155" s="3"/>
      <c r="W155" s="3"/>
      <c r="X155" s="3"/>
      <c r="Y155" s="3"/>
      <c r="Z155" s="3"/>
      <c r="AB155" s="3"/>
      <c r="AC155" s="3"/>
      <c r="AD155" s="3"/>
      <c r="AE155" s="3"/>
      <c r="AF155" s="3"/>
      <c r="AG155" s="3"/>
      <c r="AH155" s="3"/>
      <c r="AI155" s="3"/>
      <c r="AK155" s="3"/>
      <c r="AL155" s="3"/>
      <c r="AM155" s="3"/>
      <c r="AN155" s="3"/>
      <c r="AO155" s="3"/>
      <c r="AP155" s="3"/>
      <c r="AQ155" s="3"/>
      <c r="AR155" s="3"/>
    </row>
    <row r="156" spans="1:44" ht="16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S156" s="3"/>
      <c r="T156" s="3"/>
      <c r="U156" s="3"/>
      <c r="V156" s="3"/>
      <c r="W156" s="3"/>
      <c r="X156" s="3"/>
      <c r="Y156" s="3"/>
      <c r="Z156" s="3"/>
      <c r="AB156" s="3"/>
      <c r="AC156" s="3"/>
      <c r="AD156" s="3"/>
      <c r="AE156" s="3"/>
      <c r="AF156" s="3"/>
      <c r="AG156" s="3"/>
      <c r="AH156" s="3"/>
      <c r="AI156" s="3"/>
      <c r="AK156" s="3"/>
      <c r="AL156" s="3"/>
      <c r="AM156" s="3"/>
      <c r="AN156" s="3"/>
      <c r="AO156" s="3"/>
      <c r="AP156" s="3"/>
      <c r="AQ156" s="3"/>
      <c r="AR156" s="3"/>
    </row>
    <row r="157" spans="1:44" ht="16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S157" s="3"/>
      <c r="T157" s="3"/>
      <c r="U157" s="3"/>
      <c r="V157" s="3"/>
      <c r="W157" s="3"/>
      <c r="X157" s="3"/>
      <c r="Y157" s="3"/>
      <c r="Z157" s="3"/>
      <c r="AB157" s="3"/>
      <c r="AC157" s="3"/>
      <c r="AD157" s="3"/>
      <c r="AE157" s="3"/>
      <c r="AF157" s="3"/>
      <c r="AG157" s="3"/>
      <c r="AH157" s="3"/>
      <c r="AI157" s="3"/>
      <c r="AK157" s="3"/>
      <c r="AL157" s="3"/>
      <c r="AM157" s="3"/>
      <c r="AN157" s="3"/>
      <c r="AO157" s="3"/>
      <c r="AP157" s="3"/>
      <c r="AQ157" s="3"/>
      <c r="AR157" s="3"/>
    </row>
    <row r="158" spans="1:44" ht="16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S158" s="3"/>
      <c r="T158" s="3"/>
      <c r="U158" s="3"/>
      <c r="V158" s="3"/>
      <c r="W158" s="3"/>
      <c r="X158" s="3"/>
      <c r="Y158" s="3"/>
      <c r="Z158" s="3"/>
      <c r="AB158" s="3"/>
      <c r="AC158" s="3"/>
      <c r="AD158" s="3"/>
      <c r="AE158" s="3"/>
      <c r="AF158" s="3"/>
      <c r="AG158" s="3"/>
      <c r="AH158" s="3"/>
      <c r="AI158" s="3"/>
      <c r="AK158" s="3"/>
      <c r="AL158" s="3"/>
      <c r="AM158" s="3"/>
      <c r="AN158" s="3"/>
      <c r="AO158" s="3"/>
      <c r="AP158" s="3"/>
      <c r="AQ158" s="3"/>
      <c r="AR158" s="3"/>
    </row>
    <row r="159" spans="1:44" ht="16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S159" s="3"/>
      <c r="T159" s="3"/>
      <c r="U159" s="3"/>
      <c r="V159" s="3"/>
      <c r="W159" s="3"/>
      <c r="X159" s="3"/>
      <c r="Y159" s="3"/>
      <c r="Z159" s="3"/>
      <c r="AB159" s="3"/>
      <c r="AC159" s="3"/>
      <c r="AD159" s="3"/>
      <c r="AE159" s="3"/>
      <c r="AF159" s="3"/>
      <c r="AG159" s="3"/>
      <c r="AH159" s="3"/>
      <c r="AI159" s="3"/>
      <c r="AK159" s="3"/>
      <c r="AL159" s="3"/>
      <c r="AM159" s="3"/>
      <c r="AN159" s="3"/>
      <c r="AO159" s="3"/>
      <c r="AP159" s="3"/>
      <c r="AQ159" s="3"/>
      <c r="AR159" s="3"/>
    </row>
    <row r="160" spans="1:44" ht="16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S160" s="3"/>
      <c r="T160" s="3"/>
      <c r="U160" s="3"/>
      <c r="V160" s="3"/>
      <c r="W160" s="3"/>
      <c r="X160" s="3"/>
      <c r="Y160" s="3"/>
      <c r="Z160" s="3"/>
      <c r="AB160" s="3"/>
      <c r="AC160" s="3"/>
      <c r="AD160" s="3"/>
      <c r="AE160" s="3"/>
      <c r="AF160" s="3"/>
      <c r="AG160" s="3"/>
      <c r="AH160" s="3"/>
      <c r="AI160" s="3"/>
      <c r="AK160" s="3"/>
      <c r="AL160" s="3"/>
      <c r="AM160" s="3"/>
      <c r="AN160" s="3"/>
      <c r="AO160" s="3"/>
      <c r="AP160" s="3"/>
      <c r="AQ160" s="3"/>
      <c r="AR160" s="3"/>
    </row>
    <row r="161" spans="1:44" ht="16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S161" s="3"/>
      <c r="T161" s="3"/>
      <c r="U161" s="3"/>
      <c r="V161" s="3"/>
      <c r="W161" s="3"/>
      <c r="X161" s="3"/>
      <c r="Y161" s="3"/>
      <c r="Z161" s="3"/>
      <c r="AB161" s="3"/>
      <c r="AC161" s="3"/>
      <c r="AD161" s="3"/>
      <c r="AE161" s="3"/>
      <c r="AF161" s="3"/>
      <c r="AG161" s="3"/>
      <c r="AH161" s="3"/>
      <c r="AI161" s="3"/>
      <c r="AK161" s="3"/>
      <c r="AL161" s="3"/>
      <c r="AM161" s="3"/>
      <c r="AN161" s="3"/>
      <c r="AO161" s="3"/>
      <c r="AP161" s="3"/>
      <c r="AQ161" s="3"/>
      <c r="AR161" s="3"/>
    </row>
    <row r="162" spans="1:44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S162" s="3"/>
      <c r="T162" s="3"/>
      <c r="U162" s="3"/>
      <c r="V162" s="3"/>
      <c r="W162" s="3"/>
      <c r="X162" s="3"/>
      <c r="Y162" s="3"/>
      <c r="Z162" s="3"/>
      <c r="AB162" s="3"/>
      <c r="AC162" s="3"/>
      <c r="AD162" s="3"/>
      <c r="AE162" s="3"/>
      <c r="AF162" s="3"/>
      <c r="AG162" s="3"/>
      <c r="AH162" s="3"/>
      <c r="AI162" s="3"/>
      <c r="AK162" s="3"/>
      <c r="AL162" s="3"/>
      <c r="AM162" s="3"/>
      <c r="AN162" s="3"/>
      <c r="AO162" s="3"/>
      <c r="AP162" s="3"/>
      <c r="AQ162" s="3"/>
      <c r="AR162" s="3"/>
    </row>
    <row r="163" spans="1:44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S163" s="3"/>
      <c r="T163" s="3"/>
      <c r="U163" s="3"/>
      <c r="V163" s="3"/>
      <c r="W163" s="3"/>
      <c r="X163" s="3"/>
      <c r="Y163" s="3"/>
      <c r="Z163" s="3"/>
      <c r="AB163" s="3"/>
      <c r="AC163" s="3"/>
      <c r="AD163" s="3"/>
      <c r="AE163" s="3"/>
      <c r="AF163" s="3"/>
      <c r="AG163" s="3"/>
      <c r="AH163" s="3"/>
      <c r="AI163" s="3"/>
      <c r="AK163" s="3"/>
      <c r="AL163" s="3"/>
      <c r="AM163" s="3"/>
      <c r="AN163" s="3"/>
      <c r="AO163" s="3"/>
      <c r="AP163" s="3"/>
      <c r="AQ163" s="3"/>
      <c r="AR163" s="3"/>
    </row>
    <row r="164" spans="1:44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S164" s="3"/>
      <c r="T164" s="3"/>
      <c r="U164" s="3"/>
      <c r="V164" s="3"/>
      <c r="W164" s="3"/>
      <c r="X164" s="3"/>
      <c r="Y164" s="3"/>
      <c r="Z164" s="3"/>
      <c r="AB164" s="3"/>
      <c r="AC164" s="3"/>
      <c r="AD164" s="3"/>
      <c r="AE164" s="3"/>
      <c r="AF164" s="3"/>
      <c r="AG164" s="3"/>
      <c r="AH164" s="3"/>
      <c r="AI164" s="3"/>
      <c r="AK164" s="3"/>
      <c r="AL164" s="3"/>
      <c r="AM164" s="3"/>
      <c r="AN164" s="3"/>
      <c r="AO164" s="3"/>
      <c r="AP164" s="3"/>
      <c r="AQ164" s="3"/>
      <c r="AR164" s="3"/>
    </row>
    <row r="165" spans="1:44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S165" s="3"/>
      <c r="T165" s="3"/>
      <c r="U165" s="3"/>
      <c r="V165" s="3"/>
      <c r="W165" s="3"/>
      <c r="X165" s="3"/>
      <c r="Y165" s="3"/>
      <c r="Z165" s="3"/>
      <c r="AB165" s="3"/>
      <c r="AC165" s="3"/>
      <c r="AD165" s="3"/>
      <c r="AE165" s="3"/>
      <c r="AF165" s="3"/>
      <c r="AG165" s="3"/>
      <c r="AH165" s="3"/>
      <c r="AI165" s="3"/>
      <c r="AK165" s="3"/>
      <c r="AL165" s="3"/>
      <c r="AM165" s="3"/>
      <c r="AN165" s="3"/>
      <c r="AO165" s="3"/>
      <c r="AP165" s="3"/>
      <c r="AQ165" s="3"/>
      <c r="AR165" s="3"/>
    </row>
    <row r="166" spans="1:44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S166" s="3"/>
      <c r="T166" s="3"/>
      <c r="U166" s="3"/>
      <c r="V166" s="3"/>
      <c r="W166" s="3"/>
      <c r="X166" s="3"/>
      <c r="Y166" s="3"/>
      <c r="Z166" s="3"/>
      <c r="AB166" s="3"/>
      <c r="AC166" s="3"/>
      <c r="AD166" s="3"/>
      <c r="AE166" s="3"/>
      <c r="AF166" s="3"/>
      <c r="AG166" s="3"/>
      <c r="AH166" s="3"/>
      <c r="AI166" s="3"/>
      <c r="AK166" s="3"/>
      <c r="AL166" s="3"/>
      <c r="AM166" s="3"/>
      <c r="AN166" s="3"/>
      <c r="AO166" s="3"/>
      <c r="AP166" s="3"/>
      <c r="AQ166" s="3"/>
      <c r="AR166" s="3"/>
    </row>
    <row r="167" spans="1:44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S167" s="3"/>
      <c r="T167" s="3"/>
      <c r="U167" s="3"/>
      <c r="V167" s="3"/>
      <c r="W167" s="3"/>
      <c r="X167" s="3"/>
      <c r="Y167" s="3"/>
      <c r="Z167" s="3"/>
      <c r="AB167" s="3"/>
      <c r="AC167" s="3"/>
      <c r="AD167" s="3"/>
      <c r="AE167" s="3"/>
      <c r="AF167" s="3"/>
      <c r="AG167" s="3"/>
      <c r="AH167" s="3"/>
      <c r="AI167" s="3"/>
      <c r="AK167" s="3"/>
      <c r="AL167" s="3"/>
      <c r="AM167" s="3"/>
      <c r="AN167" s="3"/>
      <c r="AO167" s="3"/>
      <c r="AP167" s="3"/>
      <c r="AQ167" s="3"/>
      <c r="AR167" s="3"/>
    </row>
    <row r="168" spans="1:44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S168" s="3"/>
      <c r="T168" s="3"/>
      <c r="U168" s="3"/>
      <c r="V168" s="3"/>
      <c r="W168" s="3"/>
      <c r="X168" s="3"/>
      <c r="Y168" s="3"/>
      <c r="Z168" s="3"/>
      <c r="AB168" s="3"/>
      <c r="AC168" s="3"/>
      <c r="AD168" s="3"/>
      <c r="AE168" s="3"/>
      <c r="AF168" s="3"/>
      <c r="AG168" s="3"/>
      <c r="AH168" s="3"/>
      <c r="AI168" s="3"/>
      <c r="AK168" s="3"/>
      <c r="AL168" s="3"/>
      <c r="AM168" s="3"/>
      <c r="AN168" s="3"/>
      <c r="AO168" s="3"/>
      <c r="AP168" s="3"/>
      <c r="AQ168" s="3"/>
      <c r="AR168" s="3"/>
    </row>
    <row r="169" spans="1:44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S169" s="3"/>
      <c r="T169" s="3"/>
      <c r="U169" s="3"/>
      <c r="V169" s="3"/>
      <c r="W169" s="3"/>
      <c r="X169" s="3"/>
      <c r="Y169" s="3"/>
      <c r="Z169" s="3"/>
      <c r="AB169" s="3"/>
      <c r="AC169" s="3"/>
      <c r="AD169" s="3"/>
      <c r="AE169" s="3"/>
      <c r="AF169" s="3"/>
      <c r="AG169" s="3"/>
      <c r="AH169" s="3"/>
      <c r="AI169" s="3"/>
      <c r="AK169" s="3"/>
      <c r="AL169" s="3"/>
      <c r="AM169" s="3"/>
      <c r="AN169" s="3"/>
      <c r="AO169" s="3"/>
      <c r="AP169" s="3"/>
      <c r="AQ169" s="3"/>
      <c r="AR169" s="3"/>
    </row>
    <row r="170" spans="1:44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S170" s="3"/>
      <c r="T170" s="3"/>
      <c r="U170" s="3"/>
      <c r="V170" s="3"/>
      <c r="W170" s="3"/>
      <c r="X170" s="3"/>
      <c r="Y170" s="3"/>
      <c r="Z170" s="3"/>
      <c r="AB170" s="3"/>
      <c r="AC170" s="3"/>
      <c r="AD170" s="3"/>
      <c r="AE170" s="3"/>
      <c r="AF170" s="3"/>
      <c r="AG170" s="3"/>
      <c r="AH170" s="3"/>
      <c r="AI170" s="3"/>
      <c r="AK170" s="3"/>
      <c r="AL170" s="3"/>
      <c r="AM170" s="3"/>
      <c r="AN170" s="3"/>
      <c r="AO170" s="3"/>
      <c r="AP170" s="3"/>
      <c r="AQ170" s="3"/>
      <c r="AR170" s="3"/>
    </row>
    <row r="171" spans="1:44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S171" s="3"/>
      <c r="T171" s="3"/>
      <c r="U171" s="3"/>
      <c r="V171" s="3"/>
      <c r="W171" s="3"/>
      <c r="X171" s="3"/>
      <c r="Y171" s="3"/>
      <c r="Z171" s="3"/>
      <c r="AB171" s="3"/>
      <c r="AC171" s="3"/>
      <c r="AD171" s="3"/>
      <c r="AE171" s="3"/>
      <c r="AF171" s="3"/>
      <c r="AG171" s="3"/>
      <c r="AH171" s="3"/>
      <c r="AI171" s="3"/>
      <c r="AK171" s="3"/>
      <c r="AL171" s="3"/>
      <c r="AM171" s="3"/>
      <c r="AN171" s="3"/>
      <c r="AO171" s="3"/>
      <c r="AP171" s="3"/>
      <c r="AQ171" s="3"/>
      <c r="AR171" s="3"/>
    </row>
    <row r="172" spans="1:44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S172" s="3"/>
      <c r="T172" s="3"/>
      <c r="U172" s="3"/>
      <c r="V172" s="3"/>
      <c r="W172" s="3"/>
      <c r="X172" s="3"/>
      <c r="Y172" s="3"/>
      <c r="Z172" s="3"/>
      <c r="AB172" s="3"/>
      <c r="AC172" s="3"/>
      <c r="AD172" s="3"/>
      <c r="AE172" s="3"/>
      <c r="AF172" s="3"/>
      <c r="AG172" s="3"/>
      <c r="AH172" s="3"/>
      <c r="AI172" s="3"/>
      <c r="AK172" s="3"/>
      <c r="AL172" s="3"/>
      <c r="AM172" s="3"/>
      <c r="AN172" s="3"/>
      <c r="AO172" s="3"/>
      <c r="AP172" s="3"/>
      <c r="AQ172" s="3"/>
      <c r="AR172" s="3"/>
    </row>
    <row r="173" spans="1:44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S173" s="3"/>
      <c r="T173" s="3"/>
      <c r="U173" s="3"/>
      <c r="V173" s="3"/>
      <c r="W173" s="3"/>
      <c r="X173" s="3"/>
      <c r="Y173" s="3"/>
      <c r="Z173" s="3"/>
      <c r="AB173" s="3"/>
      <c r="AC173" s="3"/>
      <c r="AD173" s="3"/>
      <c r="AE173" s="3"/>
      <c r="AF173" s="3"/>
      <c r="AG173" s="3"/>
      <c r="AH173" s="3"/>
      <c r="AI173" s="3"/>
      <c r="AK173" s="3"/>
      <c r="AL173" s="3"/>
      <c r="AM173" s="3"/>
      <c r="AN173" s="3"/>
      <c r="AO173" s="3"/>
      <c r="AP173" s="3"/>
      <c r="AQ173" s="3"/>
      <c r="AR173" s="3"/>
    </row>
    <row r="174" spans="1:44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S174" s="3"/>
      <c r="T174" s="3"/>
      <c r="U174" s="3"/>
      <c r="V174" s="3"/>
      <c r="W174" s="3"/>
      <c r="X174" s="3"/>
      <c r="Y174" s="3"/>
      <c r="Z174" s="3"/>
      <c r="AB174" s="3"/>
      <c r="AC174" s="3"/>
      <c r="AD174" s="3"/>
      <c r="AE174" s="3"/>
      <c r="AF174" s="3"/>
      <c r="AG174" s="3"/>
      <c r="AH174" s="3"/>
      <c r="AI174" s="3"/>
      <c r="AK174" s="3"/>
      <c r="AL174" s="3"/>
      <c r="AM174" s="3"/>
      <c r="AN174" s="3"/>
      <c r="AO174" s="3"/>
      <c r="AP174" s="3"/>
      <c r="AQ174" s="3"/>
      <c r="AR174" s="3"/>
    </row>
    <row r="175" spans="1:44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S175" s="3"/>
      <c r="T175" s="3"/>
      <c r="U175" s="3"/>
      <c r="V175" s="3"/>
      <c r="W175" s="3"/>
      <c r="X175" s="3"/>
      <c r="Y175" s="3"/>
      <c r="Z175" s="3"/>
      <c r="AB175" s="3"/>
      <c r="AC175" s="3"/>
      <c r="AD175" s="3"/>
      <c r="AE175" s="3"/>
      <c r="AF175" s="3"/>
      <c r="AG175" s="3"/>
      <c r="AH175" s="3"/>
      <c r="AI175" s="3"/>
      <c r="AK175" s="3"/>
      <c r="AL175" s="3"/>
      <c r="AM175" s="3"/>
      <c r="AN175" s="3"/>
      <c r="AO175" s="3"/>
      <c r="AP175" s="3"/>
      <c r="AQ175" s="3"/>
      <c r="AR175" s="3"/>
    </row>
    <row r="176" spans="1:44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S176" s="3"/>
      <c r="T176" s="3"/>
      <c r="U176" s="3"/>
      <c r="V176" s="3"/>
      <c r="W176" s="3"/>
      <c r="X176" s="3"/>
      <c r="Y176" s="3"/>
      <c r="Z176" s="3"/>
      <c r="AB176" s="3"/>
      <c r="AC176" s="3"/>
      <c r="AD176" s="3"/>
      <c r="AE176" s="3"/>
      <c r="AF176" s="3"/>
      <c r="AG176" s="3"/>
      <c r="AH176" s="3"/>
      <c r="AI176" s="3"/>
      <c r="AK176" s="3"/>
      <c r="AL176" s="3"/>
      <c r="AM176" s="3"/>
      <c r="AN176" s="3"/>
      <c r="AO176" s="3"/>
      <c r="AP176" s="3"/>
      <c r="AQ176" s="3"/>
      <c r="AR176" s="3"/>
    </row>
    <row r="177" spans="1:44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S177" s="3"/>
      <c r="T177" s="3"/>
      <c r="U177" s="3"/>
      <c r="V177" s="3"/>
      <c r="W177" s="3"/>
      <c r="X177" s="3"/>
      <c r="Y177" s="3"/>
      <c r="Z177" s="3"/>
      <c r="AB177" s="3"/>
      <c r="AC177" s="3"/>
      <c r="AD177" s="3"/>
      <c r="AE177" s="3"/>
      <c r="AF177" s="3"/>
      <c r="AG177" s="3"/>
      <c r="AH177" s="3"/>
      <c r="AI177" s="3"/>
      <c r="AK177" s="3"/>
      <c r="AL177" s="3"/>
      <c r="AM177" s="3"/>
      <c r="AN177" s="3"/>
      <c r="AO177" s="3"/>
      <c r="AP177" s="3"/>
      <c r="AQ177" s="3"/>
      <c r="AR177" s="3"/>
    </row>
    <row r="178" spans="1:44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S178" s="3"/>
      <c r="T178" s="3"/>
      <c r="U178" s="3"/>
      <c r="V178" s="3"/>
      <c r="W178" s="3"/>
      <c r="X178" s="3"/>
      <c r="Y178" s="3"/>
      <c r="Z178" s="3"/>
      <c r="AB178" s="3"/>
      <c r="AC178" s="3"/>
      <c r="AD178" s="3"/>
      <c r="AE178" s="3"/>
      <c r="AF178" s="3"/>
      <c r="AG178" s="3"/>
      <c r="AH178" s="3"/>
      <c r="AI178" s="3"/>
      <c r="AK178" s="3"/>
      <c r="AL178" s="3"/>
      <c r="AM178" s="3"/>
      <c r="AN178" s="3"/>
      <c r="AO178" s="3"/>
      <c r="AP178" s="3"/>
      <c r="AQ178" s="3"/>
      <c r="AR178" s="3"/>
    </row>
    <row r="179" spans="1:44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S179" s="3"/>
      <c r="T179" s="3"/>
      <c r="U179" s="3"/>
      <c r="V179" s="3"/>
      <c r="W179" s="3"/>
      <c r="X179" s="3"/>
      <c r="Y179" s="3"/>
      <c r="Z179" s="3"/>
      <c r="AB179" s="3"/>
      <c r="AC179" s="3"/>
      <c r="AD179" s="3"/>
      <c r="AE179" s="3"/>
      <c r="AF179" s="3"/>
      <c r="AG179" s="3"/>
      <c r="AH179" s="3"/>
      <c r="AI179" s="3"/>
      <c r="AK179" s="3"/>
      <c r="AL179" s="3"/>
      <c r="AM179" s="3"/>
      <c r="AN179" s="3"/>
      <c r="AO179" s="3"/>
      <c r="AP179" s="3"/>
      <c r="AQ179" s="3"/>
      <c r="AR179" s="3"/>
    </row>
    <row r="180" spans="1:44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S180" s="3"/>
      <c r="T180" s="3"/>
      <c r="U180" s="3"/>
      <c r="V180" s="3"/>
      <c r="W180" s="3"/>
      <c r="X180" s="3"/>
      <c r="Y180" s="3"/>
      <c r="Z180" s="3"/>
      <c r="AB180" s="3"/>
      <c r="AC180" s="3"/>
      <c r="AD180" s="3"/>
      <c r="AE180" s="3"/>
      <c r="AF180" s="3"/>
      <c r="AG180" s="3"/>
      <c r="AH180" s="3"/>
      <c r="AI180" s="3"/>
      <c r="AK180" s="3"/>
      <c r="AL180" s="3"/>
      <c r="AM180" s="3"/>
      <c r="AN180" s="3"/>
      <c r="AO180" s="3"/>
      <c r="AP180" s="3"/>
      <c r="AQ180" s="3"/>
      <c r="AR180" s="3"/>
    </row>
    <row r="181" spans="1:44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S181" s="3"/>
      <c r="T181" s="3"/>
      <c r="U181" s="3"/>
      <c r="V181" s="3"/>
      <c r="W181" s="3"/>
      <c r="X181" s="3"/>
      <c r="Y181" s="3"/>
      <c r="Z181" s="3"/>
      <c r="AB181" s="3"/>
      <c r="AC181" s="3"/>
      <c r="AD181" s="3"/>
      <c r="AE181" s="3"/>
      <c r="AF181" s="3"/>
      <c r="AG181" s="3"/>
      <c r="AH181" s="3"/>
      <c r="AI181" s="3"/>
      <c r="AK181" s="3"/>
      <c r="AL181" s="3"/>
      <c r="AM181" s="3"/>
      <c r="AN181" s="3"/>
      <c r="AO181" s="3"/>
      <c r="AP181" s="3"/>
      <c r="AQ181" s="3"/>
      <c r="AR181" s="3"/>
    </row>
    <row r="182" spans="1:44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S182" s="3"/>
      <c r="T182" s="3"/>
      <c r="U182" s="3"/>
      <c r="V182" s="3"/>
      <c r="W182" s="3"/>
      <c r="X182" s="3"/>
      <c r="Y182" s="3"/>
      <c r="Z182" s="3"/>
      <c r="AB182" s="3"/>
      <c r="AC182" s="3"/>
      <c r="AD182" s="3"/>
      <c r="AE182" s="3"/>
      <c r="AF182" s="3"/>
      <c r="AG182" s="3"/>
      <c r="AH182" s="3"/>
      <c r="AI182" s="3"/>
      <c r="AK182" s="3"/>
      <c r="AL182" s="3"/>
      <c r="AM182" s="3"/>
      <c r="AN182" s="3"/>
      <c r="AO182" s="3"/>
      <c r="AP182" s="3"/>
      <c r="AQ182" s="3"/>
      <c r="AR182" s="3"/>
    </row>
    <row r="183" spans="1:44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S183" s="3"/>
      <c r="T183" s="3"/>
      <c r="U183" s="3"/>
      <c r="V183" s="3"/>
      <c r="W183" s="3"/>
      <c r="X183" s="3"/>
      <c r="Y183" s="3"/>
      <c r="Z183" s="3"/>
      <c r="AB183" s="3"/>
      <c r="AC183" s="3"/>
      <c r="AD183" s="3"/>
      <c r="AE183" s="3"/>
      <c r="AF183" s="3"/>
      <c r="AG183" s="3"/>
      <c r="AH183" s="3"/>
      <c r="AI183" s="3"/>
      <c r="AK183" s="3"/>
      <c r="AL183" s="3"/>
      <c r="AM183" s="3"/>
      <c r="AN183" s="3"/>
      <c r="AO183" s="3"/>
      <c r="AP183" s="3"/>
      <c r="AQ183" s="3"/>
      <c r="AR183" s="3"/>
    </row>
    <row r="184" spans="1:44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S184" s="3"/>
      <c r="T184" s="3"/>
      <c r="U184" s="3"/>
      <c r="V184" s="3"/>
      <c r="W184" s="3"/>
      <c r="X184" s="3"/>
      <c r="Y184" s="3"/>
      <c r="Z184" s="3"/>
      <c r="AB184" s="3"/>
      <c r="AC184" s="3"/>
      <c r="AD184" s="3"/>
      <c r="AE184" s="3"/>
      <c r="AF184" s="3"/>
      <c r="AG184" s="3"/>
      <c r="AH184" s="3"/>
      <c r="AI184" s="3"/>
      <c r="AK184" s="3"/>
      <c r="AL184" s="3"/>
      <c r="AM184" s="3"/>
      <c r="AN184" s="3"/>
      <c r="AO184" s="3"/>
      <c r="AP184" s="3"/>
      <c r="AQ184" s="3"/>
      <c r="AR184" s="3"/>
    </row>
    <row r="185" spans="1:44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S185" s="3"/>
      <c r="T185" s="3"/>
      <c r="U185" s="3"/>
      <c r="V185" s="3"/>
      <c r="W185" s="3"/>
      <c r="X185" s="3"/>
      <c r="Y185" s="3"/>
      <c r="Z185" s="3"/>
      <c r="AB185" s="3"/>
      <c r="AC185" s="3"/>
      <c r="AD185" s="3"/>
      <c r="AE185" s="3"/>
      <c r="AF185" s="3"/>
      <c r="AG185" s="3"/>
      <c r="AH185" s="3"/>
      <c r="AI185" s="3"/>
      <c r="AK185" s="3"/>
      <c r="AL185" s="3"/>
      <c r="AM185" s="3"/>
      <c r="AN185" s="3"/>
      <c r="AO185" s="3"/>
      <c r="AP185" s="3"/>
      <c r="AQ185" s="3"/>
      <c r="AR185" s="3"/>
    </row>
    <row r="186" spans="1:44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S186" s="3"/>
      <c r="T186" s="3"/>
      <c r="U186" s="3"/>
      <c r="V186" s="3"/>
      <c r="W186" s="3"/>
      <c r="X186" s="3"/>
      <c r="Y186" s="3"/>
      <c r="Z186" s="3"/>
      <c r="AB186" s="3"/>
      <c r="AC186" s="3"/>
      <c r="AD186" s="3"/>
      <c r="AE186" s="3"/>
      <c r="AF186" s="3"/>
      <c r="AG186" s="3"/>
      <c r="AH186" s="3"/>
      <c r="AI186" s="3"/>
      <c r="AK186" s="3"/>
      <c r="AL186" s="3"/>
      <c r="AM186" s="3"/>
      <c r="AN186" s="3"/>
      <c r="AO186" s="3"/>
      <c r="AP186" s="3"/>
      <c r="AQ186" s="3"/>
      <c r="AR186" s="3"/>
    </row>
    <row r="187" spans="1:44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S187" s="3"/>
      <c r="T187" s="3"/>
      <c r="U187" s="3"/>
      <c r="V187" s="3"/>
      <c r="W187" s="3"/>
      <c r="X187" s="3"/>
      <c r="Y187" s="3"/>
      <c r="Z187" s="3"/>
      <c r="AB187" s="3"/>
      <c r="AC187" s="3"/>
      <c r="AD187" s="3"/>
      <c r="AE187" s="3"/>
      <c r="AF187" s="3"/>
      <c r="AG187" s="3"/>
      <c r="AH187" s="3"/>
      <c r="AI187" s="3"/>
      <c r="AK187" s="3"/>
      <c r="AL187" s="3"/>
      <c r="AM187" s="3"/>
      <c r="AN187" s="3"/>
      <c r="AO187" s="3"/>
      <c r="AP187" s="3"/>
      <c r="AQ187" s="3"/>
      <c r="AR187" s="3"/>
    </row>
    <row r="188" spans="1:44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S188" s="3"/>
      <c r="T188" s="3"/>
      <c r="U188" s="3"/>
      <c r="V188" s="3"/>
      <c r="W188" s="3"/>
      <c r="X188" s="3"/>
      <c r="Y188" s="3"/>
      <c r="Z188" s="3"/>
      <c r="AB188" s="3"/>
      <c r="AC188" s="3"/>
      <c r="AD188" s="3"/>
      <c r="AE188" s="3"/>
      <c r="AF188" s="3"/>
      <c r="AG188" s="3"/>
      <c r="AH188" s="3"/>
      <c r="AI188" s="3"/>
      <c r="AK188" s="3"/>
      <c r="AL188" s="3"/>
      <c r="AM188" s="3"/>
      <c r="AN188" s="3"/>
      <c r="AO188" s="3"/>
      <c r="AP188" s="3"/>
      <c r="AQ188" s="3"/>
      <c r="AR188" s="3"/>
    </row>
    <row r="189" spans="1:44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S189" s="3"/>
      <c r="T189" s="3"/>
      <c r="U189" s="3"/>
      <c r="V189" s="3"/>
      <c r="W189" s="3"/>
      <c r="X189" s="3"/>
      <c r="Y189" s="3"/>
      <c r="Z189" s="3"/>
      <c r="AB189" s="3"/>
      <c r="AC189" s="3"/>
      <c r="AD189" s="3"/>
      <c r="AE189" s="3"/>
      <c r="AF189" s="3"/>
      <c r="AG189" s="3"/>
      <c r="AH189" s="3"/>
      <c r="AI189" s="3"/>
      <c r="AK189" s="3"/>
      <c r="AL189" s="3"/>
      <c r="AM189" s="3"/>
      <c r="AN189" s="3"/>
      <c r="AO189" s="3"/>
      <c r="AP189" s="3"/>
      <c r="AQ189" s="3"/>
      <c r="AR189" s="3"/>
    </row>
    <row r="190" spans="1:44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S190" s="3"/>
      <c r="T190" s="3"/>
      <c r="U190" s="3"/>
      <c r="V190" s="3"/>
      <c r="W190" s="3"/>
      <c r="X190" s="3"/>
      <c r="Y190" s="3"/>
      <c r="Z190" s="3"/>
      <c r="AB190" s="3"/>
      <c r="AC190" s="3"/>
      <c r="AD190" s="3"/>
      <c r="AE190" s="3"/>
      <c r="AF190" s="3"/>
      <c r="AG190" s="3"/>
      <c r="AH190" s="3"/>
      <c r="AI190" s="3"/>
      <c r="AK190" s="3"/>
      <c r="AL190" s="3"/>
      <c r="AM190" s="3"/>
      <c r="AN190" s="3"/>
      <c r="AO190" s="3"/>
      <c r="AP190" s="3"/>
      <c r="AQ190" s="3"/>
      <c r="AR190" s="3"/>
    </row>
    <row r="191" spans="1:44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S191" s="3"/>
      <c r="T191" s="3"/>
      <c r="U191" s="3"/>
      <c r="V191" s="3"/>
      <c r="W191" s="3"/>
      <c r="X191" s="3"/>
      <c r="Y191" s="3"/>
      <c r="Z191" s="3"/>
      <c r="AB191" s="3"/>
      <c r="AC191" s="3"/>
      <c r="AD191" s="3"/>
      <c r="AE191" s="3"/>
      <c r="AF191" s="3"/>
      <c r="AG191" s="3"/>
      <c r="AH191" s="3"/>
      <c r="AI191" s="3"/>
      <c r="AK191" s="3"/>
      <c r="AL191" s="3"/>
      <c r="AM191" s="3"/>
      <c r="AN191" s="3"/>
      <c r="AO191" s="3"/>
      <c r="AP191" s="3"/>
      <c r="AQ191" s="3"/>
      <c r="AR191" s="3"/>
    </row>
    <row r="192" spans="1:44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S192" s="3"/>
      <c r="T192" s="3"/>
      <c r="U192" s="3"/>
      <c r="V192" s="3"/>
      <c r="W192" s="3"/>
      <c r="X192" s="3"/>
      <c r="Y192" s="3"/>
      <c r="Z192" s="3"/>
      <c r="AB192" s="3"/>
      <c r="AC192" s="3"/>
      <c r="AD192" s="3"/>
      <c r="AE192" s="3"/>
      <c r="AF192" s="3"/>
      <c r="AG192" s="3"/>
      <c r="AH192" s="3"/>
      <c r="AI192" s="3"/>
      <c r="AK192" s="3"/>
      <c r="AL192" s="3"/>
      <c r="AM192" s="3"/>
      <c r="AN192" s="3"/>
      <c r="AO192" s="3"/>
      <c r="AP192" s="3"/>
      <c r="AQ192" s="3"/>
      <c r="AR192" s="3"/>
    </row>
    <row r="193" spans="1:44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S193" s="3"/>
      <c r="T193" s="3"/>
      <c r="U193" s="3"/>
      <c r="V193" s="3"/>
      <c r="W193" s="3"/>
      <c r="X193" s="3"/>
      <c r="Y193" s="3"/>
      <c r="Z193" s="3"/>
      <c r="AB193" s="3"/>
      <c r="AC193" s="3"/>
      <c r="AD193" s="3"/>
      <c r="AE193" s="3"/>
      <c r="AF193" s="3"/>
      <c r="AG193" s="3"/>
      <c r="AH193" s="3"/>
      <c r="AI193" s="3"/>
      <c r="AK193" s="3"/>
      <c r="AL193" s="3"/>
      <c r="AM193" s="3"/>
      <c r="AN193" s="3"/>
      <c r="AO193" s="3"/>
      <c r="AP193" s="3"/>
      <c r="AQ193" s="3"/>
      <c r="AR193" s="3"/>
    </row>
    <row r="194" spans="1:44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S194" s="3"/>
      <c r="T194" s="3"/>
      <c r="U194" s="3"/>
      <c r="V194" s="3"/>
      <c r="W194" s="3"/>
      <c r="X194" s="3"/>
      <c r="Y194" s="3"/>
      <c r="Z194" s="3"/>
      <c r="AB194" s="3"/>
      <c r="AC194" s="3"/>
      <c r="AD194" s="3"/>
      <c r="AE194" s="3"/>
      <c r="AF194" s="3"/>
      <c r="AG194" s="3"/>
      <c r="AH194" s="3"/>
      <c r="AI194" s="3"/>
      <c r="AK194" s="3"/>
      <c r="AL194" s="3"/>
      <c r="AM194" s="3"/>
      <c r="AN194" s="3"/>
      <c r="AO194" s="3"/>
      <c r="AP194" s="3"/>
      <c r="AQ194" s="3"/>
      <c r="AR194" s="3"/>
    </row>
    <row r="195" spans="1:44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S195" s="3"/>
      <c r="T195" s="3"/>
      <c r="U195" s="3"/>
      <c r="V195" s="3"/>
      <c r="W195" s="3"/>
      <c r="X195" s="3"/>
      <c r="Y195" s="3"/>
      <c r="Z195" s="3"/>
      <c r="AB195" s="3"/>
      <c r="AC195" s="3"/>
      <c r="AD195" s="3"/>
      <c r="AE195" s="3"/>
      <c r="AF195" s="3"/>
      <c r="AG195" s="3"/>
      <c r="AH195" s="3"/>
      <c r="AI195" s="3"/>
      <c r="AK195" s="3"/>
      <c r="AL195" s="3"/>
      <c r="AM195" s="3"/>
      <c r="AN195" s="3"/>
      <c r="AO195" s="3"/>
      <c r="AP195" s="3"/>
      <c r="AQ195" s="3"/>
      <c r="AR195" s="3"/>
    </row>
    <row r="196" spans="1:44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S196" s="3"/>
      <c r="T196" s="3"/>
      <c r="U196" s="3"/>
      <c r="V196" s="3"/>
      <c r="W196" s="3"/>
      <c r="X196" s="3"/>
      <c r="Y196" s="3"/>
      <c r="Z196" s="3"/>
      <c r="AB196" s="3"/>
      <c r="AC196" s="3"/>
      <c r="AD196" s="3"/>
      <c r="AE196" s="3"/>
      <c r="AF196" s="3"/>
      <c r="AG196" s="3"/>
      <c r="AH196" s="3"/>
      <c r="AI196" s="3"/>
      <c r="AK196" s="3"/>
      <c r="AL196" s="3"/>
      <c r="AM196" s="3"/>
      <c r="AN196" s="3"/>
      <c r="AO196" s="3"/>
      <c r="AP196" s="3"/>
      <c r="AQ196" s="3"/>
      <c r="AR196" s="3"/>
    </row>
    <row r="197" spans="1:44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S197" s="3"/>
      <c r="T197" s="3"/>
      <c r="U197" s="3"/>
      <c r="V197" s="3"/>
      <c r="W197" s="3"/>
      <c r="X197" s="3"/>
      <c r="Y197" s="3"/>
      <c r="Z197" s="3"/>
      <c r="AB197" s="3"/>
      <c r="AC197" s="3"/>
      <c r="AD197" s="3"/>
      <c r="AE197" s="3"/>
      <c r="AF197" s="3"/>
      <c r="AG197" s="3"/>
      <c r="AH197" s="3"/>
      <c r="AI197" s="3"/>
      <c r="AK197" s="3"/>
      <c r="AL197" s="3"/>
      <c r="AM197" s="3"/>
      <c r="AN197" s="3"/>
      <c r="AO197" s="3"/>
      <c r="AP197" s="3"/>
      <c r="AQ197" s="3"/>
      <c r="AR197" s="3"/>
    </row>
    <row r="198" spans="1:44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S198" s="3"/>
      <c r="T198" s="3"/>
      <c r="U198" s="3"/>
      <c r="V198" s="3"/>
      <c r="W198" s="3"/>
      <c r="X198" s="3"/>
      <c r="Y198" s="3"/>
      <c r="Z198" s="3"/>
      <c r="AB198" s="3"/>
      <c r="AC198" s="3"/>
      <c r="AD198" s="3"/>
      <c r="AE198" s="3"/>
      <c r="AF198" s="3"/>
      <c r="AG198" s="3"/>
      <c r="AH198" s="3"/>
      <c r="AI198" s="3"/>
      <c r="AK198" s="3"/>
      <c r="AL198" s="3"/>
      <c r="AM198" s="3"/>
      <c r="AN198" s="3"/>
      <c r="AO198" s="3"/>
      <c r="AP198" s="3"/>
      <c r="AQ198" s="3"/>
      <c r="AR198" s="3"/>
    </row>
    <row r="199" spans="1:44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S199" s="3"/>
      <c r="T199" s="3"/>
      <c r="U199" s="3"/>
      <c r="V199" s="3"/>
      <c r="W199" s="3"/>
      <c r="X199" s="3"/>
      <c r="Y199" s="3"/>
      <c r="Z199" s="3"/>
      <c r="AB199" s="3"/>
      <c r="AC199" s="3"/>
      <c r="AD199" s="3"/>
      <c r="AE199" s="3"/>
      <c r="AF199" s="3"/>
      <c r="AG199" s="3"/>
      <c r="AH199" s="3"/>
      <c r="AI199" s="3"/>
      <c r="AK199" s="3"/>
      <c r="AL199" s="3"/>
      <c r="AM199" s="3"/>
      <c r="AN199" s="3"/>
      <c r="AO199" s="3"/>
      <c r="AP199" s="3"/>
      <c r="AQ199" s="3"/>
      <c r="AR199" s="3"/>
    </row>
    <row r="200" spans="1:44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S200" s="3"/>
      <c r="T200" s="3"/>
      <c r="U200" s="3"/>
      <c r="V200" s="3"/>
      <c r="W200" s="3"/>
      <c r="X200" s="3"/>
      <c r="Y200" s="3"/>
      <c r="Z200" s="3"/>
      <c r="AB200" s="3"/>
      <c r="AC200" s="3"/>
      <c r="AD200" s="3"/>
      <c r="AE200" s="3"/>
      <c r="AF200" s="3"/>
      <c r="AG200" s="3"/>
      <c r="AH200" s="3"/>
      <c r="AI200" s="3"/>
      <c r="AK200" s="3"/>
      <c r="AL200" s="3"/>
      <c r="AM200" s="3"/>
      <c r="AN200" s="3"/>
      <c r="AO200" s="3"/>
      <c r="AP200" s="3"/>
      <c r="AQ200" s="3"/>
      <c r="AR200" s="3"/>
    </row>
    <row r="201" spans="1:44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S201" s="3"/>
      <c r="T201" s="3"/>
      <c r="U201" s="3"/>
      <c r="V201" s="3"/>
      <c r="W201" s="3"/>
      <c r="X201" s="3"/>
      <c r="Y201" s="3"/>
      <c r="Z201" s="3"/>
      <c r="AB201" s="3"/>
      <c r="AC201" s="3"/>
      <c r="AD201" s="3"/>
      <c r="AE201" s="3"/>
      <c r="AF201" s="3"/>
      <c r="AG201" s="3"/>
      <c r="AH201" s="3"/>
      <c r="AI201" s="3"/>
      <c r="AK201" s="3"/>
      <c r="AL201" s="3"/>
      <c r="AM201" s="3"/>
      <c r="AN201" s="3"/>
      <c r="AO201" s="3"/>
      <c r="AP201" s="3"/>
      <c r="AQ201" s="3"/>
      <c r="AR201" s="3"/>
    </row>
    <row r="202" spans="1:44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S202" s="3"/>
      <c r="T202" s="3"/>
      <c r="U202" s="3"/>
      <c r="V202" s="3"/>
      <c r="W202" s="3"/>
      <c r="X202" s="3"/>
      <c r="Y202" s="3"/>
      <c r="Z202" s="3"/>
      <c r="AB202" s="3"/>
      <c r="AC202" s="3"/>
      <c r="AD202" s="3"/>
      <c r="AE202" s="3"/>
      <c r="AF202" s="3"/>
      <c r="AG202" s="3"/>
      <c r="AH202" s="3"/>
      <c r="AI202" s="3"/>
      <c r="AK202" s="3"/>
      <c r="AL202" s="3"/>
      <c r="AM202" s="3"/>
      <c r="AN202" s="3"/>
      <c r="AO202" s="3"/>
      <c r="AP202" s="3"/>
      <c r="AQ202" s="3"/>
      <c r="AR202" s="3"/>
    </row>
    <row r="203" spans="1:44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S203" s="3"/>
      <c r="T203" s="3"/>
      <c r="U203" s="3"/>
      <c r="V203" s="3"/>
      <c r="W203" s="3"/>
      <c r="X203" s="3"/>
      <c r="Y203" s="3"/>
      <c r="Z203" s="3"/>
      <c r="AB203" s="3"/>
      <c r="AC203" s="3"/>
      <c r="AD203" s="3"/>
      <c r="AE203" s="3"/>
      <c r="AF203" s="3"/>
      <c r="AG203" s="3"/>
      <c r="AH203" s="3"/>
      <c r="AI203" s="3"/>
      <c r="AK203" s="3"/>
      <c r="AL203" s="3"/>
      <c r="AM203" s="3"/>
      <c r="AN203" s="3"/>
      <c r="AO203" s="3"/>
      <c r="AP203" s="3"/>
      <c r="AQ203" s="3"/>
      <c r="AR203" s="3"/>
    </row>
    <row r="204" spans="1:44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S204" s="3"/>
      <c r="T204" s="3"/>
      <c r="U204" s="3"/>
      <c r="V204" s="3"/>
      <c r="W204" s="3"/>
      <c r="X204" s="3"/>
      <c r="Y204" s="3"/>
      <c r="Z204" s="3"/>
      <c r="AB204" s="3"/>
      <c r="AC204" s="3"/>
      <c r="AD204" s="3"/>
      <c r="AE204" s="3"/>
      <c r="AF204" s="3"/>
      <c r="AG204" s="3"/>
      <c r="AH204" s="3"/>
      <c r="AI204" s="3"/>
      <c r="AK204" s="3"/>
      <c r="AL204" s="3"/>
      <c r="AM204" s="3"/>
      <c r="AN204" s="3"/>
      <c r="AO204" s="3"/>
      <c r="AP204" s="3"/>
      <c r="AQ204" s="3"/>
      <c r="AR204" s="3"/>
    </row>
    <row r="205" spans="1:44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S205" s="3"/>
      <c r="T205" s="3"/>
      <c r="U205" s="3"/>
      <c r="V205" s="3"/>
      <c r="W205" s="3"/>
      <c r="X205" s="3"/>
      <c r="Y205" s="3"/>
      <c r="Z205" s="3"/>
      <c r="AB205" s="3"/>
      <c r="AC205" s="3"/>
      <c r="AD205" s="3"/>
      <c r="AE205" s="3"/>
      <c r="AF205" s="3"/>
      <c r="AG205" s="3"/>
      <c r="AH205" s="3"/>
      <c r="AI205" s="3"/>
      <c r="AK205" s="3"/>
      <c r="AL205" s="3"/>
      <c r="AM205" s="3"/>
      <c r="AN205" s="3"/>
      <c r="AO205" s="3"/>
      <c r="AP205" s="3"/>
      <c r="AQ205" s="3"/>
      <c r="AR205" s="3"/>
    </row>
    <row r="206" spans="1:44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S206" s="3"/>
      <c r="T206" s="3"/>
      <c r="U206" s="3"/>
      <c r="V206" s="3"/>
      <c r="W206" s="3"/>
      <c r="X206" s="3"/>
      <c r="Y206" s="3"/>
      <c r="Z206" s="3"/>
      <c r="AB206" s="3"/>
      <c r="AC206" s="3"/>
      <c r="AD206" s="3"/>
      <c r="AE206" s="3"/>
      <c r="AF206" s="3"/>
      <c r="AG206" s="3"/>
      <c r="AH206" s="3"/>
      <c r="AI206" s="3"/>
      <c r="AK206" s="3"/>
      <c r="AL206" s="3"/>
      <c r="AM206" s="3"/>
      <c r="AN206" s="3"/>
      <c r="AO206" s="3"/>
      <c r="AP206" s="3"/>
      <c r="AQ206" s="3"/>
      <c r="AR206" s="3"/>
    </row>
    <row r="207" spans="1:44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S207" s="3"/>
      <c r="T207" s="3"/>
      <c r="U207" s="3"/>
      <c r="V207" s="3"/>
      <c r="W207" s="3"/>
      <c r="X207" s="3"/>
      <c r="Y207" s="3"/>
      <c r="Z207" s="3"/>
      <c r="AB207" s="3"/>
      <c r="AC207" s="3"/>
      <c r="AD207" s="3"/>
      <c r="AE207" s="3"/>
      <c r="AF207" s="3"/>
      <c r="AG207" s="3"/>
      <c r="AH207" s="3"/>
      <c r="AI207" s="3"/>
      <c r="AK207" s="3"/>
      <c r="AL207" s="3"/>
      <c r="AM207" s="3"/>
      <c r="AN207" s="3"/>
      <c r="AO207" s="3"/>
      <c r="AP207" s="3"/>
      <c r="AQ207" s="3"/>
      <c r="AR207" s="3"/>
    </row>
    <row r="208" spans="1:44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S208" s="3"/>
      <c r="T208" s="3"/>
      <c r="U208" s="3"/>
      <c r="V208" s="3"/>
      <c r="W208" s="3"/>
      <c r="X208" s="3"/>
      <c r="Y208" s="3"/>
      <c r="Z208" s="3"/>
      <c r="AB208" s="3"/>
      <c r="AC208" s="3"/>
      <c r="AD208" s="3"/>
      <c r="AE208" s="3"/>
      <c r="AF208" s="3"/>
      <c r="AG208" s="3"/>
      <c r="AH208" s="3"/>
      <c r="AI208" s="3"/>
      <c r="AK208" s="3"/>
      <c r="AL208" s="3"/>
      <c r="AM208" s="3"/>
      <c r="AN208" s="3"/>
      <c r="AO208" s="3"/>
      <c r="AP208" s="3"/>
      <c r="AQ208" s="3"/>
      <c r="AR208" s="3"/>
    </row>
    <row r="209" spans="1:44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S209" s="3"/>
      <c r="T209" s="3"/>
      <c r="U209" s="3"/>
      <c r="V209" s="3"/>
      <c r="W209" s="3"/>
      <c r="X209" s="3"/>
      <c r="Y209" s="3"/>
      <c r="Z209" s="3"/>
      <c r="AB209" s="3"/>
      <c r="AC209" s="3"/>
      <c r="AD209" s="3"/>
      <c r="AE209" s="3"/>
      <c r="AF209" s="3"/>
      <c r="AG209" s="3"/>
      <c r="AH209" s="3"/>
      <c r="AI209" s="3"/>
      <c r="AK209" s="3"/>
      <c r="AL209" s="3"/>
      <c r="AM209" s="3"/>
      <c r="AN209" s="3"/>
      <c r="AO209" s="3"/>
      <c r="AP209" s="3"/>
      <c r="AQ209" s="3"/>
      <c r="AR209" s="3"/>
    </row>
    <row r="210" spans="1:44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S210" s="3"/>
      <c r="T210" s="3"/>
      <c r="U210" s="3"/>
      <c r="V210" s="3"/>
      <c r="W210" s="3"/>
      <c r="X210" s="3"/>
      <c r="Y210" s="3"/>
      <c r="Z210" s="3"/>
      <c r="AB210" s="3"/>
      <c r="AC210" s="3"/>
      <c r="AD210" s="3"/>
      <c r="AE210" s="3"/>
      <c r="AF210" s="3"/>
      <c r="AG210" s="3"/>
      <c r="AH210" s="3"/>
      <c r="AI210" s="3"/>
      <c r="AK210" s="3"/>
      <c r="AL210" s="3"/>
      <c r="AM210" s="3"/>
      <c r="AN210" s="3"/>
      <c r="AO210" s="3"/>
      <c r="AP210" s="3"/>
      <c r="AQ210" s="3"/>
      <c r="AR210" s="3"/>
    </row>
    <row r="211" spans="1:44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S211" s="3"/>
      <c r="T211" s="3"/>
      <c r="U211" s="3"/>
      <c r="V211" s="3"/>
      <c r="W211" s="3"/>
      <c r="X211" s="3"/>
      <c r="Y211" s="3"/>
      <c r="Z211" s="3"/>
      <c r="AB211" s="3"/>
      <c r="AC211" s="3"/>
      <c r="AD211" s="3"/>
      <c r="AE211" s="3"/>
      <c r="AF211" s="3"/>
      <c r="AG211" s="3"/>
      <c r="AH211" s="3"/>
      <c r="AI211" s="3"/>
      <c r="AK211" s="3"/>
      <c r="AL211" s="3"/>
      <c r="AM211" s="3"/>
      <c r="AN211" s="3"/>
      <c r="AO211" s="3"/>
      <c r="AP211" s="3"/>
      <c r="AQ211" s="3"/>
      <c r="AR211" s="3"/>
    </row>
    <row r="212" spans="1:44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S212" s="3"/>
      <c r="T212" s="3"/>
      <c r="U212" s="3"/>
      <c r="V212" s="3"/>
      <c r="W212" s="3"/>
      <c r="X212" s="3"/>
      <c r="Y212" s="3"/>
      <c r="Z212" s="3"/>
      <c r="AB212" s="3"/>
      <c r="AC212" s="3"/>
      <c r="AD212" s="3"/>
      <c r="AE212" s="3"/>
      <c r="AF212" s="3"/>
      <c r="AG212" s="3"/>
      <c r="AH212" s="3"/>
      <c r="AI212" s="3"/>
      <c r="AK212" s="3"/>
      <c r="AL212" s="3"/>
      <c r="AM212" s="3"/>
      <c r="AN212" s="3"/>
      <c r="AO212" s="3"/>
      <c r="AP212" s="3"/>
      <c r="AQ212" s="3"/>
      <c r="AR212" s="3"/>
    </row>
    <row r="213" spans="1:44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S213" s="3"/>
      <c r="T213" s="3"/>
      <c r="U213" s="3"/>
      <c r="V213" s="3"/>
      <c r="W213" s="3"/>
      <c r="X213" s="3"/>
      <c r="Y213" s="3"/>
      <c r="Z213" s="3"/>
      <c r="AB213" s="3"/>
      <c r="AC213" s="3"/>
      <c r="AD213" s="3"/>
      <c r="AE213" s="3"/>
      <c r="AF213" s="3"/>
      <c r="AG213" s="3"/>
      <c r="AH213" s="3"/>
      <c r="AI213" s="3"/>
      <c r="AK213" s="3"/>
      <c r="AL213" s="3"/>
      <c r="AM213" s="3"/>
      <c r="AN213" s="3"/>
      <c r="AO213" s="3"/>
      <c r="AP213" s="3"/>
      <c r="AQ213" s="3"/>
      <c r="AR213" s="3"/>
    </row>
    <row r="214" spans="1:44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S214" s="3"/>
      <c r="T214" s="3"/>
      <c r="U214" s="3"/>
      <c r="V214" s="3"/>
      <c r="W214" s="3"/>
      <c r="X214" s="3"/>
      <c r="Y214" s="3"/>
      <c r="Z214" s="3"/>
      <c r="AB214" s="3"/>
      <c r="AC214" s="3"/>
      <c r="AD214" s="3"/>
      <c r="AE214" s="3"/>
      <c r="AF214" s="3"/>
      <c r="AG214" s="3"/>
      <c r="AH214" s="3"/>
      <c r="AI214" s="3"/>
      <c r="AK214" s="3"/>
      <c r="AL214" s="3"/>
      <c r="AM214" s="3"/>
      <c r="AN214" s="3"/>
      <c r="AO214" s="3"/>
      <c r="AP214" s="3"/>
      <c r="AQ214" s="3"/>
      <c r="AR214" s="3"/>
    </row>
    <row r="215" spans="1:44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S215" s="3"/>
      <c r="T215" s="3"/>
      <c r="U215" s="3"/>
      <c r="V215" s="3"/>
      <c r="W215" s="3"/>
      <c r="X215" s="3"/>
      <c r="Y215" s="3"/>
      <c r="Z215" s="3"/>
      <c r="AB215" s="3"/>
      <c r="AC215" s="3"/>
      <c r="AD215" s="3"/>
      <c r="AE215" s="3"/>
      <c r="AF215" s="3"/>
      <c r="AG215" s="3"/>
      <c r="AH215" s="3"/>
      <c r="AI215" s="3"/>
      <c r="AK215" s="3"/>
      <c r="AL215" s="3"/>
      <c r="AM215" s="3"/>
      <c r="AN215" s="3"/>
      <c r="AO215" s="3"/>
      <c r="AP215" s="3"/>
      <c r="AQ215" s="3"/>
      <c r="AR215" s="3"/>
    </row>
    <row r="216" spans="1:44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S216" s="3"/>
      <c r="T216" s="3"/>
      <c r="U216" s="3"/>
      <c r="V216" s="3"/>
      <c r="W216" s="3"/>
      <c r="X216" s="3"/>
      <c r="Y216" s="3"/>
      <c r="Z216" s="3"/>
      <c r="AB216" s="3"/>
      <c r="AC216" s="3"/>
      <c r="AD216" s="3"/>
      <c r="AE216" s="3"/>
      <c r="AF216" s="3"/>
      <c r="AG216" s="3"/>
      <c r="AH216" s="3"/>
      <c r="AI216" s="3"/>
      <c r="AK216" s="3"/>
      <c r="AL216" s="3"/>
      <c r="AM216" s="3"/>
      <c r="AN216" s="3"/>
      <c r="AO216" s="3"/>
      <c r="AP216" s="3"/>
      <c r="AQ216" s="3"/>
      <c r="AR216" s="3"/>
    </row>
    <row r="217" spans="1:44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S217" s="3"/>
      <c r="T217" s="3"/>
      <c r="U217" s="3"/>
      <c r="V217" s="3"/>
      <c r="W217" s="3"/>
      <c r="X217" s="3"/>
      <c r="Y217" s="3"/>
      <c r="Z217" s="3"/>
      <c r="AB217" s="3"/>
      <c r="AC217" s="3"/>
      <c r="AD217" s="3"/>
      <c r="AE217" s="3"/>
      <c r="AF217" s="3"/>
      <c r="AG217" s="3"/>
      <c r="AH217" s="3"/>
      <c r="AI217" s="3"/>
      <c r="AK217" s="3"/>
      <c r="AL217" s="3"/>
      <c r="AM217" s="3"/>
      <c r="AN217" s="3"/>
      <c r="AO217" s="3"/>
      <c r="AP217" s="3"/>
      <c r="AQ217" s="3"/>
      <c r="AR217" s="3"/>
    </row>
    <row r="218" spans="1:44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S218" s="3"/>
      <c r="T218" s="3"/>
      <c r="U218" s="3"/>
      <c r="V218" s="3"/>
      <c r="W218" s="3"/>
      <c r="X218" s="3"/>
      <c r="Y218" s="3"/>
      <c r="Z218" s="3"/>
      <c r="AB218" s="3"/>
      <c r="AC218" s="3"/>
      <c r="AD218" s="3"/>
      <c r="AE218" s="3"/>
      <c r="AF218" s="3"/>
      <c r="AG218" s="3"/>
      <c r="AH218" s="3"/>
      <c r="AI218" s="3"/>
      <c r="AK218" s="3"/>
      <c r="AL218" s="3"/>
      <c r="AM218" s="3"/>
      <c r="AN218" s="3"/>
      <c r="AO218" s="3"/>
      <c r="AP218" s="3"/>
      <c r="AQ218" s="3"/>
      <c r="AR218" s="3"/>
    </row>
    <row r="219" spans="1:44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S219" s="3"/>
      <c r="T219" s="3"/>
      <c r="U219" s="3"/>
      <c r="V219" s="3"/>
      <c r="W219" s="3"/>
      <c r="X219" s="3"/>
      <c r="Y219" s="3"/>
      <c r="Z219" s="3"/>
      <c r="AB219" s="3"/>
      <c r="AC219" s="3"/>
      <c r="AD219" s="3"/>
      <c r="AE219" s="3"/>
      <c r="AF219" s="3"/>
      <c r="AG219" s="3"/>
      <c r="AH219" s="3"/>
      <c r="AI219" s="3"/>
      <c r="AK219" s="3"/>
      <c r="AL219" s="3"/>
      <c r="AM219" s="3"/>
      <c r="AN219" s="3"/>
      <c r="AO219" s="3"/>
      <c r="AP219" s="3"/>
      <c r="AQ219" s="3"/>
      <c r="AR219" s="3"/>
    </row>
    <row r="220" spans="1:44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S220" s="3"/>
      <c r="T220" s="3"/>
      <c r="U220" s="3"/>
      <c r="V220" s="3"/>
      <c r="W220" s="3"/>
      <c r="X220" s="3"/>
      <c r="Y220" s="3"/>
      <c r="Z220" s="3"/>
      <c r="AB220" s="3"/>
      <c r="AC220" s="3"/>
      <c r="AD220" s="3"/>
      <c r="AE220" s="3"/>
      <c r="AF220" s="3"/>
      <c r="AG220" s="3"/>
      <c r="AH220" s="3"/>
      <c r="AI220" s="3"/>
      <c r="AK220" s="3"/>
      <c r="AL220" s="3"/>
      <c r="AM220" s="3"/>
      <c r="AN220" s="3"/>
      <c r="AO220" s="3"/>
      <c r="AP220" s="3"/>
      <c r="AQ220" s="3"/>
      <c r="AR220" s="3"/>
    </row>
    <row r="221" spans="1:44" ht="16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S221" s="3"/>
      <c r="T221" s="3"/>
      <c r="U221" s="3"/>
      <c r="V221" s="3"/>
      <c r="W221" s="3"/>
      <c r="X221" s="3"/>
      <c r="Y221" s="3"/>
      <c r="Z221" s="3"/>
      <c r="AB221" s="3"/>
      <c r="AC221" s="3"/>
      <c r="AD221" s="3"/>
      <c r="AE221" s="3"/>
      <c r="AF221" s="3"/>
      <c r="AG221" s="3"/>
      <c r="AH221" s="3"/>
      <c r="AI221" s="3"/>
      <c r="AK221" s="3"/>
      <c r="AL221" s="3"/>
      <c r="AM221" s="3"/>
      <c r="AN221" s="3"/>
      <c r="AO221" s="3"/>
      <c r="AP221" s="3"/>
      <c r="AQ221" s="3"/>
      <c r="AR221" s="3"/>
    </row>
    <row r="222" spans="1:44" ht="16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S222" s="3"/>
      <c r="T222" s="3"/>
      <c r="U222" s="3"/>
      <c r="V222" s="3"/>
      <c r="W222" s="3"/>
      <c r="X222" s="3"/>
      <c r="Y222" s="3"/>
      <c r="Z222" s="3"/>
      <c r="AB222" s="3"/>
      <c r="AC222" s="3"/>
      <c r="AD222" s="3"/>
      <c r="AE222" s="3"/>
      <c r="AF222" s="3"/>
      <c r="AG222" s="3"/>
      <c r="AH222" s="3"/>
      <c r="AI222" s="3"/>
      <c r="AK222" s="3"/>
      <c r="AL222" s="3"/>
      <c r="AM222" s="3"/>
      <c r="AN222" s="3"/>
      <c r="AO222" s="3"/>
      <c r="AP222" s="3"/>
      <c r="AQ222" s="3"/>
      <c r="AR222" s="3"/>
    </row>
    <row r="223" spans="1:44" ht="16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S223" s="3"/>
      <c r="T223" s="3"/>
      <c r="U223" s="3"/>
      <c r="V223" s="3"/>
      <c r="W223" s="3"/>
      <c r="X223" s="3"/>
      <c r="Y223" s="3"/>
      <c r="Z223" s="3"/>
      <c r="AB223" s="3"/>
      <c r="AC223" s="3"/>
      <c r="AD223" s="3"/>
      <c r="AE223" s="3"/>
      <c r="AF223" s="3"/>
      <c r="AG223" s="3"/>
      <c r="AH223" s="3"/>
      <c r="AI223" s="3"/>
      <c r="AK223" s="3"/>
      <c r="AL223" s="3"/>
      <c r="AM223" s="3"/>
      <c r="AN223" s="3"/>
      <c r="AO223" s="3"/>
      <c r="AP223" s="3"/>
      <c r="AQ223" s="3"/>
      <c r="AR223" s="3"/>
    </row>
    <row r="224" spans="1:44" ht="16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S224" s="3"/>
      <c r="T224" s="3"/>
      <c r="U224" s="3"/>
      <c r="V224" s="3"/>
      <c r="W224" s="3"/>
      <c r="X224" s="3"/>
      <c r="Y224" s="3"/>
      <c r="Z224" s="3"/>
      <c r="AB224" s="3"/>
      <c r="AC224" s="3"/>
      <c r="AD224" s="3"/>
      <c r="AE224" s="3"/>
      <c r="AF224" s="3"/>
      <c r="AG224" s="3"/>
      <c r="AH224" s="3"/>
      <c r="AI224" s="3"/>
      <c r="AK224" s="3"/>
      <c r="AL224" s="3"/>
      <c r="AM224" s="3"/>
      <c r="AN224" s="3"/>
      <c r="AO224" s="3"/>
      <c r="AP224" s="3"/>
      <c r="AQ224" s="3"/>
      <c r="AR224" s="3"/>
    </row>
    <row r="225" spans="1:44" ht="16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S225" s="3"/>
      <c r="T225" s="3"/>
      <c r="U225" s="3"/>
      <c r="V225" s="3"/>
      <c r="W225" s="3"/>
      <c r="X225" s="3"/>
      <c r="Y225" s="3"/>
      <c r="Z225" s="3"/>
      <c r="AB225" s="3"/>
      <c r="AC225" s="3"/>
      <c r="AD225" s="3"/>
      <c r="AE225" s="3"/>
      <c r="AF225" s="3"/>
      <c r="AG225" s="3"/>
      <c r="AH225" s="3"/>
      <c r="AI225" s="3"/>
      <c r="AK225" s="3"/>
      <c r="AL225" s="3"/>
      <c r="AM225" s="3"/>
      <c r="AN225" s="3"/>
      <c r="AO225" s="3"/>
      <c r="AP225" s="3"/>
      <c r="AQ225" s="3"/>
      <c r="AR225" s="3"/>
    </row>
    <row r="226" spans="1:44" ht="16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S226" s="3"/>
      <c r="T226" s="3"/>
      <c r="U226" s="3"/>
      <c r="V226" s="3"/>
      <c r="W226" s="3"/>
      <c r="X226" s="3"/>
      <c r="Y226" s="3"/>
      <c r="Z226" s="3"/>
      <c r="AB226" s="3"/>
      <c r="AC226" s="3"/>
      <c r="AD226" s="3"/>
      <c r="AE226" s="3"/>
      <c r="AF226" s="3"/>
      <c r="AG226" s="3"/>
      <c r="AH226" s="3"/>
      <c r="AI226" s="3"/>
      <c r="AK226" s="3"/>
      <c r="AL226" s="3"/>
      <c r="AM226" s="3"/>
      <c r="AN226" s="3"/>
      <c r="AO226" s="3"/>
      <c r="AP226" s="3"/>
      <c r="AQ226" s="3"/>
      <c r="AR226" s="3"/>
    </row>
    <row r="227" spans="1:44" ht="16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S227" s="3"/>
      <c r="T227" s="3"/>
      <c r="U227" s="3"/>
      <c r="V227" s="3"/>
      <c r="W227" s="3"/>
      <c r="X227" s="3"/>
      <c r="Y227" s="3"/>
      <c r="Z227" s="3"/>
      <c r="AB227" s="3"/>
      <c r="AC227" s="3"/>
      <c r="AD227" s="3"/>
      <c r="AE227" s="3"/>
      <c r="AF227" s="3"/>
      <c r="AG227" s="3"/>
      <c r="AH227" s="3"/>
      <c r="AI227" s="3"/>
      <c r="AK227" s="3"/>
      <c r="AL227" s="3"/>
      <c r="AM227" s="3"/>
      <c r="AN227" s="3"/>
      <c r="AO227" s="3"/>
      <c r="AP227" s="3"/>
      <c r="AQ227" s="3"/>
      <c r="AR227" s="3"/>
    </row>
    <row r="228" spans="1:44" ht="16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S228" s="3"/>
      <c r="T228" s="3"/>
      <c r="U228" s="3"/>
      <c r="V228" s="3"/>
      <c r="W228" s="3"/>
      <c r="X228" s="3"/>
      <c r="Y228" s="3"/>
      <c r="Z228" s="3"/>
      <c r="AB228" s="3"/>
      <c r="AC228" s="3"/>
      <c r="AD228" s="3"/>
      <c r="AE228" s="3"/>
      <c r="AF228" s="3"/>
      <c r="AG228" s="3"/>
      <c r="AH228" s="3"/>
      <c r="AI228" s="3"/>
      <c r="AK228" s="3"/>
      <c r="AL228" s="3"/>
      <c r="AM228" s="3"/>
      <c r="AN228" s="3"/>
      <c r="AO228" s="3"/>
      <c r="AP228" s="3"/>
      <c r="AQ228" s="3"/>
      <c r="AR228" s="3"/>
    </row>
    <row r="229" spans="1:44" ht="16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S229" s="3"/>
      <c r="T229" s="3"/>
      <c r="U229" s="3"/>
      <c r="V229" s="3"/>
      <c r="W229" s="3"/>
      <c r="X229" s="3"/>
      <c r="Y229" s="3"/>
      <c r="Z229" s="3"/>
      <c r="AB229" s="3"/>
      <c r="AC229" s="3"/>
      <c r="AD229" s="3"/>
      <c r="AE229" s="3"/>
      <c r="AF229" s="3"/>
      <c r="AG229" s="3"/>
      <c r="AH229" s="3"/>
      <c r="AI229" s="3"/>
      <c r="AK229" s="3"/>
      <c r="AL229" s="3"/>
      <c r="AM229" s="3"/>
      <c r="AN229" s="3"/>
      <c r="AO229" s="3"/>
      <c r="AP229" s="3"/>
      <c r="AQ229" s="3"/>
      <c r="AR229" s="3"/>
    </row>
    <row r="230" spans="1:44" ht="16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S230" s="3"/>
      <c r="T230" s="3"/>
      <c r="U230" s="3"/>
      <c r="V230" s="3"/>
      <c r="W230" s="3"/>
      <c r="X230" s="3"/>
      <c r="Y230" s="3"/>
      <c r="Z230" s="3"/>
      <c r="AB230" s="3"/>
      <c r="AC230" s="3"/>
      <c r="AD230" s="3"/>
      <c r="AE230" s="3"/>
      <c r="AF230" s="3"/>
      <c r="AG230" s="3"/>
      <c r="AH230" s="3"/>
      <c r="AI230" s="3"/>
      <c r="AK230" s="3"/>
      <c r="AL230" s="3"/>
      <c r="AM230" s="3"/>
      <c r="AN230" s="3"/>
      <c r="AO230" s="3"/>
      <c r="AP230" s="3"/>
      <c r="AQ230" s="3"/>
      <c r="AR230" s="3"/>
    </row>
    <row r="231" spans="1:44" ht="16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S231" s="3"/>
      <c r="T231" s="3"/>
      <c r="U231" s="3"/>
      <c r="V231" s="3"/>
      <c r="W231" s="3"/>
      <c r="X231" s="3"/>
      <c r="Y231" s="3"/>
      <c r="Z231" s="3"/>
      <c r="AB231" s="3"/>
      <c r="AC231" s="3"/>
      <c r="AD231" s="3"/>
      <c r="AE231" s="3"/>
      <c r="AF231" s="3"/>
      <c r="AG231" s="3"/>
      <c r="AH231" s="3"/>
      <c r="AI231" s="3"/>
      <c r="AK231" s="3"/>
      <c r="AL231" s="3"/>
      <c r="AM231" s="3"/>
      <c r="AN231" s="3"/>
      <c r="AO231" s="3"/>
      <c r="AP231" s="3"/>
      <c r="AQ231" s="3"/>
      <c r="AR231" s="3"/>
    </row>
    <row r="232" spans="1:44" ht="16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S232" s="3"/>
      <c r="T232" s="3"/>
      <c r="U232" s="3"/>
      <c r="V232" s="3"/>
      <c r="W232" s="3"/>
      <c r="X232" s="3"/>
      <c r="Y232" s="3"/>
      <c r="Z232" s="3"/>
      <c r="AB232" s="3"/>
      <c r="AC232" s="3"/>
      <c r="AD232" s="3"/>
      <c r="AE232" s="3"/>
      <c r="AF232" s="3"/>
      <c r="AG232" s="3"/>
      <c r="AH232" s="3"/>
      <c r="AI232" s="3"/>
      <c r="AK232" s="3"/>
      <c r="AL232" s="3"/>
      <c r="AM232" s="3"/>
      <c r="AN232" s="3"/>
      <c r="AO232" s="3"/>
      <c r="AP232" s="3"/>
      <c r="AQ232" s="3"/>
      <c r="AR232" s="3"/>
    </row>
    <row r="233" spans="1:44" ht="16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S233" s="3"/>
      <c r="T233" s="3"/>
      <c r="U233" s="3"/>
      <c r="V233" s="3"/>
      <c r="W233" s="3"/>
      <c r="X233" s="3"/>
      <c r="Y233" s="3"/>
      <c r="Z233" s="3"/>
      <c r="AB233" s="3"/>
      <c r="AC233" s="3"/>
      <c r="AD233" s="3"/>
      <c r="AE233" s="3"/>
      <c r="AF233" s="3"/>
      <c r="AG233" s="3"/>
      <c r="AH233" s="3"/>
      <c r="AI233" s="3"/>
      <c r="AK233" s="3"/>
      <c r="AL233" s="3"/>
      <c r="AM233" s="3"/>
      <c r="AN233" s="3"/>
      <c r="AO233" s="3"/>
      <c r="AP233" s="3"/>
      <c r="AQ233" s="3"/>
      <c r="AR233" s="3"/>
    </row>
    <row r="234" spans="1:44" ht="16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S234" s="3"/>
      <c r="T234" s="3"/>
      <c r="U234" s="3"/>
      <c r="V234" s="3"/>
      <c r="W234" s="3"/>
      <c r="X234" s="3"/>
      <c r="Y234" s="3"/>
      <c r="Z234" s="3"/>
      <c r="AB234" s="3"/>
      <c r="AC234" s="3"/>
      <c r="AD234" s="3"/>
      <c r="AE234" s="3"/>
      <c r="AF234" s="3"/>
      <c r="AG234" s="3"/>
      <c r="AH234" s="3"/>
      <c r="AI234" s="3"/>
      <c r="AK234" s="3"/>
      <c r="AL234" s="3"/>
      <c r="AM234" s="3"/>
      <c r="AN234" s="3"/>
      <c r="AO234" s="3"/>
      <c r="AP234" s="3"/>
      <c r="AQ234" s="3"/>
      <c r="AR234" s="3"/>
    </row>
    <row r="235" spans="1:44" ht="16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S235" s="3"/>
      <c r="T235" s="3"/>
      <c r="U235" s="3"/>
      <c r="V235" s="3"/>
      <c r="W235" s="3"/>
      <c r="X235" s="3"/>
      <c r="Y235" s="3"/>
      <c r="Z235" s="3"/>
      <c r="AB235" s="3"/>
      <c r="AC235" s="3"/>
      <c r="AD235" s="3"/>
      <c r="AE235" s="3"/>
      <c r="AF235" s="3"/>
      <c r="AG235" s="3"/>
      <c r="AH235" s="3"/>
      <c r="AI235" s="3"/>
      <c r="AK235" s="3"/>
      <c r="AL235" s="3"/>
      <c r="AM235" s="3"/>
      <c r="AN235" s="3"/>
      <c r="AO235" s="3"/>
      <c r="AP235" s="3"/>
      <c r="AQ235" s="3"/>
      <c r="AR235" s="3"/>
    </row>
    <row r="236" spans="1:44" ht="16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S236" s="3"/>
      <c r="T236" s="3"/>
      <c r="U236" s="3"/>
      <c r="V236" s="3"/>
      <c r="W236" s="3"/>
      <c r="X236" s="3"/>
      <c r="Y236" s="3"/>
      <c r="Z236" s="3"/>
      <c r="AB236" s="3"/>
      <c r="AC236" s="3"/>
      <c r="AD236" s="3"/>
      <c r="AE236" s="3"/>
      <c r="AF236" s="3"/>
      <c r="AG236" s="3"/>
      <c r="AH236" s="3"/>
      <c r="AI236" s="3"/>
      <c r="AK236" s="3"/>
      <c r="AL236" s="3"/>
      <c r="AM236" s="3"/>
      <c r="AN236" s="3"/>
      <c r="AO236" s="3"/>
      <c r="AP236" s="3"/>
      <c r="AQ236" s="3"/>
      <c r="AR236" s="3"/>
    </row>
    <row r="237" spans="1:44" ht="16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S237" s="3"/>
      <c r="T237" s="3"/>
      <c r="U237" s="3"/>
      <c r="V237" s="3"/>
      <c r="W237" s="3"/>
      <c r="X237" s="3"/>
      <c r="Y237" s="3"/>
      <c r="Z237" s="3"/>
      <c r="AB237" s="3"/>
      <c r="AC237" s="3"/>
      <c r="AD237" s="3"/>
      <c r="AE237" s="3"/>
      <c r="AF237" s="3"/>
      <c r="AG237" s="3"/>
      <c r="AH237" s="3"/>
      <c r="AI237" s="3"/>
      <c r="AK237" s="3"/>
      <c r="AL237" s="3"/>
      <c r="AM237" s="3"/>
      <c r="AN237" s="3"/>
      <c r="AO237" s="3"/>
      <c r="AP237" s="3"/>
      <c r="AQ237" s="3"/>
      <c r="AR237" s="3"/>
    </row>
    <row r="238" spans="1:44" ht="16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S238" s="3"/>
      <c r="T238" s="3"/>
      <c r="U238" s="3"/>
      <c r="V238" s="3"/>
      <c r="W238" s="3"/>
      <c r="X238" s="3"/>
      <c r="Y238" s="3"/>
      <c r="Z238" s="3"/>
      <c r="AB238" s="3"/>
      <c r="AC238" s="3"/>
      <c r="AD238" s="3"/>
      <c r="AE238" s="3"/>
      <c r="AF238" s="3"/>
      <c r="AG238" s="3"/>
      <c r="AH238" s="3"/>
      <c r="AI238" s="3"/>
      <c r="AK238" s="3"/>
      <c r="AL238" s="3"/>
      <c r="AM238" s="3"/>
      <c r="AN238" s="3"/>
      <c r="AO238" s="3"/>
      <c r="AP238" s="3"/>
      <c r="AQ238" s="3"/>
      <c r="AR238" s="3"/>
    </row>
    <row r="239" spans="1:44" ht="16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S239" s="3"/>
      <c r="T239" s="3"/>
      <c r="U239" s="3"/>
      <c r="V239" s="3"/>
      <c r="W239" s="3"/>
      <c r="X239" s="3"/>
      <c r="Y239" s="3"/>
      <c r="Z239" s="3"/>
      <c r="AB239" s="3"/>
      <c r="AC239" s="3"/>
      <c r="AD239" s="3"/>
      <c r="AE239" s="3"/>
      <c r="AF239" s="3"/>
      <c r="AG239" s="3"/>
      <c r="AH239" s="3"/>
      <c r="AI239" s="3"/>
      <c r="AK239" s="3"/>
      <c r="AL239" s="3"/>
      <c r="AM239" s="3"/>
      <c r="AN239" s="3"/>
      <c r="AO239" s="3"/>
      <c r="AP239" s="3"/>
      <c r="AQ239" s="3"/>
      <c r="AR239" s="3"/>
    </row>
    <row r="240" spans="1:44" ht="16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S240" s="3"/>
      <c r="T240" s="3"/>
      <c r="U240" s="3"/>
      <c r="V240" s="3"/>
      <c r="W240" s="3"/>
      <c r="X240" s="3"/>
      <c r="Y240" s="3"/>
      <c r="Z240" s="3"/>
      <c r="AB240" s="3"/>
      <c r="AC240" s="3"/>
      <c r="AD240" s="3"/>
      <c r="AE240" s="3"/>
      <c r="AF240" s="3"/>
      <c r="AG240" s="3"/>
      <c r="AH240" s="3"/>
      <c r="AI240" s="3"/>
      <c r="AK240" s="3"/>
      <c r="AL240" s="3"/>
      <c r="AM240" s="3"/>
      <c r="AN240" s="3"/>
      <c r="AO240" s="3"/>
      <c r="AP240" s="3"/>
      <c r="AQ240" s="3"/>
      <c r="AR240" s="3"/>
    </row>
    <row r="241" spans="1:44" ht="16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S241" s="3"/>
      <c r="T241" s="3"/>
      <c r="U241" s="3"/>
      <c r="V241" s="3"/>
      <c r="W241" s="3"/>
      <c r="X241" s="3"/>
      <c r="Y241" s="3"/>
      <c r="Z241" s="3"/>
      <c r="AB241" s="3"/>
      <c r="AC241" s="3"/>
      <c r="AD241" s="3"/>
      <c r="AE241" s="3"/>
      <c r="AF241" s="3"/>
      <c r="AG241" s="3"/>
      <c r="AH241" s="3"/>
      <c r="AI241" s="3"/>
      <c r="AK241" s="3"/>
      <c r="AL241" s="3"/>
      <c r="AM241" s="3"/>
      <c r="AN241" s="3"/>
      <c r="AO241" s="3"/>
      <c r="AP241" s="3"/>
      <c r="AQ241" s="3"/>
      <c r="AR241" s="3"/>
    </row>
    <row r="242" spans="1:44" ht="16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S242" s="3"/>
      <c r="T242" s="3"/>
      <c r="U242" s="3"/>
      <c r="V242" s="3"/>
      <c r="W242" s="3"/>
      <c r="X242" s="3"/>
      <c r="Y242" s="3"/>
      <c r="Z242" s="3"/>
      <c r="AB242" s="3"/>
      <c r="AC242" s="3"/>
      <c r="AD242" s="3"/>
      <c r="AE242" s="3"/>
      <c r="AF242" s="3"/>
      <c r="AG242" s="3"/>
      <c r="AH242" s="3"/>
      <c r="AI242" s="3"/>
      <c r="AK242" s="3"/>
      <c r="AL242" s="3"/>
      <c r="AM242" s="3"/>
      <c r="AN242" s="3"/>
      <c r="AO242" s="3"/>
      <c r="AP242" s="3"/>
      <c r="AQ242" s="3"/>
      <c r="AR242" s="3"/>
    </row>
    <row r="243" spans="1:44" ht="16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S243" s="3"/>
      <c r="T243" s="3"/>
      <c r="U243" s="3"/>
      <c r="V243" s="3"/>
      <c r="W243" s="3"/>
      <c r="X243" s="3"/>
      <c r="Y243" s="3"/>
      <c r="Z243" s="3"/>
      <c r="AB243" s="3"/>
      <c r="AC243" s="3"/>
      <c r="AD243" s="3"/>
      <c r="AE243" s="3"/>
      <c r="AF243" s="3"/>
      <c r="AG243" s="3"/>
      <c r="AH243" s="3"/>
      <c r="AI243" s="3"/>
      <c r="AK243" s="3"/>
      <c r="AL243" s="3"/>
      <c r="AM243" s="3"/>
      <c r="AN243" s="3"/>
      <c r="AO243" s="3"/>
      <c r="AP243" s="3"/>
      <c r="AQ243" s="3"/>
      <c r="AR243" s="3"/>
    </row>
    <row r="244" spans="1:44" ht="16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S244" s="3"/>
      <c r="T244" s="3"/>
      <c r="U244" s="3"/>
      <c r="V244" s="3"/>
      <c r="W244" s="3"/>
      <c r="X244" s="3"/>
      <c r="Y244" s="3"/>
      <c r="Z244" s="3"/>
      <c r="AB244" s="3"/>
      <c r="AC244" s="3"/>
      <c r="AD244" s="3"/>
      <c r="AE244" s="3"/>
      <c r="AF244" s="3"/>
      <c r="AG244" s="3"/>
      <c r="AH244" s="3"/>
      <c r="AI244" s="3"/>
      <c r="AK244" s="3"/>
      <c r="AL244" s="3"/>
      <c r="AM244" s="3"/>
      <c r="AN244" s="3"/>
      <c r="AO244" s="3"/>
      <c r="AP244" s="3"/>
      <c r="AQ244" s="3"/>
      <c r="AR244" s="3"/>
    </row>
    <row r="245" spans="1:44" ht="16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S245" s="3"/>
      <c r="T245" s="3"/>
      <c r="U245" s="3"/>
      <c r="V245" s="3"/>
      <c r="W245" s="3"/>
      <c r="X245" s="3"/>
      <c r="Y245" s="3"/>
      <c r="Z245" s="3"/>
      <c r="AB245" s="3"/>
      <c r="AC245" s="3"/>
      <c r="AD245" s="3"/>
      <c r="AE245" s="3"/>
      <c r="AF245" s="3"/>
      <c r="AG245" s="3"/>
      <c r="AH245" s="3"/>
      <c r="AI245" s="3"/>
      <c r="AK245" s="3"/>
      <c r="AL245" s="3"/>
      <c r="AM245" s="3"/>
      <c r="AN245" s="3"/>
      <c r="AO245" s="3"/>
      <c r="AP245" s="3"/>
      <c r="AQ245" s="3"/>
      <c r="AR245" s="3"/>
    </row>
    <row r="246" spans="1:44" ht="16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S246" s="3"/>
      <c r="T246" s="3"/>
      <c r="U246" s="3"/>
      <c r="V246" s="3"/>
      <c r="W246" s="3"/>
      <c r="X246" s="3"/>
      <c r="Y246" s="3"/>
      <c r="Z246" s="3"/>
      <c r="AB246" s="3"/>
      <c r="AC246" s="3"/>
      <c r="AD246" s="3"/>
      <c r="AE246" s="3"/>
      <c r="AF246" s="3"/>
      <c r="AG246" s="3"/>
      <c r="AH246" s="3"/>
      <c r="AI246" s="3"/>
      <c r="AK246" s="3"/>
      <c r="AL246" s="3"/>
      <c r="AM246" s="3"/>
      <c r="AN246" s="3"/>
      <c r="AO246" s="3"/>
      <c r="AP246" s="3"/>
      <c r="AQ246" s="3"/>
      <c r="AR246" s="3"/>
    </row>
    <row r="247" spans="1:44" ht="16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S247" s="3"/>
      <c r="T247" s="3"/>
      <c r="U247" s="3"/>
      <c r="V247" s="3"/>
      <c r="W247" s="3"/>
      <c r="X247" s="3"/>
      <c r="Y247" s="3"/>
      <c r="Z247" s="3"/>
      <c r="AB247" s="3"/>
      <c r="AC247" s="3"/>
      <c r="AD247" s="3"/>
      <c r="AE247" s="3"/>
      <c r="AF247" s="3"/>
      <c r="AG247" s="3"/>
      <c r="AH247" s="3"/>
      <c r="AI247" s="3"/>
      <c r="AK247" s="3"/>
      <c r="AL247" s="3"/>
      <c r="AM247" s="3"/>
      <c r="AN247" s="3"/>
      <c r="AO247" s="3"/>
      <c r="AP247" s="3"/>
      <c r="AQ247" s="3"/>
      <c r="AR247" s="3"/>
    </row>
    <row r="248" spans="1:44" ht="16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S248" s="3"/>
      <c r="T248" s="3"/>
      <c r="U248" s="3"/>
      <c r="V248" s="3"/>
      <c r="W248" s="3"/>
      <c r="X248" s="3"/>
      <c r="Y248" s="3"/>
      <c r="Z248" s="3"/>
      <c r="AB248" s="3"/>
      <c r="AC248" s="3"/>
      <c r="AD248" s="3"/>
      <c r="AE248" s="3"/>
      <c r="AF248" s="3"/>
      <c r="AG248" s="3"/>
      <c r="AH248" s="3"/>
      <c r="AI248" s="3"/>
      <c r="AK248" s="3"/>
      <c r="AL248" s="3"/>
      <c r="AM248" s="3"/>
      <c r="AN248" s="3"/>
      <c r="AO248" s="3"/>
      <c r="AP248" s="3"/>
      <c r="AQ248" s="3"/>
      <c r="AR248" s="3"/>
    </row>
    <row r="249" spans="1:44" ht="16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S249" s="3"/>
      <c r="T249" s="3"/>
      <c r="U249" s="3"/>
      <c r="V249" s="3"/>
      <c r="W249" s="3"/>
      <c r="X249" s="3"/>
      <c r="Y249" s="3"/>
      <c r="Z249" s="3"/>
      <c r="AB249" s="3"/>
      <c r="AC249" s="3"/>
      <c r="AD249" s="3"/>
      <c r="AE249" s="3"/>
      <c r="AF249" s="3"/>
      <c r="AG249" s="3"/>
      <c r="AH249" s="3"/>
      <c r="AI249" s="3"/>
      <c r="AK249" s="3"/>
      <c r="AL249" s="3"/>
      <c r="AM249" s="3"/>
      <c r="AN249" s="3"/>
      <c r="AO249" s="3"/>
      <c r="AP249" s="3"/>
      <c r="AQ249" s="3"/>
      <c r="AR249" s="3"/>
    </row>
    <row r="250" spans="1:44" ht="16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S250" s="3"/>
      <c r="T250" s="3"/>
      <c r="U250" s="3"/>
      <c r="V250" s="3"/>
      <c r="W250" s="3"/>
      <c r="X250" s="3"/>
      <c r="Y250" s="3"/>
      <c r="Z250" s="3"/>
      <c r="AB250" s="3"/>
      <c r="AC250" s="3"/>
      <c r="AD250" s="3"/>
      <c r="AE250" s="3"/>
      <c r="AF250" s="3"/>
      <c r="AG250" s="3"/>
      <c r="AH250" s="3"/>
      <c r="AI250" s="3"/>
      <c r="AK250" s="3"/>
      <c r="AL250" s="3"/>
      <c r="AM250" s="3"/>
      <c r="AN250" s="3"/>
      <c r="AO250" s="3"/>
      <c r="AP250" s="3"/>
      <c r="AQ250" s="3"/>
      <c r="AR250" s="3"/>
    </row>
    <row r="251" spans="1:44" ht="16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S251" s="3"/>
      <c r="T251" s="3"/>
      <c r="U251" s="3"/>
      <c r="V251" s="3"/>
      <c r="W251" s="3"/>
      <c r="X251" s="3"/>
      <c r="Y251" s="3"/>
      <c r="Z251" s="3"/>
      <c r="AB251" s="3"/>
      <c r="AC251" s="3"/>
      <c r="AD251" s="3"/>
      <c r="AE251" s="3"/>
      <c r="AF251" s="3"/>
      <c r="AG251" s="3"/>
      <c r="AH251" s="3"/>
      <c r="AI251" s="3"/>
      <c r="AK251" s="3"/>
      <c r="AL251" s="3"/>
      <c r="AM251" s="3"/>
      <c r="AN251" s="3"/>
      <c r="AO251" s="3"/>
      <c r="AP251" s="3"/>
      <c r="AQ251" s="3"/>
      <c r="AR251" s="3"/>
    </row>
    <row r="252" spans="1:44" ht="16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S252" s="3"/>
      <c r="T252" s="3"/>
      <c r="U252" s="3"/>
      <c r="V252" s="3"/>
      <c r="W252" s="3"/>
      <c r="X252" s="3"/>
      <c r="Y252" s="3"/>
      <c r="Z252" s="3"/>
      <c r="AB252" s="3"/>
      <c r="AC252" s="3"/>
      <c r="AD252" s="3"/>
      <c r="AE252" s="3"/>
      <c r="AF252" s="3"/>
      <c r="AG252" s="3"/>
      <c r="AH252" s="3"/>
      <c r="AI252" s="3"/>
      <c r="AK252" s="3"/>
      <c r="AL252" s="3"/>
      <c r="AM252" s="3"/>
      <c r="AN252" s="3"/>
      <c r="AO252" s="3"/>
      <c r="AP252" s="3"/>
      <c r="AQ252" s="3"/>
      <c r="AR252" s="3"/>
    </row>
    <row r="253" spans="1:44" ht="16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S253" s="3"/>
      <c r="T253" s="3"/>
      <c r="U253" s="3"/>
      <c r="V253" s="3"/>
      <c r="W253" s="3"/>
      <c r="X253" s="3"/>
      <c r="Y253" s="3"/>
      <c r="Z253" s="3"/>
      <c r="AB253" s="3"/>
      <c r="AC253" s="3"/>
      <c r="AD253" s="3"/>
      <c r="AE253" s="3"/>
      <c r="AF253" s="3"/>
      <c r="AG253" s="3"/>
      <c r="AH253" s="3"/>
      <c r="AI253" s="3"/>
      <c r="AK253" s="3"/>
      <c r="AL253" s="3"/>
      <c r="AM253" s="3"/>
      <c r="AN253" s="3"/>
      <c r="AO253" s="3"/>
      <c r="AP253" s="3"/>
      <c r="AQ253" s="3"/>
      <c r="AR253" s="3"/>
    </row>
    <row r="254" spans="1:44" ht="16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S254" s="3"/>
      <c r="T254" s="3"/>
      <c r="U254" s="3"/>
      <c r="V254" s="3"/>
      <c r="W254" s="3"/>
      <c r="X254" s="3"/>
      <c r="Y254" s="3"/>
      <c r="Z254" s="3"/>
      <c r="AB254" s="3"/>
      <c r="AC254" s="3"/>
      <c r="AD254" s="3"/>
      <c r="AE254" s="3"/>
      <c r="AF254" s="3"/>
      <c r="AG254" s="3"/>
      <c r="AH254" s="3"/>
      <c r="AI254" s="3"/>
      <c r="AK254" s="3"/>
      <c r="AL254" s="3"/>
      <c r="AM254" s="3"/>
      <c r="AN254" s="3"/>
      <c r="AO254" s="3"/>
      <c r="AP254" s="3"/>
      <c r="AQ254" s="3"/>
      <c r="AR254" s="3"/>
    </row>
    <row r="255" spans="1:44" ht="16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S255" s="3"/>
      <c r="T255" s="3"/>
      <c r="U255" s="3"/>
      <c r="V255" s="3"/>
      <c r="W255" s="3"/>
      <c r="X255" s="3"/>
      <c r="Y255" s="3"/>
      <c r="Z255" s="3"/>
      <c r="AB255" s="3"/>
      <c r="AC255" s="3"/>
      <c r="AD255" s="3"/>
      <c r="AE255" s="3"/>
      <c r="AF255" s="3"/>
      <c r="AG255" s="3"/>
      <c r="AH255" s="3"/>
      <c r="AI255" s="3"/>
      <c r="AK255" s="3"/>
      <c r="AL255" s="3"/>
      <c r="AM255" s="3"/>
      <c r="AN255" s="3"/>
      <c r="AO255" s="3"/>
      <c r="AP255" s="3"/>
      <c r="AQ255" s="3"/>
      <c r="AR255" s="3"/>
    </row>
    <row r="256" spans="1:44" ht="16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S256" s="3"/>
      <c r="T256" s="3"/>
      <c r="U256" s="3"/>
      <c r="V256" s="3"/>
      <c r="W256" s="3"/>
      <c r="X256" s="3"/>
      <c r="Y256" s="3"/>
      <c r="Z256" s="3"/>
      <c r="AB256" s="3"/>
      <c r="AC256" s="3"/>
      <c r="AD256" s="3"/>
      <c r="AE256" s="3"/>
      <c r="AF256" s="3"/>
      <c r="AG256" s="3"/>
      <c r="AH256" s="3"/>
      <c r="AI256" s="3"/>
      <c r="AK256" s="3"/>
      <c r="AL256" s="3"/>
      <c r="AM256" s="3"/>
      <c r="AN256" s="3"/>
      <c r="AO256" s="3"/>
      <c r="AP256" s="3"/>
      <c r="AQ256" s="3"/>
      <c r="AR256" s="3"/>
    </row>
    <row r="257" spans="1:44" ht="16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S257" s="3"/>
      <c r="T257" s="3"/>
      <c r="U257" s="3"/>
      <c r="V257" s="3"/>
      <c r="W257" s="3"/>
      <c r="X257" s="3"/>
      <c r="Y257" s="3"/>
      <c r="Z257" s="3"/>
      <c r="AB257" s="3"/>
      <c r="AC257" s="3"/>
      <c r="AD257" s="3"/>
      <c r="AE257" s="3"/>
      <c r="AF257" s="3"/>
      <c r="AG257" s="3"/>
      <c r="AH257" s="3"/>
      <c r="AI257" s="3"/>
      <c r="AK257" s="3"/>
      <c r="AL257" s="3"/>
      <c r="AM257" s="3"/>
      <c r="AN257" s="3"/>
      <c r="AO257" s="3"/>
      <c r="AP257" s="3"/>
      <c r="AQ257" s="3"/>
      <c r="AR257" s="3"/>
    </row>
    <row r="258" spans="1:44" ht="16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S258" s="3"/>
      <c r="T258" s="3"/>
      <c r="U258" s="3"/>
      <c r="V258" s="3"/>
      <c r="W258" s="3"/>
      <c r="X258" s="3"/>
      <c r="Y258" s="3"/>
      <c r="Z258" s="3"/>
      <c r="AB258" s="3"/>
      <c r="AC258" s="3"/>
      <c r="AD258" s="3"/>
      <c r="AE258" s="3"/>
      <c r="AF258" s="3"/>
      <c r="AG258" s="3"/>
      <c r="AH258" s="3"/>
      <c r="AI258" s="3"/>
      <c r="AK258" s="3"/>
      <c r="AL258" s="3"/>
      <c r="AM258" s="3"/>
      <c r="AN258" s="3"/>
      <c r="AO258" s="3"/>
      <c r="AP258" s="3"/>
      <c r="AQ258" s="3"/>
      <c r="AR258" s="3"/>
    </row>
    <row r="259" spans="1:44" ht="16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S259" s="3"/>
      <c r="T259" s="3"/>
      <c r="U259" s="3"/>
      <c r="V259" s="3"/>
      <c r="W259" s="3"/>
      <c r="X259" s="3"/>
      <c r="Y259" s="3"/>
      <c r="Z259" s="3"/>
      <c r="AB259" s="3"/>
      <c r="AC259" s="3"/>
      <c r="AD259" s="3"/>
      <c r="AE259" s="3"/>
      <c r="AF259" s="3"/>
      <c r="AG259" s="3"/>
      <c r="AH259" s="3"/>
      <c r="AI259" s="3"/>
      <c r="AK259" s="3"/>
      <c r="AL259" s="3"/>
      <c r="AM259" s="3"/>
      <c r="AN259" s="3"/>
      <c r="AO259" s="3"/>
      <c r="AP259" s="3"/>
      <c r="AQ259" s="3"/>
      <c r="AR259" s="3"/>
    </row>
    <row r="260" spans="1:44" ht="16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S260" s="3"/>
      <c r="T260" s="3"/>
      <c r="U260" s="3"/>
      <c r="V260" s="3"/>
      <c r="W260" s="3"/>
      <c r="X260" s="3"/>
      <c r="Y260" s="3"/>
      <c r="Z260" s="3"/>
      <c r="AB260" s="3"/>
      <c r="AC260" s="3"/>
      <c r="AD260" s="3"/>
      <c r="AE260" s="3"/>
      <c r="AF260" s="3"/>
      <c r="AG260" s="3"/>
      <c r="AH260" s="3"/>
      <c r="AI260" s="3"/>
      <c r="AK260" s="3"/>
      <c r="AL260" s="3"/>
      <c r="AM260" s="3"/>
      <c r="AN260" s="3"/>
      <c r="AO260" s="3"/>
      <c r="AP260" s="3"/>
      <c r="AQ260" s="3"/>
      <c r="AR260" s="3"/>
    </row>
    <row r="261" spans="1:44" ht="16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S261" s="3"/>
      <c r="T261" s="3"/>
      <c r="U261" s="3"/>
      <c r="V261" s="3"/>
      <c r="W261" s="3"/>
      <c r="X261" s="3"/>
      <c r="Y261" s="3"/>
      <c r="Z261" s="3"/>
      <c r="AB261" s="3"/>
      <c r="AC261" s="3"/>
      <c r="AD261" s="3"/>
      <c r="AE261" s="3"/>
      <c r="AF261" s="3"/>
      <c r="AG261" s="3"/>
      <c r="AH261" s="3"/>
      <c r="AI261" s="3"/>
      <c r="AK261" s="3"/>
      <c r="AL261" s="3"/>
      <c r="AM261" s="3"/>
      <c r="AN261" s="3"/>
      <c r="AO261" s="3"/>
      <c r="AP261" s="3"/>
      <c r="AQ261" s="3"/>
      <c r="AR261" s="3"/>
    </row>
    <row r="262" spans="1:44" ht="16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S262" s="3"/>
      <c r="T262" s="3"/>
      <c r="U262" s="3"/>
      <c r="V262" s="3"/>
      <c r="W262" s="3"/>
      <c r="X262" s="3"/>
      <c r="Y262" s="3"/>
      <c r="Z262" s="3"/>
      <c r="AB262" s="3"/>
      <c r="AC262" s="3"/>
      <c r="AD262" s="3"/>
      <c r="AE262" s="3"/>
      <c r="AF262" s="3"/>
      <c r="AG262" s="3"/>
      <c r="AH262" s="3"/>
      <c r="AI262" s="3"/>
      <c r="AK262" s="3"/>
      <c r="AL262" s="3"/>
      <c r="AM262" s="3"/>
      <c r="AN262" s="3"/>
      <c r="AO262" s="3"/>
      <c r="AP262" s="3"/>
      <c r="AQ262" s="3"/>
      <c r="AR262" s="3"/>
    </row>
    <row r="263" spans="1:44" ht="16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S263" s="3"/>
      <c r="T263" s="3"/>
      <c r="U263" s="3"/>
      <c r="V263" s="3"/>
      <c r="W263" s="3"/>
      <c r="X263" s="3"/>
      <c r="Y263" s="3"/>
      <c r="Z263" s="3"/>
      <c r="AB263" s="3"/>
      <c r="AC263" s="3"/>
      <c r="AD263" s="3"/>
      <c r="AE263" s="3"/>
      <c r="AF263" s="3"/>
      <c r="AG263" s="3"/>
      <c r="AH263" s="3"/>
      <c r="AI263" s="3"/>
      <c r="AK263" s="3"/>
      <c r="AL263" s="3"/>
      <c r="AM263" s="3"/>
      <c r="AN263" s="3"/>
      <c r="AO263" s="3"/>
      <c r="AP263" s="3"/>
      <c r="AQ263" s="3"/>
      <c r="AR263" s="3"/>
    </row>
    <row r="264" spans="1:44" ht="16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S264" s="3"/>
      <c r="T264" s="3"/>
      <c r="U264" s="3"/>
      <c r="V264" s="3"/>
      <c r="W264" s="3"/>
      <c r="X264" s="3"/>
      <c r="Y264" s="3"/>
      <c r="Z264" s="3"/>
      <c r="AB264" s="3"/>
      <c r="AC264" s="3"/>
      <c r="AD264" s="3"/>
      <c r="AE264" s="3"/>
      <c r="AF264" s="3"/>
      <c r="AG264" s="3"/>
      <c r="AH264" s="3"/>
      <c r="AI264" s="3"/>
      <c r="AK264" s="3"/>
      <c r="AL264" s="3"/>
      <c r="AM264" s="3"/>
      <c r="AN264" s="3"/>
      <c r="AO264" s="3"/>
      <c r="AP264" s="3"/>
      <c r="AQ264" s="3"/>
      <c r="AR264" s="3"/>
    </row>
    <row r="265" spans="1:44" ht="16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S265" s="3"/>
      <c r="T265" s="3"/>
      <c r="U265" s="3"/>
      <c r="V265" s="3"/>
      <c r="W265" s="3"/>
      <c r="X265" s="3"/>
      <c r="Y265" s="3"/>
      <c r="Z265" s="3"/>
      <c r="AB265" s="3"/>
      <c r="AC265" s="3"/>
      <c r="AD265" s="3"/>
      <c r="AE265" s="3"/>
      <c r="AF265" s="3"/>
      <c r="AG265" s="3"/>
      <c r="AH265" s="3"/>
      <c r="AI265" s="3"/>
      <c r="AK265" s="3"/>
      <c r="AL265" s="3"/>
      <c r="AM265" s="3"/>
      <c r="AN265" s="3"/>
      <c r="AO265" s="3"/>
      <c r="AP265" s="3"/>
      <c r="AQ265" s="3"/>
      <c r="AR265" s="3"/>
    </row>
    <row r="266" spans="1:44" ht="16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S266" s="3"/>
      <c r="T266" s="3"/>
      <c r="U266" s="3"/>
      <c r="V266" s="3"/>
      <c r="W266" s="3"/>
      <c r="X266" s="3"/>
      <c r="Y266" s="3"/>
      <c r="Z266" s="3"/>
      <c r="AB266" s="3"/>
      <c r="AC266" s="3"/>
      <c r="AD266" s="3"/>
      <c r="AE266" s="3"/>
      <c r="AF266" s="3"/>
      <c r="AG266" s="3"/>
      <c r="AH266" s="3"/>
      <c r="AI266" s="3"/>
      <c r="AK266" s="3"/>
      <c r="AL266" s="3"/>
      <c r="AM266" s="3"/>
      <c r="AN266" s="3"/>
      <c r="AO266" s="3"/>
      <c r="AP266" s="3"/>
      <c r="AQ266" s="3"/>
      <c r="AR266" s="3"/>
    </row>
    <row r="267" spans="1:44" ht="16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S267" s="3"/>
      <c r="T267" s="3"/>
      <c r="U267" s="3"/>
      <c r="V267" s="3"/>
      <c r="W267" s="3"/>
      <c r="X267" s="3"/>
      <c r="Y267" s="3"/>
      <c r="Z267" s="3"/>
      <c r="AB267" s="3"/>
      <c r="AC267" s="3"/>
      <c r="AD267" s="3"/>
      <c r="AE267" s="3"/>
      <c r="AF267" s="3"/>
      <c r="AG267" s="3"/>
      <c r="AH267" s="3"/>
      <c r="AI267" s="3"/>
      <c r="AK267" s="3"/>
      <c r="AL267" s="3"/>
      <c r="AM267" s="3"/>
      <c r="AN267" s="3"/>
      <c r="AO267" s="3"/>
      <c r="AP267" s="3"/>
      <c r="AQ267" s="3"/>
      <c r="AR267" s="3"/>
    </row>
    <row r="268" spans="1:44" ht="16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S268" s="3"/>
      <c r="T268" s="3"/>
      <c r="U268" s="3"/>
      <c r="V268" s="3"/>
      <c r="W268" s="3"/>
      <c r="X268" s="3"/>
      <c r="Y268" s="3"/>
      <c r="Z268" s="3"/>
      <c r="AB268" s="3"/>
      <c r="AC268" s="3"/>
      <c r="AD268" s="3"/>
      <c r="AE268" s="3"/>
      <c r="AF268" s="3"/>
      <c r="AG268" s="3"/>
      <c r="AH268" s="3"/>
      <c r="AI268" s="3"/>
      <c r="AK268" s="3"/>
      <c r="AL268" s="3"/>
      <c r="AM268" s="3"/>
      <c r="AN268" s="3"/>
      <c r="AO268" s="3"/>
      <c r="AP268" s="3"/>
      <c r="AQ268" s="3"/>
      <c r="AR268" s="3"/>
    </row>
    <row r="269" spans="1:44" ht="16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S269" s="3"/>
      <c r="T269" s="3"/>
      <c r="U269" s="3"/>
      <c r="V269" s="3"/>
      <c r="W269" s="3"/>
      <c r="X269" s="3"/>
      <c r="Y269" s="3"/>
      <c r="Z269" s="3"/>
      <c r="AB269" s="3"/>
      <c r="AC269" s="3"/>
      <c r="AD269" s="3"/>
      <c r="AE269" s="3"/>
      <c r="AF269" s="3"/>
      <c r="AG269" s="3"/>
      <c r="AH269" s="3"/>
      <c r="AI269" s="3"/>
      <c r="AK269" s="3"/>
      <c r="AL269" s="3"/>
      <c r="AM269" s="3"/>
      <c r="AN269" s="3"/>
      <c r="AO269" s="3"/>
      <c r="AP269" s="3"/>
      <c r="AQ269" s="3"/>
      <c r="AR269" s="3"/>
    </row>
    <row r="270" spans="1:44" ht="16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S270" s="3"/>
      <c r="T270" s="3"/>
      <c r="U270" s="3"/>
      <c r="V270" s="3"/>
      <c r="W270" s="3"/>
      <c r="X270" s="3"/>
      <c r="Y270" s="3"/>
      <c r="Z270" s="3"/>
      <c r="AB270" s="3"/>
      <c r="AC270" s="3"/>
      <c r="AD270" s="3"/>
      <c r="AE270" s="3"/>
      <c r="AF270" s="3"/>
      <c r="AG270" s="3"/>
      <c r="AH270" s="3"/>
      <c r="AI270" s="3"/>
      <c r="AK270" s="3"/>
      <c r="AL270" s="3"/>
      <c r="AM270" s="3"/>
      <c r="AN270" s="3"/>
      <c r="AO270" s="3"/>
      <c r="AP270" s="3"/>
      <c r="AQ270" s="3"/>
      <c r="AR270" s="3"/>
    </row>
    <row r="271" spans="1:44" ht="16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S271" s="3"/>
      <c r="T271" s="3"/>
      <c r="U271" s="3"/>
      <c r="V271" s="3"/>
      <c r="W271" s="3"/>
      <c r="X271" s="3"/>
      <c r="Y271" s="3"/>
      <c r="Z271" s="3"/>
      <c r="AB271" s="3"/>
      <c r="AC271" s="3"/>
      <c r="AD271" s="3"/>
      <c r="AE271" s="3"/>
      <c r="AF271" s="3"/>
      <c r="AG271" s="3"/>
      <c r="AH271" s="3"/>
      <c r="AI271" s="3"/>
      <c r="AK271" s="3"/>
      <c r="AL271" s="3"/>
      <c r="AM271" s="3"/>
      <c r="AN271" s="3"/>
      <c r="AO271" s="3"/>
      <c r="AP271" s="3"/>
      <c r="AQ271" s="3"/>
      <c r="AR271" s="3"/>
    </row>
    <row r="272" spans="1:44" ht="16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S272" s="3"/>
      <c r="T272" s="3"/>
      <c r="U272" s="3"/>
      <c r="V272" s="3"/>
      <c r="W272" s="3"/>
      <c r="X272" s="3"/>
      <c r="Y272" s="3"/>
      <c r="Z272" s="3"/>
      <c r="AB272" s="3"/>
      <c r="AC272" s="3"/>
      <c r="AD272" s="3"/>
      <c r="AE272" s="3"/>
      <c r="AF272" s="3"/>
      <c r="AG272" s="3"/>
      <c r="AH272" s="3"/>
      <c r="AI272" s="3"/>
      <c r="AK272" s="3"/>
      <c r="AL272" s="3"/>
      <c r="AM272" s="3"/>
      <c r="AN272" s="3"/>
      <c r="AO272" s="3"/>
      <c r="AP272" s="3"/>
      <c r="AQ272" s="3"/>
      <c r="AR272" s="3"/>
    </row>
    <row r="273" spans="1:44" ht="16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S273" s="3"/>
      <c r="T273" s="3"/>
      <c r="U273" s="3"/>
      <c r="V273" s="3"/>
      <c r="W273" s="3"/>
      <c r="X273" s="3"/>
      <c r="Y273" s="3"/>
      <c r="Z273" s="3"/>
      <c r="AB273" s="3"/>
      <c r="AC273" s="3"/>
      <c r="AD273" s="3"/>
      <c r="AE273" s="3"/>
      <c r="AF273" s="3"/>
      <c r="AG273" s="3"/>
      <c r="AH273" s="3"/>
      <c r="AI273" s="3"/>
      <c r="AK273" s="3"/>
      <c r="AL273" s="3"/>
      <c r="AM273" s="3"/>
      <c r="AN273" s="3"/>
      <c r="AO273" s="3"/>
      <c r="AP273" s="3"/>
      <c r="AQ273" s="3"/>
      <c r="AR273" s="3"/>
    </row>
    <row r="274" spans="1:44" ht="16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S274" s="3"/>
      <c r="T274" s="3"/>
      <c r="U274" s="3"/>
      <c r="V274" s="3"/>
      <c r="W274" s="3"/>
      <c r="X274" s="3"/>
      <c r="Y274" s="3"/>
      <c r="Z274" s="3"/>
      <c r="AB274" s="3"/>
      <c r="AC274" s="3"/>
      <c r="AD274" s="3"/>
      <c r="AE274" s="3"/>
      <c r="AF274" s="3"/>
      <c r="AG274" s="3"/>
      <c r="AH274" s="3"/>
      <c r="AI274" s="3"/>
      <c r="AK274" s="3"/>
      <c r="AL274" s="3"/>
      <c r="AM274" s="3"/>
      <c r="AN274" s="3"/>
      <c r="AO274" s="3"/>
      <c r="AP274" s="3"/>
      <c r="AQ274" s="3"/>
      <c r="AR274" s="3"/>
    </row>
    <row r="275" spans="1:44" ht="16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S275" s="3"/>
      <c r="T275" s="3"/>
      <c r="U275" s="3"/>
      <c r="V275" s="3"/>
      <c r="W275" s="3"/>
      <c r="X275" s="3"/>
      <c r="Y275" s="3"/>
      <c r="Z275" s="3"/>
      <c r="AB275" s="3"/>
      <c r="AC275" s="3"/>
      <c r="AD275" s="3"/>
      <c r="AE275" s="3"/>
      <c r="AF275" s="3"/>
      <c r="AG275" s="3"/>
      <c r="AH275" s="3"/>
      <c r="AI275" s="3"/>
      <c r="AK275" s="3"/>
      <c r="AL275" s="3"/>
      <c r="AM275" s="3"/>
      <c r="AN275" s="3"/>
      <c r="AO275" s="3"/>
      <c r="AP275" s="3"/>
      <c r="AQ275" s="3"/>
      <c r="AR275" s="3"/>
    </row>
    <row r="276" spans="1:44" ht="16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S276" s="3"/>
      <c r="T276" s="3"/>
      <c r="U276" s="3"/>
      <c r="V276" s="3"/>
      <c r="W276" s="3"/>
      <c r="X276" s="3"/>
      <c r="Y276" s="3"/>
      <c r="Z276" s="3"/>
      <c r="AB276" s="3"/>
      <c r="AC276" s="3"/>
      <c r="AD276" s="3"/>
      <c r="AE276" s="3"/>
      <c r="AF276" s="3"/>
      <c r="AG276" s="3"/>
      <c r="AH276" s="3"/>
      <c r="AI276" s="3"/>
      <c r="AK276" s="3"/>
      <c r="AL276" s="3"/>
      <c r="AM276" s="3"/>
      <c r="AN276" s="3"/>
      <c r="AO276" s="3"/>
      <c r="AP276" s="3"/>
      <c r="AQ276" s="3"/>
      <c r="AR276" s="3"/>
    </row>
    <row r="277" spans="1:44" ht="16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S277" s="3"/>
      <c r="T277" s="3"/>
      <c r="U277" s="3"/>
      <c r="V277" s="3"/>
      <c r="W277" s="3"/>
      <c r="X277" s="3"/>
      <c r="Y277" s="3"/>
      <c r="Z277" s="3"/>
      <c r="AB277" s="3"/>
      <c r="AC277" s="3"/>
      <c r="AD277" s="3"/>
      <c r="AE277" s="3"/>
      <c r="AF277" s="3"/>
      <c r="AG277" s="3"/>
      <c r="AH277" s="3"/>
      <c r="AI277" s="3"/>
      <c r="AK277" s="3"/>
      <c r="AL277" s="3"/>
      <c r="AM277" s="3"/>
      <c r="AN277" s="3"/>
      <c r="AO277" s="3"/>
      <c r="AP277" s="3"/>
      <c r="AQ277" s="3"/>
      <c r="AR277" s="3"/>
    </row>
    <row r="278" spans="1:44" ht="16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S278" s="3"/>
      <c r="T278" s="3"/>
      <c r="U278" s="3"/>
      <c r="V278" s="3"/>
      <c r="W278" s="3"/>
      <c r="X278" s="3"/>
      <c r="Y278" s="3"/>
      <c r="Z278" s="3"/>
      <c r="AB278" s="3"/>
      <c r="AC278" s="3"/>
      <c r="AD278" s="3"/>
      <c r="AE278" s="3"/>
      <c r="AF278" s="3"/>
      <c r="AG278" s="3"/>
      <c r="AH278" s="3"/>
      <c r="AI278" s="3"/>
      <c r="AK278" s="3"/>
      <c r="AL278" s="3"/>
      <c r="AM278" s="3"/>
      <c r="AN278" s="3"/>
      <c r="AO278" s="3"/>
      <c r="AP278" s="3"/>
      <c r="AQ278" s="3"/>
      <c r="AR278" s="3"/>
    </row>
    <row r="279" spans="1:44" ht="16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S279" s="3"/>
      <c r="T279" s="3"/>
      <c r="U279" s="3"/>
      <c r="V279" s="3"/>
      <c r="W279" s="3"/>
      <c r="X279" s="3"/>
      <c r="Y279" s="3"/>
      <c r="Z279" s="3"/>
      <c r="AB279" s="3"/>
      <c r="AC279" s="3"/>
      <c r="AD279" s="3"/>
      <c r="AE279" s="3"/>
      <c r="AF279" s="3"/>
      <c r="AG279" s="3"/>
      <c r="AH279" s="3"/>
      <c r="AI279" s="3"/>
      <c r="AK279" s="3"/>
      <c r="AL279" s="3"/>
      <c r="AM279" s="3"/>
      <c r="AN279" s="3"/>
      <c r="AO279" s="3"/>
      <c r="AP279" s="3"/>
      <c r="AQ279" s="3"/>
      <c r="AR279" s="3"/>
    </row>
    <row r="280" spans="1:44" ht="16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S280" s="3"/>
      <c r="T280" s="3"/>
      <c r="U280" s="3"/>
      <c r="V280" s="3"/>
      <c r="W280" s="3"/>
      <c r="X280" s="3"/>
      <c r="Y280" s="3"/>
      <c r="Z280" s="3"/>
      <c r="AB280" s="3"/>
      <c r="AC280" s="3"/>
      <c r="AD280" s="3"/>
      <c r="AE280" s="3"/>
      <c r="AF280" s="3"/>
      <c r="AG280" s="3"/>
      <c r="AH280" s="3"/>
      <c r="AI280" s="3"/>
      <c r="AK280" s="3"/>
      <c r="AL280" s="3"/>
      <c r="AM280" s="3"/>
      <c r="AN280" s="3"/>
      <c r="AO280" s="3"/>
      <c r="AP280" s="3"/>
      <c r="AQ280" s="3"/>
      <c r="AR280" s="3"/>
    </row>
    <row r="281" spans="1:44" ht="16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S281" s="3"/>
      <c r="T281" s="3"/>
      <c r="U281" s="3"/>
      <c r="V281" s="3"/>
      <c r="W281" s="3"/>
      <c r="X281" s="3"/>
      <c r="Y281" s="3"/>
      <c r="Z281" s="3"/>
      <c r="AB281" s="3"/>
      <c r="AC281" s="3"/>
      <c r="AD281" s="3"/>
      <c r="AE281" s="3"/>
      <c r="AF281" s="3"/>
      <c r="AG281" s="3"/>
      <c r="AH281" s="3"/>
      <c r="AI281" s="3"/>
      <c r="AK281" s="3"/>
      <c r="AL281" s="3"/>
      <c r="AM281" s="3"/>
      <c r="AN281" s="3"/>
      <c r="AO281" s="3"/>
      <c r="AP281" s="3"/>
      <c r="AQ281" s="3"/>
      <c r="AR281" s="3"/>
    </row>
    <row r="282" spans="1:44" ht="16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S282" s="3"/>
      <c r="T282" s="3"/>
      <c r="U282" s="3"/>
      <c r="V282" s="3"/>
      <c r="W282" s="3"/>
      <c r="X282" s="3"/>
      <c r="Y282" s="3"/>
      <c r="Z282" s="3"/>
      <c r="AB282" s="3"/>
      <c r="AC282" s="3"/>
      <c r="AD282" s="3"/>
      <c r="AE282" s="3"/>
      <c r="AF282" s="3"/>
      <c r="AG282" s="3"/>
      <c r="AH282" s="3"/>
      <c r="AI282" s="3"/>
      <c r="AK282" s="3"/>
      <c r="AL282" s="3"/>
      <c r="AM282" s="3"/>
      <c r="AN282" s="3"/>
      <c r="AO282" s="3"/>
      <c r="AP282" s="3"/>
      <c r="AQ282" s="3"/>
      <c r="AR282" s="3"/>
    </row>
    <row r="283" spans="1:44" ht="16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S283" s="3"/>
      <c r="T283" s="3"/>
      <c r="U283" s="3"/>
      <c r="V283" s="3"/>
      <c r="W283" s="3"/>
      <c r="X283" s="3"/>
      <c r="Y283" s="3"/>
      <c r="Z283" s="3"/>
      <c r="AB283" s="3"/>
      <c r="AC283" s="3"/>
      <c r="AD283" s="3"/>
      <c r="AE283" s="3"/>
      <c r="AF283" s="3"/>
      <c r="AG283" s="3"/>
      <c r="AH283" s="3"/>
      <c r="AI283" s="3"/>
      <c r="AK283" s="3"/>
      <c r="AL283" s="3"/>
      <c r="AM283" s="3"/>
      <c r="AN283" s="3"/>
      <c r="AO283" s="3"/>
      <c r="AP283" s="3"/>
      <c r="AQ283" s="3"/>
      <c r="AR283" s="3"/>
    </row>
    <row r="284" spans="1:44" ht="16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S284" s="3"/>
      <c r="T284" s="3"/>
      <c r="U284" s="3"/>
      <c r="V284" s="3"/>
      <c r="W284" s="3"/>
      <c r="X284" s="3"/>
      <c r="Y284" s="3"/>
      <c r="Z284" s="3"/>
      <c r="AB284" s="3"/>
      <c r="AC284" s="3"/>
      <c r="AD284" s="3"/>
      <c r="AE284" s="3"/>
      <c r="AF284" s="3"/>
      <c r="AG284" s="3"/>
      <c r="AH284" s="3"/>
      <c r="AI284" s="3"/>
      <c r="AK284" s="3"/>
      <c r="AL284" s="3"/>
      <c r="AM284" s="3"/>
      <c r="AN284" s="3"/>
      <c r="AO284" s="3"/>
      <c r="AP284" s="3"/>
      <c r="AQ284" s="3"/>
      <c r="AR284" s="3"/>
    </row>
    <row r="285" spans="1:44" ht="16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S285" s="3"/>
      <c r="T285" s="3"/>
      <c r="U285" s="3"/>
      <c r="V285" s="3"/>
      <c r="W285" s="3"/>
      <c r="X285" s="3"/>
      <c r="Y285" s="3"/>
      <c r="Z285" s="3"/>
      <c r="AB285" s="3"/>
      <c r="AC285" s="3"/>
      <c r="AD285" s="3"/>
      <c r="AE285" s="3"/>
      <c r="AF285" s="3"/>
      <c r="AG285" s="3"/>
      <c r="AH285" s="3"/>
      <c r="AI285" s="3"/>
      <c r="AK285" s="3"/>
      <c r="AL285" s="3"/>
      <c r="AM285" s="3"/>
      <c r="AN285" s="3"/>
      <c r="AO285" s="3"/>
      <c r="AP285" s="3"/>
      <c r="AQ285" s="3"/>
      <c r="AR285" s="3"/>
    </row>
    <row r="286" spans="1:44" ht="16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S286" s="3"/>
      <c r="T286" s="3"/>
      <c r="U286" s="3"/>
      <c r="V286" s="3"/>
      <c r="W286" s="3"/>
      <c r="X286" s="3"/>
      <c r="Y286" s="3"/>
      <c r="Z286" s="3"/>
      <c r="AB286" s="3"/>
      <c r="AC286" s="3"/>
      <c r="AD286" s="3"/>
      <c r="AE286" s="3"/>
      <c r="AF286" s="3"/>
      <c r="AG286" s="3"/>
      <c r="AH286" s="3"/>
      <c r="AI286" s="3"/>
      <c r="AK286" s="3"/>
      <c r="AL286" s="3"/>
      <c r="AM286" s="3"/>
      <c r="AN286" s="3"/>
      <c r="AO286" s="3"/>
      <c r="AP286" s="3"/>
      <c r="AQ286" s="3"/>
      <c r="AR286" s="3"/>
    </row>
    <row r="287" spans="1:44" ht="16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S287" s="3"/>
      <c r="T287" s="3"/>
      <c r="U287" s="3"/>
      <c r="V287" s="3"/>
      <c r="W287" s="3"/>
      <c r="X287" s="3"/>
      <c r="Y287" s="3"/>
      <c r="Z287" s="3"/>
      <c r="AB287" s="3"/>
      <c r="AC287" s="3"/>
      <c r="AD287" s="3"/>
      <c r="AE287" s="3"/>
      <c r="AF287" s="3"/>
      <c r="AG287" s="3"/>
      <c r="AH287" s="3"/>
      <c r="AI287" s="3"/>
      <c r="AK287" s="3"/>
      <c r="AL287" s="3"/>
      <c r="AM287" s="3"/>
      <c r="AN287" s="3"/>
      <c r="AO287" s="3"/>
      <c r="AP287" s="3"/>
      <c r="AQ287" s="3"/>
      <c r="AR287" s="3"/>
    </row>
    <row r="288" spans="1:44" ht="16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S288" s="3"/>
      <c r="T288" s="3"/>
      <c r="U288" s="3"/>
      <c r="V288" s="3"/>
      <c r="W288" s="3"/>
      <c r="X288" s="3"/>
      <c r="Y288" s="3"/>
      <c r="Z288" s="3"/>
      <c r="AB288" s="3"/>
      <c r="AC288" s="3"/>
      <c r="AD288" s="3"/>
      <c r="AE288" s="3"/>
      <c r="AF288" s="3"/>
      <c r="AG288" s="3"/>
      <c r="AH288" s="3"/>
      <c r="AI288" s="3"/>
      <c r="AK288" s="3"/>
      <c r="AL288" s="3"/>
      <c r="AM288" s="3"/>
      <c r="AN288" s="3"/>
      <c r="AO288" s="3"/>
      <c r="AP288" s="3"/>
      <c r="AQ288" s="3"/>
      <c r="AR288" s="3"/>
    </row>
    <row r="289" spans="1:44" ht="16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S289" s="3"/>
      <c r="T289" s="3"/>
      <c r="U289" s="3"/>
      <c r="V289" s="3"/>
      <c r="W289" s="3"/>
      <c r="X289" s="3"/>
      <c r="Y289" s="3"/>
      <c r="Z289" s="3"/>
      <c r="AB289" s="3"/>
      <c r="AC289" s="3"/>
      <c r="AD289" s="3"/>
      <c r="AE289" s="3"/>
      <c r="AF289" s="3"/>
      <c r="AG289" s="3"/>
      <c r="AH289" s="3"/>
      <c r="AI289" s="3"/>
      <c r="AK289" s="3"/>
      <c r="AL289" s="3"/>
      <c r="AM289" s="3"/>
      <c r="AN289" s="3"/>
      <c r="AO289" s="3"/>
      <c r="AP289" s="3"/>
      <c r="AQ289" s="3"/>
      <c r="AR289" s="3"/>
    </row>
    <row r="290" spans="1:44" ht="16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S290" s="3"/>
      <c r="T290" s="3"/>
      <c r="U290" s="3"/>
      <c r="V290" s="3"/>
      <c r="W290" s="3"/>
      <c r="X290" s="3"/>
      <c r="Y290" s="3"/>
      <c r="Z290" s="3"/>
      <c r="AB290" s="3"/>
      <c r="AC290" s="3"/>
      <c r="AD290" s="3"/>
      <c r="AE290" s="3"/>
      <c r="AF290" s="3"/>
      <c r="AG290" s="3"/>
      <c r="AH290" s="3"/>
      <c r="AI290" s="3"/>
      <c r="AK290" s="3"/>
      <c r="AL290" s="3"/>
      <c r="AM290" s="3"/>
      <c r="AN290" s="3"/>
      <c r="AO290" s="3"/>
      <c r="AP290" s="3"/>
      <c r="AQ290" s="3"/>
      <c r="AR290" s="3"/>
    </row>
    <row r="291" spans="1:44" ht="16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S291" s="3"/>
      <c r="T291" s="3"/>
      <c r="U291" s="3"/>
      <c r="V291" s="3"/>
      <c r="W291" s="3"/>
      <c r="X291" s="3"/>
      <c r="Y291" s="3"/>
      <c r="Z291" s="3"/>
      <c r="AB291" s="3"/>
      <c r="AC291" s="3"/>
      <c r="AD291" s="3"/>
      <c r="AE291" s="3"/>
      <c r="AF291" s="3"/>
      <c r="AG291" s="3"/>
      <c r="AH291" s="3"/>
      <c r="AI291" s="3"/>
      <c r="AK291" s="3"/>
      <c r="AL291" s="3"/>
      <c r="AM291" s="3"/>
      <c r="AN291" s="3"/>
      <c r="AO291" s="3"/>
      <c r="AP291" s="3"/>
      <c r="AQ291" s="3"/>
      <c r="AR291" s="3"/>
    </row>
    <row r="292" spans="1:44" ht="16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S292" s="3"/>
      <c r="T292" s="3"/>
      <c r="U292" s="3"/>
      <c r="V292" s="3"/>
      <c r="W292" s="3"/>
      <c r="X292" s="3"/>
      <c r="Y292" s="3"/>
      <c r="Z292" s="3"/>
      <c r="AB292" s="3"/>
      <c r="AC292" s="3"/>
      <c r="AD292" s="3"/>
      <c r="AE292" s="3"/>
      <c r="AF292" s="3"/>
      <c r="AG292" s="3"/>
      <c r="AH292" s="3"/>
      <c r="AI292" s="3"/>
      <c r="AK292" s="3"/>
      <c r="AL292" s="3"/>
      <c r="AM292" s="3"/>
      <c r="AN292" s="3"/>
      <c r="AO292" s="3"/>
      <c r="AP292" s="3"/>
      <c r="AQ292" s="3"/>
      <c r="AR292" s="3"/>
    </row>
    <row r="293" spans="1:44" ht="16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S293" s="3"/>
      <c r="T293" s="3"/>
      <c r="U293" s="3"/>
      <c r="V293" s="3"/>
      <c r="W293" s="3"/>
      <c r="X293" s="3"/>
      <c r="Y293" s="3"/>
      <c r="Z293" s="3"/>
      <c r="AB293" s="3"/>
      <c r="AC293" s="3"/>
      <c r="AD293" s="3"/>
      <c r="AE293" s="3"/>
      <c r="AF293" s="3"/>
      <c r="AG293" s="3"/>
      <c r="AH293" s="3"/>
      <c r="AI293" s="3"/>
      <c r="AK293" s="3"/>
      <c r="AL293" s="3"/>
      <c r="AM293" s="3"/>
      <c r="AN293" s="3"/>
      <c r="AO293" s="3"/>
      <c r="AP293" s="3"/>
      <c r="AQ293" s="3"/>
      <c r="AR293" s="3"/>
    </row>
    <row r="294" spans="1:44" ht="16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S294" s="3"/>
      <c r="T294" s="3"/>
      <c r="U294" s="3"/>
      <c r="V294" s="3"/>
      <c r="W294" s="3"/>
      <c r="X294" s="3"/>
      <c r="Y294" s="3"/>
      <c r="Z294" s="3"/>
      <c r="AB294" s="3"/>
      <c r="AC294" s="3"/>
      <c r="AD294" s="3"/>
      <c r="AE294" s="3"/>
      <c r="AF294" s="3"/>
      <c r="AG294" s="3"/>
      <c r="AH294" s="3"/>
      <c r="AI294" s="3"/>
      <c r="AK294" s="3"/>
      <c r="AL294" s="3"/>
      <c r="AM294" s="3"/>
      <c r="AN294" s="3"/>
      <c r="AO294" s="3"/>
      <c r="AP294" s="3"/>
      <c r="AQ294" s="3"/>
      <c r="AR294" s="3"/>
    </row>
    <row r="295" spans="1:44" ht="16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S295" s="3"/>
      <c r="T295" s="3"/>
      <c r="U295" s="3"/>
      <c r="V295" s="3"/>
      <c r="W295" s="3"/>
      <c r="X295" s="3"/>
      <c r="Y295" s="3"/>
      <c r="Z295" s="3"/>
      <c r="AB295" s="3"/>
      <c r="AC295" s="3"/>
      <c r="AD295" s="3"/>
      <c r="AE295" s="3"/>
      <c r="AF295" s="3"/>
      <c r="AG295" s="3"/>
      <c r="AH295" s="3"/>
      <c r="AI295" s="3"/>
      <c r="AK295" s="3"/>
      <c r="AL295" s="3"/>
      <c r="AM295" s="3"/>
      <c r="AN295" s="3"/>
      <c r="AO295" s="3"/>
      <c r="AP295" s="3"/>
      <c r="AQ295" s="3"/>
      <c r="AR295" s="3"/>
    </row>
    <row r="296" spans="1:44" ht="16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S296" s="3"/>
      <c r="T296" s="3"/>
      <c r="U296" s="3"/>
      <c r="V296" s="3"/>
      <c r="W296" s="3"/>
      <c r="X296" s="3"/>
      <c r="Y296" s="3"/>
      <c r="Z296" s="3"/>
      <c r="AB296" s="3"/>
      <c r="AC296" s="3"/>
      <c r="AD296" s="3"/>
      <c r="AE296" s="3"/>
      <c r="AF296" s="3"/>
      <c r="AG296" s="3"/>
      <c r="AH296" s="3"/>
      <c r="AI296" s="3"/>
      <c r="AK296" s="3"/>
      <c r="AL296" s="3"/>
      <c r="AM296" s="3"/>
      <c r="AN296" s="3"/>
      <c r="AO296" s="3"/>
      <c r="AP296" s="3"/>
      <c r="AQ296" s="3"/>
      <c r="AR296" s="3"/>
    </row>
    <row r="297" spans="1:44" ht="16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S297" s="3"/>
      <c r="T297" s="3"/>
      <c r="U297" s="3"/>
      <c r="V297" s="3"/>
      <c r="W297" s="3"/>
      <c r="X297" s="3"/>
      <c r="Y297" s="3"/>
      <c r="Z297" s="3"/>
      <c r="AB297" s="3"/>
      <c r="AC297" s="3"/>
      <c r="AD297" s="3"/>
      <c r="AE297" s="3"/>
      <c r="AF297" s="3"/>
      <c r="AG297" s="3"/>
      <c r="AH297" s="3"/>
      <c r="AI297" s="3"/>
      <c r="AK297" s="3"/>
      <c r="AL297" s="3"/>
      <c r="AM297" s="3"/>
      <c r="AN297" s="3"/>
      <c r="AO297" s="3"/>
      <c r="AP297" s="3"/>
      <c r="AQ297" s="3"/>
      <c r="AR297" s="3"/>
    </row>
    <row r="298" spans="1:44" ht="16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S298" s="3"/>
      <c r="T298" s="3"/>
      <c r="U298" s="3"/>
      <c r="V298" s="3"/>
      <c r="W298" s="3"/>
      <c r="X298" s="3"/>
      <c r="Y298" s="3"/>
      <c r="Z298" s="3"/>
      <c r="AB298" s="3"/>
      <c r="AC298" s="3"/>
      <c r="AD298" s="3"/>
      <c r="AE298" s="3"/>
      <c r="AF298" s="3"/>
      <c r="AG298" s="3"/>
      <c r="AH298" s="3"/>
      <c r="AI298" s="3"/>
      <c r="AK298" s="3"/>
      <c r="AL298" s="3"/>
      <c r="AM298" s="3"/>
      <c r="AN298" s="3"/>
      <c r="AO298" s="3"/>
      <c r="AP298" s="3"/>
      <c r="AQ298" s="3"/>
      <c r="AR298" s="3"/>
    </row>
    <row r="299" spans="1:44" ht="16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S299" s="3"/>
      <c r="T299" s="3"/>
      <c r="U299" s="3"/>
      <c r="V299" s="3"/>
      <c r="W299" s="3"/>
      <c r="X299" s="3"/>
      <c r="Y299" s="3"/>
      <c r="Z299" s="3"/>
      <c r="AB299" s="3"/>
      <c r="AC299" s="3"/>
      <c r="AD299" s="3"/>
      <c r="AE299" s="3"/>
      <c r="AF299" s="3"/>
      <c r="AG299" s="3"/>
      <c r="AH299" s="3"/>
      <c r="AI299" s="3"/>
      <c r="AK299" s="3"/>
      <c r="AL299" s="3"/>
      <c r="AM299" s="3"/>
      <c r="AN299" s="3"/>
      <c r="AO299" s="3"/>
      <c r="AP299" s="3"/>
      <c r="AQ299" s="3"/>
      <c r="AR299" s="3"/>
    </row>
    <row r="300" spans="1:44" ht="16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S300" s="3"/>
      <c r="T300" s="3"/>
      <c r="U300" s="3"/>
      <c r="V300" s="3"/>
      <c r="W300" s="3"/>
      <c r="X300" s="3"/>
      <c r="Y300" s="3"/>
      <c r="Z300" s="3"/>
      <c r="AB300" s="3"/>
      <c r="AC300" s="3"/>
      <c r="AD300" s="3"/>
      <c r="AE300" s="3"/>
      <c r="AF300" s="3"/>
      <c r="AG300" s="3"/>
      <c r="AH300" s="3"/>
      <c r="AI300" s="3"/>
      <c r="AK300" s="3"/>
      <c r="AL300" s="3"/>
      <c r="AM300" s="3"/>
      <c r="AN300" s="3"/>
      <c r="AO300" s="3"/>
      <c r="AP300" s="3"/>
      <c r="AQ300" s="3"/>
      <c r="AR300" s="3"/>
    </row>
    <row r="301" spans="1:44" ht="16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S301" s="3"/>
      <c r="T301" s="3"/>
      <c r="U301" s="3"/>
      <c r="V301" s="3"/>
      <c r="W301" s="3"/>
      <c r="X301" s="3"/>
      <c r="Y301" s="3"/>
      <c r="Z301" s="3"/>
      <c r="AB301" s="3"/>
      <c r="AC301" s="3"/>
      <c r="AD301" s="3"/>
      <c r="AE301" s="3"/>
      <c r="AF301" s="3"/>
      <c r="AG301" s="3"/>
      <c r="AH301" s="3"/>
      <c r="AI301" s="3"/>
      <c r="AK301" s="3"/>
      <c r="AL301" s="3"/>
      <c r="AM301" s="3"/>
      <c r="AN301" s="3"/>
      <c r="AO301" s="3"/>
      <c r="AP301" s="3"/>
      <c r="AQ301" s="3"/>
      <c r="AR301" s="3"/>
    </row>
    <row r="302" spans="1:44" ht="16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S302" s="3"/>
      <c r="T302" s="3"/>
      <c r="U302" s="3"/>
      <c r="V302" s="3"/>
      <c r="W302" s="3"/>
      <c r="X302" s="3"/>
      <c r="Y302" s="3"/>
      <c r="Z302" s="3"/>
      <c r="AB302" s="3"/>
      <c r="AC302" s="3"/>
      <c r="AD302" s="3"/>
      <c r="AE302" s="3"/>
      <c r="AF302" s="3"/>
      <c r="AG302" s="3"/>
      <c r="AH302" s="3"/>
      <c r="AI302" s="3"/>
      <c r="AK302" s="3"/>
      <c r="AL302" s="3"/>
      <c r="AM302" s="3"/>
      <c r="AN302" s="3"/>
      <c r="AO302" s="3"/>
      <c r="AP302" s="3"/>
      <c r="AQ302" s="3"/>
      <c r="AR302" s="3"/>
    </row>
    <row r="303" spans="1:44" ht="16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S303" s="3"/>
      <c r="T303" s="3"/>
      <c r="U303" s="3"/>
      <c r="V303" s="3"/>
      <c r="W303" s="3"/>
      <c r="X303" s="3"/>
      <c r="Y303" s="3"/>
      <c r="Z303" s="3"/>
      <c r="AB303" s="3"/>
      <c r="AC303" s="3"/>
      <c r="AD303" s="3"/>
      <c r="AE303" s="3"/>
      <c r="AF303" s="3"/>
      <c r="AG303" s="3"/>
      <c r="AH303" s="3"/>
      <c r="AI303" s="3"/>
      <c r="AK303" s="3"/>
      <c r="AL303" s="3"/>
      <c r="AM303" s="3"/>
      <c r="AN303" s="3"/>
      <c r="AO303" s="3"/>
      <c r="AP303" s="3"/>
      <c r="AQ303" s="3"/>
      <c r="AR303" s="3"/>
    </row>
    <row r="304" spans="1:44" ht="16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S304" s="3"/>
      <c r="T304" s="3"/>
      <c r="U304" s="3"/>
      <c r="V304" s="3"/>
      <c r="W304" s="3"/>
      <c r="X304" s="3"/>
      <c r="Y304" s="3"/>
      <c r="Z304" s="3"/>
      <c r="AB304" s="3"/>
      <c r="AC304" s="3"/>
      <c r="AD304" s="3"/>
      <c r="AE304" s="3"/>
      <c r="AF304" s="3"/>
      <c r="AG304" s="3"/>
      <c r="AH304" s="3"/>
      <c r="AI304" s="3"/>
      <c r="AK304" s="3"/>
      <c r="AL304" s="3"/>
      <c r="AM304" s="3"/>
      <c r="AN304" s="3"/>
      <c r="AO304" s="3"/>
      <c r="AP304" s="3"/>
      <c r="AQ304" s="3"/>
      <c r="AR304" s="3"/>
    </row>
    <row r="305" spans="1:44" ht="16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S305" s="3"/>
      <c r="T305" s="3"/>
      <c r="U305" s="3"/>
      <c r="V305" s="3"/>
      <c r="W305" s="3"/>
      <c r="X305" s="3"/>
      <c r="Y305" s="3"/>
      <c r="Z305" s="3"/>
      <c r="AB305" s="3"/>
      <c r="AC305" s="3"/>
      <c r="AD305" s="3"/>
      <c r="AE305" s="3"/>
      <c r="AF305" s="3"/>
      <c r="AG305" s="3"/>
      <c r="AH305" s="3"/>
      <c r="AI305" s="3"/>
      <c r="AK305" s="3"/>
      <c r="AL305" s="3"/>
      <c r="AM305" s="3"/>
      <c r="AN305" s="3"/>
      <c r="AO305" s="3"/>
      <c r="AP305" s="3"/>
      <c r="AQ305" s="3"/>
      <c r="AR305" s="3"/>
    </row>
    <row r="306" spans="1:44" ht="16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S306" s="3"/>
      <c r="T306" s="3"/>
      <c r="U306" s="3"/>
      <c r="V306" s="3"/>
      <c r="W306" s="3"/>
      <c r="X306" s="3"/>
      <c r="Y306" s="3"/>
      <c r="Z306" s="3"/>
      <c r="AB306" s="3"/>
      <c r="AC306" s="3"/>
      <c r="AD306" s="3"/>
      <c r="AE306" s="3"/>
      <c r="AF306" s="3"/>
      <c r="AG306" s="3"/>
      <c r="AH306" s="3"/>
      <c r="AI306" s="3"/>
      <c r="AK306" s="3"/>
      <c r="AL306" s="3"/>
      <c r="AM306" s="3"/>
      <c r="AN306" s="3"/>
      <c r="AO306" s="3"/>
      <c r="AP306" s="3"/>
      <c r="AQ306" s="3"/>
      <c r="AR306" s="3"/>
    </row>
    <row r="307" spans="1:44" ht="16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S307" s="3"/>
      <c r="T307" s="3"/>
      <c r="U307" s="3"/>
      <c r="V307" s="3"/>
      <c r="W307" s="3"/>
      <c r="X307" s="3"/>
      <c r="Y307" s="3"/>
      <c r="Z307" s="3"/>
      <c r="AB307" s="3"/>
      <c r="AC307" s="3"/>
      <c r="AD307" s="3"/>
      <c r="AE307" s="3"/>
      <c r="AF307" s="3"/>
      <c r="AG307" s="3"/>
      <c r="AH307" s="3"/>
      <c r="AI307" s="3"/>
      <c r="AK307" s="3"/>
      <c r="AL307" s="3"/>
      <c r="AM307" s="3"/>
      <c r="AN307" s="3"/>
      <c r="AO307" s="3"/>
      <c r="AP307" s="3"/>
      <c r="AQ307" s="3"/>
      <c r="AR307" s="3"/>
    </row>
    <row r="308" spans="1:44" ht="16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S308" s="3"/>
      <c r="T308" s="3"/>
      <c r="U308" s="3"/>
      <c r="V308" s="3"/>
      <c r="W308" s="3"/>
      <c r="X308" s="3"/>
      <c r="Y308" s="3"/>
      <c r="Z308" s="3"/>
      <c r="AB308" s="3"/>
      <c r="AC308" s="3"/>
      <c r="AD308" s="3"/>
      <c r="AE308" s="3"/>
      <c r="AF308" s="3"/>
      <c r="AG308" s="3"/>
      <c r="AH308" s="3"/>
      <c r="AI308" s="3"/>
      <c r="AK308" s="3"/>
      <c r="AL308" s="3"/>
      <c r="AM308" s="3"/>
      <c r="AN308" s="3"/>
      <c r="AO308" s="3"/>
      <c r="AP308" s="3"/>
      <c r="AQ308" s="3"/>
      <c r="AR308" s="3"/>
    </row>
    <row r="309" spans="1:44" ht="16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S309" s="3"/>
      <c r="T309" s="3"/>
      <c r="U309" s="3"/>
      <c r="V309" s="3"/>
      <c r="W309" s="3"/>
      <c r="X309" s="3"/>
      <c r="Y309" s="3"/>
      <c r="Z309" s="3"/>
      <c r="AB309" s="3"/>
      <c r="AC309" s="3"/>
      <c r="AD309" s="3"/>
      <c r="AE309" s="3"/>
      <c r="AF309" s="3"/>
      <c r="AG309" s="3"/>
      <c r="AH309" s="3"/>
      <c r="AI309" s="3"/>
      <c r="AK309" s="3"/>
      <c r="AL309" s="3"/>
      <c r="AM309" s="3"/>
      <c r="AN309" s="3"/>
      <c r="AO309" s="3"/>
      <c r="AP309" s="3"/>
      <c r="AQ309" s="3"/>
      <c r="AR309" s="3"/>
    </row>
    <row r="310" spans="1:44" ht="16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S310" s="3"/>
      <c r="T310" s="3"/>
      <c r="U310" s="3"/>
      <c r="V310" s="3"/>
      <c r="W310" s="3"/>
      <c r="X310" s="3"/>
      <c r="Y310" s="3"/>
      <c r="Z310" s="3"/>
      <c r="AB310" s="3"/>
      <c r="AC310" s="3"/>
      <c r="AD310" s="3"/>
      <c r="AE310" s="3"/>
      <c r="AF310" s="3"/>
      <c r="AG310" s="3"/>
      <c r="AH310" s="3"/>
      <c r="AI310" s="3"/>
      <c r="AK310" s="3"/>
      <c r="AL310" s="3"/>
      <c r="AM310" s="3"/>
      <c r="AN310" s="3"/>
      <c r="AO310" s="3"/>
      <c r="AP310" s="3"/>
      <c r="AQ310" s="3"/>
      <c r="AR310" s="3"/>
    </row>
    <row r="311" spans="1:44" ht="16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S311" s="3"/>
      <c r="T311" s="3"/>
      <c r="U311" s="3"/>
      <c r="V311" s="3"/>
      <c r="W311" s="3"/>
      <c r="X311" s="3"/>
      <c r="Y311" s="3"/>
      <c r="Z311" s="3"/>
      <c r="AB311" s="3"/>
      <c r="AC311" s="3"/>
      <c r="AD311" s="3"/>
      <c r="AE311" s="3"/>
      <c r="AF311" s="3"/>
      <c r="AG311" s="3"/>
      <c r="AH311" s="3"/>
      <c r="AI311" s="3"/>
      <c r="AK311" s="3"/>
      <c r="AL311" s="3"/>
      <c r="AM311" s="3"/>
      <c r="AN311" s="3"/>
      <c r="AO311" s="3"/>
      <c r="AP311" s="3"/>
      <c r="AQ311" s="3"/>
      <c r="AR311" s="3"/>
    </row>
    <row r="312" spans="1:44" ht="16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S312" s="3"/>
      <c r="T312" s="3"/>
      <c r="U312" s="3"/>
      <c r="V312" s="3"/>
      <c r="W312" s="3"/>
      <c r="X312" s="3"/>
      <c r="Y312" s="3"/>
      <c r="Z312" s="3"/>
      <c r="AB312" s="3"/>
      <c r="AC312" s="3"/>
      <c r="AD312" s="3"/>
      <c r="AE312" s="3"/>
      <c r="AF312" s="3"/>
      <c r="AG312" s="3"/>
      <c r="AH312" s="3"/>
      <c r="AI312" s="3"/>
      <c r="AK312" s="3"/>
      <c r="AL312" s="3"/>
      <c r="AM312" s="3"/>
      <c r="AN312" s="3"/>
      <c r="AO312" s="3"/>
      <c r="AP312" s="3"/>
      <c r="AQ312" s="3"/>
      <c r="AR312" s="3"/>
    </row>
    <row r="313" spans="1:44" ht="16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S313" s="3"/>
      <c r="T313" s="3"/>
      <c r="U313" s="3"/>
      <c r="V313" s="3"/>
      <c r="W313" s="3"/>
      <c r="X313" s="3"/>
      <c r="Y313" s="3"/>
      <c r="Z313" s="3"/>
      <c r="AB313" s="3"/>
      <c r="AC313" s="3"/>
      <c r="AD313" s="3"/>
      <c r="AE313" s="3"/>
      <c r="AF313" s="3"/>
      <c r="AG313" s="3"/>
      <c r="AH313" s="3"/>
      <c r="AI313" s="3"/>
      <c r="AK313" s="3"/>
      <c r="AL313" s="3"/>
      <c r="AM313" s="3"/>
      <c r="AN313" s="3"/>
      <c r="AO313" s="3"/>
      <c r="AP313" s="3"/>
      <c r="AQ313" s="3"/>
      <c r="AR313" s="3"/>
    </row>
    <row r="314" spans="1:44" ht="16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S314" s="3"/>
      <c r="T314" s="3"/>
      <c r="U314" s="3"/>
      <c r="V314" s="3"/>
      <c r="W314" s="3"/>
      <c r="X314" s="3"/>
      <c r="Y314" s="3"/>
      <c r="Z314" s="3"/>
      <c r="AB314" s="3"/>
      <c r="AC314" s="3"/>
      <c r="AD314" s="3"/>
      <c r="AE314" s="3"/>
      <c r="AF314" s="3"/>
      <c r="AG314" s="3"/>
      <c r="AH314" s="3"/>
      <c r="AI314" s="3"/>
      <c r="AK314" s="3"/>
      <c r="AL314" s="3"/>
      <c r="AM314" s="3"/>
      <c r="AN314" s="3"/>
      <c r="AO314" s="3"/>
      <c r="AP314" s="3"/>
      <c r="AQ314" s="3"/>
      <c r="AR314" s="3"/>
    </row>
    <row r="315" spans="1:44" ht="16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S315" s="3"/>
      <c r="T315" s="3"/>
      <c r="U315" s="3"/>
      <c r="V315" s="3"/>
      <c r="W315" s="3"/>
      <c r="X315" s="3"/>
      <c r="Y315" s="3"/>
      <c r="Z315" s="3"/>
      <c r="AB315" s="3"/>
      <c r="AC315" s="3"/>
      <c r="AD315" s="3"/>
      <c r="AE315" s="3"/>
      <c r="AF315" s="3"/>
      <c r="AG315" s="3"/>
      <c r="AH315" s="3"/>
      <c r="AI315" s="3"/>
      <c r="AK315" s="3"/>
      <c r="AL315" s="3"/>
      <c r="AM315" s="3"/>
      <c r="AN315" s="3"/>
      <c r="AO315" s="3"/>
      <c r="AP315" s="3"/>
      <c r="AQ315" s="3"/>
      <c r="AR315" s="3"/>
    </row>
    <row r="316" spans="1:44" ht="16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S316" s="3"/>
      <c r="T316" s="3"/>
      <c r="U316" s="3"/>
      <c r="V316" s="3"/>
      <c r="W316" s="3"/>
      <c r="X316" s="3"/>
      <c r="Y316" s="3"/>
      <c r="Z316" s="3"/>
      <c r="AB316" s="3"/>
      <c r="AC316" s="3"/>
      <c r="AD316" s="3"/>
      <c r="AE316" s="3"/>
      <c r="AF316" s="3"/>
      <c r="AG316" s="3"/>
      <c r="AH316" s="3"/>
      <c r="AI316" s="3"/>
      <c r="AK316" s="3"/>
      <c r="AL316" s="3"/>
      <c r="AM316" s="3"/>
      <c r="AN316" s="3"/>
      <c r="AO316" s="3"/>
      <c r="AP316" s="3"/>
      <c r="AQ316" s="3"/>
      <c r="AR316" s="3"/>
    </row>
    <row r="317" spans="1:44" ht="16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S317" s="3"/>
      <c r="T317" s="3"/>
      <c r="U317" s="3"/>
      <c r="V317" s="3"/>
      <c r="W317" s="3"/>
      <c r="X317" s="3"/>
      <c r="Y317" s="3"/>
      <c r="Z317" s="3"/>
      <c r="AB317" s="3"/>
      <c r="AC317" s="3"/>
      <c r="AD317" s="3"/>
      <c r="AE317" s="3"/>
      <c r="AF317" s="3"/>
      <c r="AG317" s="3"/>
      <c r="AH317" s="3"/>
      <c r="AI317" s="3"/>
      <c r="AK317" s="3"/>
      <c r="AL317" s="3"/>
      <c r="AM317" s="3"/>
      <c r="AN317" s="3"/>
      <c r="AO317" s="3"/>
      <c r="AP317" s="3"/>
      <c r="AQ317" s="3"/>
      <c r="AR317" s="3"/>
    </row>
    <row r="318" spans="1:44" ht="16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S318" s="3"/>
      <c r="T318" s="3"/>
      <c r="U318" s="3"/>
      <c r="V318" s="3"/>
      <c r="W318" s="3"/>
      <c r="X318" s="3"/>
      <c r="Y318" s="3"/>
      <c r="Z318" s="3"/>
      <c r="AB318" s="3"/>
      <c r="AC318" s="3"/>
      <c r="AD318" s="3"/>
      <c r="AE318" s="3"/>
      <c r="AF318" s="3"/>
      <c r="AG318" s="3"/>
      <c r="AH318" s="3"/>
      <c r="AI318" s="3"/>
      <c r="AK318" s="3"/>
      <c r="AL318" s="3"/>
      <c r="AM318" s="3"/>
      <c r="AN318" s="3"/>
      <c r="AO318" s="3"/>
      <c r="AP318" s="3"/>
      <c r="AQ318" s="3"/>
      <c r="AR318" s="3"/>
    </row>
    <row r="319" spans="1:44" ht="16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S319" s="3"/>
      <c r="T319" s="3"/>
      <c r="U319" s="3"/>
      <c r="V319" s="3"/>
      <c r="W319" s="3"/>
      <c r="X319" s="3"/>
      <c r="Y319" s="3"/>
      <c r="Z319" s="3"/>
      <c r="AB319" s="3"/>
      <c r="AC319" s="3"/>
      <c r="AD319" s="3"/>
      <c r="AE319" s="3"/>
      <c r="AF319" s="3"/>
      <c r="AG319" s="3"/>
      <c r="AH319" s="3"/>
      <c r="AI319" s="3"/>
      <c r="AK319" s="3"/>
      <c r="AL319" s="3"/>
      <c r="AM319" s="3"/>
      <c r="AN319" s="3"/>
      <c r="AO319" s="3"/>
      <c r="AP319" s="3"/>
      <c r="AQ319" s="3"/>
      <c r="AR319" s="3"/>
    </row>
    <row r="320" spans="1:44" ht="16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S320" s="3"/>
      <c r="T320" s="3"/>
      <c r="U320" s="3"/>
      <c r="V320" s="3"/>
      <c r="W320" s="3"/>
      <c r="X320" s="3"/>
      <c r="Y320" s="3"/>
      <c r="Z320" s="3"/>
      <c r="AB320" s="3"/>
      <c r="AC320" s="3"/>
      <c r="AD320" s="3"/>
      <c r="AE320" s="3"/>
      <c r="AF320" s="3"/>
      <c r="AG320" s="3"/>
      <c r="AH320" s="3"/>
      <c r="AI320" s="3"/>
      <c r="AK320" s="3"/>
      <c r="AL320" s="3"/>
      <c r="AM320" s="3"/>
      <c r="AN320" s="3"/>
      <c r="AO320" s="3"/>
      <c r="AP320" s="3"/>
      <c r="AQ320" s="3"/>
      <c r="AR320" s="3"/>
    </row>
    <row r="321" spans="1:44" ht="16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S321" s="3"/>
      <c r="T321" s="3"/>
      <c r="U321" s="3"/>
      <c r="V321" s="3"/>
      <c r="W321" s="3"/>
      <c r="X321" s="3"/>
      <c r="Y321" s="3"/>
      <c r="Z321" s="3"/>
      <c r="AB321" s="3"/>
      <c r="AC321" s="3"/>
      <c r="AD321" s="3"/>
      <c r="AE321" s="3"/>
      <c r="AF321" s="3"/>
      <c r="AG321" s="3"/>
      <c r="AH321" s="3"/>
      <c r="AI321" s="3"/>
      <c r="AK321" s="3"/>
      <c r="AL321" s="3"/>
      <c r="AM321" s="3"/>
      <c r="AN321" s="3"/>
      <c r="AO321" s="3"/>
      <c r="AP321" s="3"/>
      <c r="AQ321" s="3"/>
      <c r="AR321" s="3"/>
    </row>
    <row r="322" spans="1:44" ht="16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S322" s="3"/>
      <c r="T322" s="3"/>
      <c r="U322" s="3"/>
      <c r="V322" s="3"/>
      <c r="W322" s="3"/>
      <c r="X322" s="3"/>
      <c r="Y322" s="3"/>
      <c r="Z322" s="3"/>
      <c r="AB322" s="3"/>
      <c r="AC322" s="3"/>
      <c r="AD322" s="3"/>
      <c r="AE322" s="3"/>
      <c r="AF322" s="3"/>
      <c r="AG322" s="3"/>
      <c r="AH322" s="3"/>
      <c r="AI322" s="3"/>
      <c r="AK322" s="3"/>
      <c r="AL322" s="3"/>
      <c r="AM322" s="3"/>
      <c r="AN322" s="3"/>
      <c r="AO322" s="3"/>
      <c r="AP322" s="3"/>
      <c r="AQ322" s="3"/>
      <c r="AR322" s="3"/>
    </row>
    <row r="323" spans="1:44" ht="16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S323" s="3"/>
      <c r="T323" s="3"/>
      <c r="U323" s="3"/>
      <c r="V323" s="3"/>
      <c r="W323" s="3"/>
      <c r="X323" s="3"/>
      <c r="Y323" s="3"/>
      <c r="Z323" s="3"/>
      <c r="AB323" s="3"/>
      <c r="AC323" s="3"/>
      <c r="AD323" s="3"/>
      <c r="AE323" s="3"/>
      <c r="AF323" s="3"/>
      <c r="AG323" s="3"/>
      <c r="AH323" s="3"/>
      <c r="AI323" s="3"/>
      <c r="AK323" s="3"/>
      <c r="AL323" s="3"/>
      <c r="AM323" s="3"/>
      <c r="AN323" s="3"/>
      <c r="AO323" s="3"/>
      <c r="AP323" s="3"/>
      <c r="AQ323" s="3"/>
      <c r="AR323" s="3"/>
    </row>
    <row r="324" spans="1:44" ht="16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S324" s="3"/>
      <c r="T324" s="3"/>
      <c r="U324" s="3"/>
      <c r="V324" s="3"/>
      <c r="W324" s="3"/>
      <c r="X324" s="3"/>
      <c r="Y324" s="3"/>
      <c r="Z324" s="3"/>
      <c r="AB324" s="3"/>
      <c r="AC324" s="3"/>
      <c r="AD324" s="3"/>
      <c r="AE324" s="3"/>
      <c r="AF324" s="3"/>
      <c r="AG324" s="3"/>
      <c r="AH324" s="3"/>
      <c r="AI324" s="3"/>
      <c r="AK324" s="3"/>
      <c r="AL324" s="3"/>
      <c r="AM324" s="3"/>
      <c r="AN324" s="3"/>
      <c r="AO324" s="3"/>
      <c r="AP324" s="3"/>
      <c r="AQ324" s="3"/>
      <c r="AR324" s="3"/>
    </row>
    <row r="325" spans="1:44" ht="16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S325" s="3"/>
      <c r="T325" s="3"/>
      <c r="U325" s="3"/>
      <c r="V325" s="3"/>
      <c r="W325" s="3"/>
      <c r="X325" s="3"/>
      <c r="Y325" s="3"/>
      <c r="Z325" s="3"/>
      <c r="AB325" s="3"/>
      <c r="AC325" s="3"/>
      <c r="AD325" s="3"/>
      <c r="AE325" s="3"/>
      <c r="AF325" s="3"/>
      <c r="AG325" s="3"/>
      <c r="AH325" s="3"/>
      <c r="AI325" s="3"/>
      <c r="AK325" s="3"/>
      <c r="AL325" s="3"/>
      <c r="AM325" s="3"/>
      <c r="AN325" s="3"/>
      <c r="AO325" s="3"/>
      <c r="AP325" s="3"/>
      <c r="AQ325" s="3"/>
      <c r="AR325" s="3"/>
    </row>
    <row r="326" spans="1:44" ht="16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S326" s="3"/>
      <c r="T326" s="3"/>
      <c r="U326" s="3"/>
      <c r="V326" s="3"/>
      <c r="W326" s="3"/>
      <c r="X326" s="3"/>
      <c r="Y326" s="3"/>
      <c r="Z326" s="3"/>
      <c r="AB326" s="3"/>
      <c r="AC326" s="3"/>
      <c r="AD326" s="3"/>
      <c r="AE326" s="3"/>
      <c r="AF326" s="3"/>
      <c r="AG326" s="3"/>
      <c r="AH326" s="3"/>
      <c r="AI326" s="3"/>
      <c r="AK326" s="3"/>
      <c r="AL326" s="3"/>
      <c r="AM326" s="3"/>
      <c r="AN326" s="3"/>
      <c r="AO326" s="3"/>
      <c r="AP326" s="3"/>
      <c r="AQ326" s="3"/>
      <c r="AR326" s="3"/>
    </row>
    <row r="327" spans="1:44" ht="16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S327" s="3"/>
      <c r="T327" s="3"/>
      <c r="U327" s="3"/>
      <c r="V327" s="3"/>
      <c r="W327" s="3"/>
      <c r="X327" s="3"/>
      <c r="Y327" s="3"/>
      <c r="Z327" s="3"/>
      <c r="AB327" s="3"/>
      <c r="AC327" s="3"/>
      <c r="AD327" s="3"/>
      <c r="AE327" s="3"/>
      <c r="AF327" s="3"/>
      <c r="AG327" s="3"/>
      <c r="AH327" s="3"/>
      <c r="AI327" s="3"/>
      <c r="AK327" s="3"/>
      <c r="AL327" s="3"/>
      <c r="AM327" s="3"/>
      <c r="AN327" s="3"/>
      <c r="AO327" s="3"/>
      <c r="AP327" s="3"/>
      <c r="AQ327" s="3"/>
      <c r="AR327" s="3"/>
    </row>
    <row r="328" spans="1:44" ht="16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S328" s="3"/>
      <c r="T328" s="3"/>
      <c r="U328" s="3"/>
      <c r="V328" s="3"/>
      <c r="W328" s="3"/>
      <c r="X328" s="3"/>
      <c r="Y328" s="3"/>
      <c r="Z328" s="3"/>
      <c r="AB328" s="3"/>
      <c r="AC328" s="3"/>
      <c r="AD328" s="3"/>
      <c r="AE328" s="3"/>
      <c r="AF328" s="3"/>
      <c r="AG328" s="3"/>
      <c r="AH328" s="3"/>
      <c r="AI328" s="3"/>
      <c r="AK328" s="3"/>
      <c r="AL328" s="3"/>
      <c r="AM328" s="3"/>
      <c r="AN328" s="3"/>
      <c r="AO328" s="3"/>
      <c r="AP328" s="3"/>
      <c r="AQ328" s="3"/>
      <c r="AR328" s="3"/>
    </row>
    <row r="329" spans="1:44" ht="16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S329" s="3"/>
      <c r="T329" s="3"/>
      <c r="U329" s="3"/>
      <c r="V329" s="3"/>
      <c r="W329" s="3"/>
      <c r="X329" s="3"/>
      <c r="Y329" s="3"/>
      <c r="Z329" s="3"/>
      <c r="AB329" s="3"/>
      <c r="AC329" s="3"/>
      <c r="AD329" s="3"/>
      <c r="AE329" s="3"/>
      <c r="AF329" s="3"/>
      <c r="AG329" s="3"/>
      <c r="AH329" s="3"/>
      <c r="AI329" s="3"/>
      <c r="AK329" s="3"/>
      <c r="AL329" s="3"/>
      <c r="AM329" s="3"/>
      <c r="AN329" s="3"/>
      <c r="AO329" s="3"/>
      <c r="AP329" s="3"/>
      <c r="AQ329" s="3"/>
      <c r="AR329" s="3"/>
    </row>
    <row r="330" spans="1:44" ht="16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S330" s="3"/>
      <c r="T330" s="3"/>
      <c r="U330" s="3"/>
      <c r="V330" s="3"/>
      <c r="W330" s="3"/>
      <c r="X330" s="3"/>
      <c r="Y330" s="3"/>
      <c r="Z330" s="3"/>
      <c r="AB330" s="3"/>
      <c r="AC330" s="3"/>
      <c r="AD330" s="3"/>
      <c r="AE330" s="3"/>
      <c r="AF330" s="3"/>
      <c r="AG330" s="3"/>
      <c r="AH330" s="3"/>
      <c r="AI330" s="3"/>
      <c r="AK330" s="3"/>
      <c r="AL330" s="3"/>
      <c r="AM330" s="3"/>
      <c r="AN330" s="3"/>
      <c r="AO330" s="3"/>
      <c r="AP330" s="3"/>
      <c r="AQ330" s="3"/>
      <c r="AR330" s="3"/>
    </row>
    <row r="331" spans="1:44" ht="16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S331" s="3"/>
      <c r="T331" s="3"/>
      <c r="U331" s="3"/>
      <c r="V331" s="3"/>
      <c r="W331" s="3"/>
      <c r="X331" s="3"/>
      <c r="Y331" s="3"/>
      <c r="Z331" s="3"/>
      <c r="AB331" s="3"/>
      <c r="AC331" s="3"/>
      <c r="AD331" s="3"/>
      <c r="AE331" s="3"/>
      <c r="AF331" s="3"/>
      <c r="AG331" s="3"/>
      <c r="AH331" s="3"/>
      <c r="AI331" s="3"/>
      <c r="AK331" s="3"/>
      <c r="AL331" s="3"/>
      <c r="AM331" s="3"/>
      <c r="AN331" s="3"/>
      <c r="AO331" s="3"/>
      <c r="AP331" s="3"/>
      <c r="AQ331" s="3"/>
      <c r="AR331" s="3"/>
    </row>
    <row r="332" spans="1:44" ht="16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S332" s="3"/>
      <c r="T332" s="3"/>
      <c r="U332" s="3"/>
      <c r="V332" s="3"/>
      <c r="W332" s="3"/>
      <c r="X332" s="3"/>
      <c r="Y332" s="3"/>
      <c r="Z332" s="3"/>
      <c r="AB332" s="3"/>
      <c r="AC332" s="3"/>
      <c r="AD332" s="3"/>
      <c r="AE332" s="3"/>
      <c r="AF332" s="3"/>
      <c r="AG332" s="3"/>
      <c r="AH332" s="3"/>
      <c r="AI332" s="3"/>
      <c r="AK332" s="3"/>
      <c r="AL332" s="3"/>
      <c r="AM332" s="3"/>
      <c r="AN332" s="3"/>
      <c r="AO332" s="3"/>
      <c r="AP332" s="3"/>
      <c r="AQ332" s="3"/>
      <c r="AR332" s="3"/>
    </row>
    <row r="333" spans="1:44" ht="16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S333" s="3"/>
      <c r="T333" s="3"/>
      <c r="U333" s="3"/>
      <c r="V333" s="3"/>
      <c r="W333" s="3"/>
      <c r="X333" s="3"/>
      <c r="Y333" s="3"/>
      <c r="Z333" s="3"/>
      <c r="AB333" s="3"/>
      <c r="AC333" s="3"/>
      <c r="AD333" s="3"/>
      <c r="AE333" s="3"/>
      <c r="AF333" s="3"/>
      <c r="AG333" s="3"/>
      <c r="AH333" s="3"/>
      <c r="AI333" s="3"/>
      <c r="AK333" s="3"/>
      <c r="AL333" s="3"/>
      <c r="AM333" s="3"/>
      <c r="AN333" s="3"/>
      <c r="AO333" s="3"/>
      <c r="AP333" s="3"/>
      <c r="AQ333" s="3"/>
      <c r="AR333" s="3"/>
    </row>
    <row r="334" spans="1:44" ht="16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S334" s="3"/>
      <c r="T334" s="3"/>
      <c r="U334" s="3"/>
      <c r="V334" s="3"/>
      <c r="W334" s="3"/>
      <c r="X334" s="3"/>
      <c r="Y334" s="3"/>
      <c r="Z334" s="3"/>
      <c r="AB334" s="3"/>
      <c r="AC334" s="3"/>
      <c r="AD334" s="3"/>
      <c r="AE334" s="3"/>
      <c r="AF334" s="3"/>
      <c r="AG334" s="3"/>
      <c r="AH334" s="3"/>
      <c r="AI334" s="3"/>
      <c r="AK334" s="3"/>
      <c r="AL334" s="3"/>
      <c r="AM334" s="3"/>
      <c r="AN334" s="3"/>
      <c r="AO334" s="3"/>
      <c r="AP334" s="3"/>
      <c r="AQ334" s="3"/>
      <c r="AR334" s="3"/>
    </row>
    <row r="335" spans="1:44" ht="16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S335" s="3"/>
      <c r="T335" s="3"/>
      <c r="U335" s="3"/>
      <c r="V335" s="3"/>
      <c r="W335" s="3"/>
      <c r="X335" s="3"/>
      <c r="Y335" s="3"/>
      <c r="Z335" s="3"/>
      <c r="AB335" s="3"/>
      <c r="AC335" s="3"/>
      <c r="AD335" s="3"/>
      <c r="AE335" s="3"/>
      <c r="AF335" s="3"/>
      <c r="AG335" s="3"/>
      <c r="AH335" s="3"/>
      <c r="AI335" s="3"/>
      <c r="AK335" s="3"/>
      <c r="AL335" s="3"/>
      <c r="AM335" s="3"/>
      <c r="AN335" s="3"/>
      <c r="AO335" s="3"/>
      <c r="AP335" s="3"/>
      <c r="AQ335" s="3"/>
      <c r="AR335" s="3"/>
    </row>
    <row r="336" spans="1:44" ht="16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S336" s="3"/>
      <c r="T336" s="3"/>
      <c r="U336" s="3"/>
      <c r="V336" s="3"/>
      <c r="W336" s="3"/>
      <c r="X336" s="3"/>
      <c r="Y336" s="3"/>
      <c r="Z336" s="3"/>
      <c r="AB336" s="3"/>
      <c r="AC336" s="3"/>
      <c r="AD336" s="3"/>
      <c r="AE336" s="3"/>
      <c r="AF336" s="3"/>
      <c r="AG336" s="3"/>
      <c r="AH336" s="3"/>
      <c r="AI336" s="3"/>
      <c r="AK336" s="3"/>
      <c r="AL336" s="3"/>
      <c r="AM336" s="3"/>
      <c r="AN336" s="3"/>
      <c r="AO336" s="3"/>
      <c r="AP336" s="3"/>
      <c r="AQ336" s="3"/>
      <c r="AR336" s="3"/>
    </row>
    <row r="337" spans="1:44" ht="16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S337" s="3"/>
      <c r="T337" s="3"/>
      <c r="U337" s="3"/>
      <c r="V337" s="3"/>
      <c r="W337" s="3"/>
      <c r="X337" s="3"/>
      <c r="Y337" s="3"/>
      <c r="Z337" s="3"/>
      <c r="AB337" s="3"/>
      <c r="AC337" s="3"/>
      <c r="AD337" s="3"/>
      <c r="AE337" s="3"/>
      <c r="AF337" s="3"/>
      <c r="AG337" s="3"/>
      <c r="AH337" s="3"/>
      <c r="AI337" s="3"/>
      <c r="AK337" s="3"/>
      <c r="AL337" s="3"/>
      <c r="AM337" s="3"/>
      <c r="AN337" s="3"/>
      <c r="AO337" s="3"/>
      <c r="AP337" s="3"/>
      <c r="AQ337" s="3"/>
      <c r="AR337" s="3"/>
    </row>
    <row r="338" spans="1:44" ht="16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S338" s="3"/>
      <c r="T338" s="3"/>
      <c r="U338" s="3"/>
      <c r="V338" s="3"/>
      <c r="W338" s="3"/>
      <c r="X338" s="3"/>
      <c r="Y338" s="3"/>
      <c r="Z338" s="3"/>
      <c r="AB338" s="3"/>
      <c r="AC338" s="3"/>
      <c r="AD338" s="3"/>
      <c r="AE338" s="3"/>
      <c r="AF338" s="3"/>
      <c r="AG338" s="3"/>
      <c r="AH338" s="3"/>
      <c r="AI338" s="3"/>
      <c r="AK338" s="3"/>
      <c r="AL338" s="3"/>
      <c r="AM338" s="3"/>
      <c r="AN338" s="3"/>
      <c r="AO338" s="3"/>
      <c r="AP338" s="3"/>
      <c r="AQ338" s="3"/>
      <c r="AR338" s="3"/>
    </row>
    <row r="339" spans="1:44" ht="16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S339" s="3"/>
      <c r="T339" s="3"/>
      <c r="U339" s="3"/>
      <c r="V339" s="3"/>
      <c r="W339" s="3"/>
      <c r="X339" s="3"/>
      <c r="Y339" s="3"/>
      <c r="Z339" s="3"/>
      <c r="AB339" s="3"/>
      <c r="AC339" s="3"/>
      <c r="AD339" s="3"/>
      <c r="AE339" s="3"/>
      <c r="AF339" s="3"/>
      <c r="AG339" s="3"/>
      <c r="AH339" s="3"/>
      <c r="AI339" s="3"/>
      <c r="AK339" s="3"/>
      <c r="AL339" s="3"/>
      <c r="AM339" s="3"/>
      <c r="AN339" s="3"/>
      <c r="AO339" s="3"/>
      <c r="AP339" s="3"/>
      <c r="AQ339" s="3"/>
      <c r="AR339" s="3"/>
    </row>
    <row r="340" spans="1:44" ht="16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S340" s="3"/>
      <c r="T340" s="3"/>
      <c r="U340" s="3"/>
      <c r="V340" s="3"/>
      <c r="W340" s="3"/>
      <c r="X340" s="3"/>
      <c r="Y340" s="3"/>
      <c r="Z340" s="3"/>
      <c r="AB340" s="3"/>
      <c r="AC340" s="3"/>
      <c r="AD340" s="3"/>
      <c r="AE340" s="3"/>
      <c r="AF340" s="3"/>
      <c r="AG340" s="3"/>
      <c r="AH340" s="3"/>
      <c r="AI340" s="3"/>
      <c r="AK340" s="3"/>
      <c r="AL340" s="3"/>
      <c r="AM340" s="3"/>
      <c r="AN340" s="3"/>
      <c r="AO340" s="3"/>
      <c r="AP340" s="3"/>
      <c r="AQ340" s="3"/>
      <c r="AR340" s="3"/>
    </row>
    <row r="341" spans="1:44" ht="16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S341" s="3"/>
      <c r="T341" s="3"/>
      <c r="U341" s="3"/>
      <c r="V341" s="3"/>
      <c r="W341" s="3"/>
      <c r="X341" s="3"/>
      <c r="Y341" s="3"/>
      <c r="Z341" s="3"/>
      <c r="AB341" s="3"/>
      <c r="AC341" s="3"/>
      <c r="AD341" s="3"/>
      <c r="AE341" s="3"/>
      <c r="AF341" s="3"/>
      <c r="AG341" s="3"/>
      <c r="AH341" s="3"/>
      <c r="AI341" s="3"/>
      <c r="AK341" s="3"/>
      <c r="AL341" s="3"/>
      <c r="AM341" s="3"/>
      <c r="AN341" s="3"/>
      <c r="AO341" s="3"/>
      <c r="AP341" s="3"/>
      <c r="AQ341" s="3"/>
      <c r="AR341" s="3"/>
    </row>
    <row r="342" spans="1:44" ht="16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S342" s="3"/>
      <c r="T342" s="3"/>
      <c r="U342" s="3"/>
      <c r="V342" s="3"/>
      <c r="W342" s="3"/>
      <c r="X342" s="3"/>
      <c r="Y342" s="3"/>
      <c r="Z342" s="3"/>
      <c r="AB342" s="3"/>
      <c r="AC342" s="3"/>
      <c r="AD342" s="3"/>
      <c r="AE342" s="3"/>
      <c r="AF342" s="3"/>
      <c r="AG342" s="3"/>
      <c r="AH342" s="3"/>
      <c r="AI342" s="3"/>
      <c r="AK342" s="3"/>
      <c r="AL342" s="3"/>
      <c r="AM342" s="3"/>
      <c r="AN342" s="3"/>
      <c r="AO342" s="3"/>
      <c r="AP342" s="3"/>
      <c r="AQ342" s="3"/>
      <c r="AR342" s="3"/>
    </row>
    <row r="343" spans="1:44" ht="16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S343" s="3"/>
      <c r="T343" s="3"/>
      <c r="U343" s="3"/>
      <c r="V343" s="3"/>
      <c r="W343" s="3"/>
      <c r="X343" s="3"/>
      <c r="Y343" s="3"/>
      <c r="Z343" s="3"/>
      <c r="AB343" s="3"/>
      <c r="AC343" s="3"/>
      <c r="AD343" s="3"/>
      <c r="AE343" s="3"/>
      <c r="AF343" s="3"/>
      <c r="AG343" s="3"/>
      <c r="AH343" s="3"/>
      <c r="AI343" s="3"/>
      <c r="AK343" s="3"/>
      <c r="AL343" s="3"/>
      <c r="AM343" s="3"/>
      <c r="AN343" s="3"/>
      <c r="AO343" s="3"/>
      <c r="AP343" s="3"/>
      <c r="AQ343" s="3"/>
      <c r="AR343" s="3"/>
    </row>
    <row r="344" spans="1:44" ht="16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S344" s="3"/>
      <c r="T344" s="3"/>
      <c r="U344" s="3"/>
      <c r="V344" s="3"/>
      <c r="W344" s="3"/>
      <c r="X344" s="3"/>
      <c r="Y344" s="3"/>
      <c r="Z344" s="3"/>
      <c r="AB344" s="3"/>
      <c r="AC344" s="3"/>
      <c r="AD344" s="3"/>
      <c r="AE344" s="3"/>
      <c r="AF344" s="3"/>
      <c r="AG344" s="3"/>
      <c r="AH344" s="3"/>
      <c r="AI344" s="3"/>
      <c r="AK344" s="3"/>
      <c r="AL344" s="3"/>
      <c r="AM344" s="3"/>
      <c r="AN344" s="3"/>
      <c r="AO344" s="3"/>
      <c r="AP344" s="3"/>
      <c r="AQ344" s="3"/>
      <c r="AR344" s="3"/>
    </row>
    <row r="345" spans="1:44" ht="16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S345" s="3"/>
      <c r="T345" s="3"/>
      <c r="U345" s="3"/>
      <c r="V345" s="3"/>
      <c r="W345" s="3"/>
      <c r="X345" s="3"/>
      <c r="Y345" s="3"/>
      <c r="Z345" s="3"/>
      <c r="AB345" s="3"/>
      <c r="AC345" s="3"/>
      <c r="AD345" s="3"/>
      <c r="AE345" s="3"/>
      <c r="AF345" s="3"/>
      <c r="AG345" s="3"/>
      <c r="AH345" s="3"/>
      <c r="AI345" s="3"/>
      <c r="AK345" s="3"/>
      <c r="AL345" s="3"/>
      <c r="AM345" s="3"/>
      <c r="AN345" s="3"/>
      <c r="AO345" s="3"/>
      <c r="AP345" s="3"/>
      <c r="AQ345" s="3"/>
      <c r="AR345" s="3"/>
    </row>
    <row r="346" spans="1:44" ht="16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S346" s="3"/>
      <c r="T346" s="3"/>
      <c r="U346" s="3"/>
      <c r="V346" s="3"/>
      <c r="W346" s="3"/>
      <c r="X346" s="3"/>
      <c r="Y346" s="3"/>
      <c r="Z346" s="3"/>
      <c r="AB346" s="3"/>
      <c r="AC346" s="3"/>
      <c r="AD346" s="3"/>
      <c r="AE346" s="3"/>
      <c r="AF346" s="3"/>
      <c r="AG346" s="3"/>
      <c r="AH346" s="3"/>
      <c r="AI346" s="3"/>
      <c r="AK346" s="3"/>
      <c r="AL346" s="3"/>
      <c r="AM346" s="3"/>
      <c r="AN346" s="3"/>
      <c r="AO346" s="3"/>
      <c r="AP346" s="3"/>
      <c r="AQ346" s="3"/>
      <c r="AR346" s="3"/>
    </row>
    <row r="347" spans="1:44" ht="16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S347" s="3"/>
      <c r="T347" s="3"/>
      <c r="U347" s="3"/>
      <c r="V347" s="3"/>
      <c r="W347" s="3"/>
      <c r="X347" s="3"/>
      <c r="Y347" s="3"/>
      <c r="Z347" s="3"/>
      <c r="AB347" s="3"/>
      <c r="AC347" s="3"/>
      <c r="AD347" s="3"/>
      <c r="AE347" s="3"/>
      <c r="AF347" s="3"/>
      <c r="AG347" s="3"/>
      <c r="AH347" s="3"/>
      <c r="AI347" s="3"/>
      <c r="AK347" s="3"/>
      <c r="AL347" s="3"/>
      <c r="AM347" s="3"/>
      <c r="AN347" s="3"/>
      <c r="AO347" s="3"/>
      <c r="AP347" s="3"/>
      <c r="AQ347" s="3"/>
      <c r="AR347" s="3"/>
    </row>
    <row r="348" spans="1:44" ht="16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S348" s="3"/>
      <c r="T348" s="3"/>
      <c r="U348" s="3"/>
      <c r="V348" s="3"/>
      <c r="W348" s="3"/>
      <c r="X348" s="3"/>
      <c r="Y348" s="3"/>
      <c r="Z348" s="3"/>
      <c r="AB348" s="3"/>
      <c r="AC348" s="3"/>
      <c r="AD348" s="3"/>
      <c r="AE348" s="3"/>
      <c r="AF348" s="3"/>
      <c r="AG348" s="3"/>
      <c r="AH348" s="3"/>
      <c r="AI348" s="3"/>
      <c r="AK348" s="3"/>
      <c r="AL348" s="3"/>
      <c r="AM348" s="3"/>
      <c r="AN348" s="3"/>
      <c r="AO348" s="3"/>
      <c r="AP348" s="3"/>
      <c r="AQ348" s="3"/>
      <c r="AR348" s="3"/>
    </row>
    <row r="349" spans="1:44" ht="16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S349" s="3"/>
      <c r="T349" s="3"/>
      <c r="U349" s="3"/>
      <c r="V349" s="3"/>
      <c r="W349" s="3"/>
      <c r="X349" s="3"/>
      <c r="Y349" s="3"/>
      <c r="Z349" s="3"/>
      <c r="AB349" s="3"/>
      <c r="AC349" s="3"/>
      <c r="AD349" s="3"/>
      <c r="AE349" s="3"/>
      <c r="AF349" s="3"/>
      <c r="AG349" s="3"/>
      <c r="AH349" s="3"/>
      <c r="AI349" s="3"/>
      <c r="AK349" s="3"/>
      <c r="AL349" s="3"/>
      <c r="AM349" s="3"/>
      <c r="AN349" s="3"/>
      <c r="AO349" s="3"/>
      <c r="AP349" s="3"/>
      <c r="AQ349" s="3"/>
      <c r="AR349" s="3"/>
    </row>
    <row r="350" spans="1:44" ht="16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S350" s="3"/>
      <c r="T350" s="3"/>
      <c r="U350" s="3"/>
      <c r="V350" s="3"/>
      <c r="W350" s="3"/>
      <c r="X350" s="3"/>
      <c r="Y350" s="3"/>
      <c r="Z350" s="3"/>
      <c r="AB350" s="3"/>
      <c r="AC350" s="3"/>
      <c r="AD350" s="3"/>
      <c r="AE350" s="3"/>
      <c r="AF350" s="3"/>
      <c r="AG350" s="3"/>
      <c r="AH350" s="3"/>
      <c r="AI350" s="3"/>
      <c r="AK350" s="3"/>
      <c r="AL350" s="3"/>
      <c r="AM350" s="3"/>
      <c r="AN350" s="3"/>
      <c r="AO350" s="3"/>
      <c r="AP350" s="3"/>
      <c r="AQ350" s="3"/>
      <c r="AR350" s="3"/>
    </row>
    <row r="351" spans="1:44" ht="16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S351" s="3"/>
      <c r="T351" s="3"/>
      <c r="U351" s="3"/>
      <c r="V351" s="3"/>
      <c r="W351" s="3"/>
      <c r="X351" s="3"/>
      <c r="Y351" s="3"/>
      <c r="Z351" s="3"/>
      <c r="AB351" s="3"/>
      <c r="AC351" s="3"/>
      <c r="AD351" s="3"/>
      <c r="AE351" s="3"/>
      <c r="AF351" s="3"/>
      <c r="AG351" s="3"/>
      <c r="AH351" s="3"/>
      <c r="AI351" s="3"/>
      <c r="AK351" s="3"/>
      <c r="AL351" s="3"/>
      <c r="AM351" s="3"/>
      <c r="AN351" s="3"/>
      <c r="AO351" s="3"/>
      <c r="AP351" s="3"/>
      <c r="AQ351" s="3"/>
      <c r="AR351" s="3"/>
    </row>
    <row r="352" spans="1:44" ht="16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S352" s="3"/>
      <c r="T352" s="3"/>
      <c r="U352" s="3"/>
      <c r="V352" s="3"/>
      <c r="W352" s="3"/>
      <c r="X352" s="3"/>
      <c r="Y352" s="3"/>
      <c r="Z352" s="3"/>
      <c r="AB352" s="3"/>
      <c r="AC352" s="3"/>
      <c r="AD352" s="3"/>
      <c r="AE352" s="3"/>
      <c r="AF352" s="3"/>
      <c r="AG352" s="3"/>
      <c r="AH352" s="3"/>
      <c r="AI352" s="3"/>
      <c r="AK352" s="3"/>
      <c r="AL352" s="3"/>
      <c r="AM352" s="3"/>
      <c r="AN352" s="3"/>
      <c r="AO352" s="3"/>
      <c r="AP352" s="3"/>
      <c r="AQ352" s="3"/>
      <c r="AR352" s="3"/>
    </row>
    <row r="353" spans="1:44" ht="16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S353" s="3"/>
      <c r="T353" s="3"/>
      <c r="U353" s="3"/>
      <c r="V353" s="3"/>
      <c r="W353" s="3"/>
      <c r="X353" s="3"/>
      <c r="Y353" s="3"/>
      <c r="Z353" s="3"/>
      <c r="AB353" s="3"/>
      <c r="AC353" s="3"/>
      <c r="AD353" s="3"/>
      <c r="AE353" s="3"/>
      <c r="AF353" s="3"/>
      <c r="AG353" s="3"/>
      <c r="AH353" s="3"/>
      <c r="AI353" s="3"/>
      <c r="AK353" s="3"/>
      <c r="AL353" s="3"/>
      <c r="AM353" s="3"/>
      <c r="AN353" s="3"/>
      <c r="AO353" s="3"/>
      <c r="AP353" s="3"/>
      <c r="AQ353" s="3"/>
      <c r="AR353" s="3"/>
    </row>
    <row r="354" spans="1:44" ht="16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S354" s="3"/>
      <c r="T354" s="3"/>
      <c r="U354" s="3"/>
      <c r="V354" s="3"/>
      <c r="W354" s="3"/>
      <c r="X354" s="3"/>
      <c r="Y354" s="3"/>
      <c r="Z354" s="3"/>
      <c r="AB354" s="3"/>
      <c r="AC354" s="3"/>
      <c r="AD354" s="3"/>
      <c r="AE354" s="3"/>
      <c r="AF354" s="3"/>
      <c r="AG354" s="3"/>
      <c r="AH354" s="3"/>
      <c r="AI354" s="3"/>
      <c r="AK354" s="3"/>
      <c r="AL354" s="3"/>
      <c r="AM354" s="3"/>
      <c r="AN354" s="3"/>
      <c r="AO354" s="3"/>
      <c r="AP354" s="3"/>
      <c r="AQ354" s="3"/>
      <c r="AR354" s="3"/>
    </row>
    <row r="355" spans="1:44" ht="16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S355" s="3"/>
      <c r="T355" s="3"/>
      <c r="U355" s="3"/>
      <c r="V355" s="3"/>
      <c r="W355" s="3"/>
      <c r="X355" s="3"/>
      <c r="Y355" s="3"/>
      <c r="Z355" s="3"/>
      <c r="AB355" s="3"/>
      <c r="AC355" s="3"/>
      <c r="AD355" s="3"/>
      <c r="AE355" s="3"/>
      <c r="AF355" s="3"/>
      <c r="AG355" s="3"/>
      <c r="AH355" s="3"/>
      <c r="AI355" s="3"/>
      <c r="AK355" s="3"/>
      <c r="AL355" s="3"/>
      <c r="AM355" s="3"/>
      <c r="AN355" s="3"/>
      <c r="AO355" s="3"/>
      <c r="AP355" s="3"/>
      <c r="AQ355" s="3"/>
      <c r="AR355" s="3"/>
    </row>
    <row r="356" spans="1:44" ht="16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S356" s="3"/>
      <c r="T356" s="3"/>
      <c r="U356" s="3"/>
      <c r="V356" s="3"/>
      <c r="W356" s="3"/>
      <c r="X356" s="3"/>
      <c r="Y356" s="3"/>
      <c r="Z356" s="3"/>
      <c r="AB356" s="3"/>
      <c r="AC356" s="3"/>
      <c r="AD356" s="3"/>
      <c r="AE356" s="3"/>
      <c r="AF356" s="3"/>
      <c r="AG356" s="3"/>
      <c r="AH356" s="3"/>
      <c r="AI356" s="3"/>
      <c r="AK356" s="3"/>
      <c r="AL356" s="3"/>
      <c r="AM356" s="3"/>
      <c r="AN356" s="3"/>
      <c r="AO356" s="3"/>
      <c r="AP356" s="3"/>
      <c r="AQ356" s="3"/>
      <c r="AR356" s="3"/>
    </row>
    <row r="357" spans="1:44" ht="16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S357" s="3"/>
      <c r="T357" s="3"/>
      <c r="U357" s="3"/>
      <c r="V357" s="3"/>
      <c r="W357" s="3"/>
      <c r="X357" s="3"/>
      <c r="Y357" s="3"/>
      <c r="Z357" s="3"/>
      <c r="AB357" s="3"/>
      <c r="AC357" s="3"/>
      <c r="AD357" s="3"/>
      <c r="AE357" s="3"/>
      <c r="AF357" s="3"/>
      <c r="AG357" s="3"/>
      <c r="AH357" s="3"/>
      <c r="AI357" s="3"/>
      <c r="AK357" s="3"/>
      <c r="AL357" s="3"/>
      <c r="AM357" s="3"/>
      <c r="AN357" s="3"/>
      <c r="AO357" s="3"/>
      <c r="AP357" s="3"/>
      <c r="AQ357" s="3"/>
      <c r="AR357" s="3"/>
    </row>
    <row r="358" spans="1:44" ht="16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S358" s="3"/>
      <c r="T358" s="3"/>
      <c r="U358" s="3"/>
      <c r="V358" s="3"/>
      <c r="W358" s="3"/>
      <c r="X358" s="3"/>
      <c r="Y358" s="3"/>
      <c r="Z358" s="3"/>
      <c r="AB358" s="3"/>
      <c r="AC358" s="3"/>
      <c r="AD358" s="3"/>
      <c r="AE358" s="3"/>
      <c r="AF358" s="3"/>
      <c r="AG358" s="3"/>
      <c r="AH358" s="3"/>
      <c r="AI358" s="3"/>
      <c r="AK358" s="3"/>
      <c r="AL358" s="3"/>
      <c r="AM358" s="3"/>
      <c r="AN358" s="3"/>
      <c r="AO358" s="3"/>
      <c r="AP358" s="3"/>
      <c r="AQ358" s="3"/>
      <c r="AR358" s="3"/>
    </row>
    <row r="359" spans="1:44" ht="16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S359" s="3"/>
      <c r="T359" s="3"/>
      <c r="U359" s="3"/>
      <c r="V359" s="3"/>
      <c r="W359" s="3"/>
      <c r="X359" s="3"/>
      <c r="Y359" s="3"/>
      <c r="Z359" s="3"/>
      <c r="AB359" s="3"/>
      <c r="AC359" s="3"/>
      <c r="AD359" s="3"/>
      <c r="AE359" s="3"/>
      <c r="AF359" s="3"/>
      <c r="AG359" s="3"/>
      <c r="AH359" s="3"/>
      <c r="AI359" s="3"/>
      <c r="AK359" s="3"/>
      <c r="AL359" s="3"/>
      <c r="AM359" s="3"/>
      <c r="AN359" s="3"/>
      <c r="AO359" s="3"/>
      <c r="AP359" s="3"/>
      <c r="AQ359" s="3"/>
      <c r="AR359" s="3"/>
    </row>
    <row r="360" spans="1:44" ht="16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S360" s="3"/>
      <c r="T360" s="3"/>
      <c r="U360" s="3"/>
      <c r="V360" s="3"/>
      <c r="W360" s="3"/>
      <c r="X360" s="3"/>
      <c r="Y360" s="3"/>
      <c r="Z360" s="3"/>
      <c r="AB360" s="3"/>
      <c r="AC360" s="3"/>
      <c r="AD360" s="3"/>
      <c r="AE360" s="3"/>
      <c r="AF360" s="3"/>
      <c r="AG360" s="3"/>
      <c r="AH360" s="3"/>
      <c r="AI360" s="3"/>
      <c r="AK360" s="3"/>
      <c r="AL360" s="3"/>
      <c r="AM360" s="3"/>
      <c r="AN360" s="3"/>
      <c r="AO360" s="3"/>
      <c r="AP360" s="3"/>
      <c r="AQ360" s="3"/>
      <c r="AR360" s="3"/>
    </row>
    <row r="361" spans="1:44" ht="16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S361" s="3"/>
      <c r="T361" s="3"/>
      <c r="U361" s="3"/>
      <c r="V361" s="3"/>
      <c r="W361" s="3"/>
      <c r="X361" s="3"/>
      <c r="Y361" s="3"/>
      <c r="Z361" s="3"/>
      <c r="AB361" s="3"/>
      <c r="AC361" s="3"/>
      <c r="AD361" s="3"/>
      <c r="AE361" s="3"/>
      <c r="AF361" s="3"/>
      <c r="AG361" s="3"/>
      <c r="AH361" s="3"/>
      <c r="AI361" s="3"/>
      <c r="AK361" s="3"/>
      <c r="AL361" s="3"/>
      <c r="AM361" s="3"/>
      <c r="AN361" s="3"/>
      <c r="AO361" s="3"/>
      <c r="AP361" s="3"/>
      <c r="AQ361" s="3"/>
      <c r="AR361" s="3"/>
    </row>
    <row r="362" spans="1:44" ht="16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S362" s="3"/>
      <c r="T362" s="3"/>
      <c r="U362" s="3"/>
      <c r="V362" s="3"/>
      <c r="W362" s="3"/>
      <c r="X362" s="3"/>
      <c r="Y362" s="3"/>
      <c r="Z362" s="3"/>
      <c r="AB362" s="3"/>
      <c r="AC362" s="3"/>
      <c r="AD362" s="3"/>
      <c r="AE362" s="3"/>
      <c r="AF362" s="3"/>
      <c r="AG362" s="3"/>
      <c r="AH362" s="3"/>
      <c r="AI362" s="3"/>
      <c r="AK362" s="3"/>
      <c r="AL362" s="3"/>
      <c r="AM362" s="3"/>
      <c r="AN362" s="3"/>
      <c r="AO362" s="3"/>
      <c r="AP362" s="3"/>
      <c r="AQ362" s="3"/>
      <c r="AR362" s="3"/>
    </row>
    <row r="363" spans="1:44" ht="16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S363" s="3"/>
      <c r="T363" s="3"/>
      <c r="U363" s="3"/>
      <c r="V363" s="3"/>
      <c r="W363" s="3"/>
      <c r="X363" s="3"/>
      <c r="Y363" s="3"/>
      <c r="Z363" s="3"/>
      <c r="AB363" s="3"/>
      <c r="AC363" s="3"/>
      <c r="AD363" s="3"/>
      <c r="AE363" s="3"/>
      <c r="AF363" s="3"/>
      <c r="AG363" s="3"/>
      <c r="AH363" s="3"/>
      <c r="AI363" s="3"/>
      <c r="AK363" s="3"/>
      <c r="AL363" s="3"/>
      <c r="AM363" s="3"/>
      <c r="AN363" s="3"/>
      <c r="AO363" s="3"/>
      <c r="AP363" s="3"/>
      <c r="AQ363" s="3"/>
      <c r="AR363" s="3"/>
    </row>
    <row r="364" spans="1:44" ht="16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S364" s="3"/>
      <c r="T364" s="3"/>
      <c r="U364" s="3"/>
      <c r="V364" s="3"/>
      <c r="W364" s="3"/>
      <c r="X364" s="3"/>
      <c r="Y364" s="3"/>
      <c r="Z364" s="3"/>
      <c r="AB364" s="3"/>
      <c r="AC364" s="3"/>
      <c r="AD364" s="3"/>
      <c r="AE364" s="3"/>
      <c r="AF364" s="3"/>
      <c r="AG364" s="3"/>
      <c r="AH364" s="3"/>
      <c r="AI364" s="3"/>
      <c r="AK364" s="3"/>
      <c r="AL364" s="3"/>
      <c r="AM364" s="3"/>
      <c r="AN364" s="3"/>
      <c r="AO364" s="3"/>
      <c r="AP364" s="3"/>
      <c r="AQ364" s="3"/>
      <c r="AR364" s="3"/>
    </row>
    <row r="365" spans="1:44" ht="16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S365" s="3"/>
      <c r="T365" s="3"/>
      <c r="U365" s="3"/>
      <c r="V365" s="3"/>
      <c r="W365" s="3"/>
      <c r="X365" s="3"/>
      <c r="Y365" s="3"/>
      <c r="Z365" s="3"/>
      <c r="AB365" s="3"/>
      <c r="AC365" s="3"/>
      <c r="AD365" s="3"/>
      <c r="AE365" s="3"/>
      <c r="AF365" s="3"/>
      <c r="AG365" s="3"/>
      <c r="AH365" s="3"/>
      <c r="AI365" s="3"/>
      <c r="AK365" s="3"/>
      <c r="AL365" s="3"/>
      <c r="AM365" s="3"/>
      <c r="AN365" s="3"/>
      <c r="AO365" s="3"/>
      <c r="AP365" s="3"/>
      <c r="AQ365" s="3"/>
      <c r="AR365" s="3"/>
    </row>
    <row r="366" spans="1:44" ht="16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S366" s="3"/>
      <c r="T366" s="3"/>
      <c r="U366" s="3"/>
      <c r="V366" s="3"/>
      <c r="W366" s="3"/>
      <c r="X366" s="3"/>
      <c r="Y366" s="3"/>
      <c r="Z366" s="3"/>
      <c r="AB366" s="3"/>
      <c r="AC366" s="3"/>
      <c r="AD366" s="3"/>
      <c r="AE366" s="3"/>
      <c r="AF366" s="3"/>
      <c r="AG366" s="3"/>
      <c r="AH366" s="3"/>
      <c r="AI366" s="3"/>
      <c r="AK366" s="3"/>
      <c r="AL366" s="3"/>
      <c r="AM366" s="3"/>
      <c r="AN366" s="3"/>
      <c r="AO366" s="3"/>
      <c r="AP366" s="3"/>
      <c r="AQ366" s="3"/>
      <c r="AR366" s="3"/>
    </row>
    <row r="367" spans="1:44" ht="16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S367" s="3"/>
      <c r="T367" s="3"/>
      <c r="U367" s="3"/>
      <c r="V367" s="3"/>
      <c r="W367" s="3"/>
      <c r="X367" s="3"/>
      <c r="Y367" s="3"/>
      <c r="Z367" s="3"/>
      <c r="AB367" s="3"/>
      <c r="AC367" s="3"/>
      <c r="AD367" s="3"/>
      <c r="AE367" s="3"/>
      <c r="AF367" s="3"/>
      <c r="AG367" s="3"/>
      <c r="AH367" s="3"/>
      <c r="AI367" s="3"/>
      <c r="AK367" s="3"/>
      <c r="AL367" s="3"/>
      <c r="AM367" s="3"/>
      <c r="AN367" s="3"/>
      <c r="AO367" s="3"/>
      <c r="AP367" s="3"/>
      <c r="AQ367" s="3"/>
      <c r="AR367" s="3"/>
    </row>
    <row r="368" spans="1:44" ht="16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S368" s="3"/>
      <c r="T368" s="3"/>
      <c r="U368" s="3"/>
      <c r="V368" s="3"/>
      <c r="W368" s="3"/>
      <c r="X368" s="3"/>
      <c r="Y368" s="3"/>
      <c r="Z368" s="3"/>
      <c r="AB368" s="3"/>
      <c r="AC368" s="3"/>
      <c r="AD368" s="3"/>
      <c r="AE368" s="3"/>
      <c r="AF368" s="3"/>
      <c r="AG368" s="3"/>
      <c r="AH368" s="3"/>
      <c r="AI368" s="3"/>
      <c r="AK368" s="3"/>
      <c r="AL368" s="3"/>
      <c r="AM368" s="3"/>
      <c r="AN368" s="3"/>
      <c r="AO368" s="3"/>
      <c r="AP368" s="3"/>
      <c r="AQ368" s="3"/>
      <c r="AR368" s="3"/>
    </row>
    <row r="369" spans="1:44" ht="16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S369" s="3"/>
      <c r="T369" s="3"/>
      <c r="U369" s="3"/>
      <c r="V369" s="3"/>
      <c r="W369" s="3"/>
      <c r="X369" s="3"/>
      <c r="Y369" s="3"/>
      <c r="Z369" s="3"/>
      <c r="AB369" s="3"/>
      <c r="AC369" s="3"/>
      <c r="AD369" s="3"/>
      <c r="AE369" s="3"/>
      <c r="AF369" s="3"/>
      <c r="AG369" s="3"/>
      <c r="AH369" s="3"/>
      <c r="AI369" s="3"/>
      <c r="AK369" s="3"/>
      <c r="AL369" s="3"/>
      <c r="AM369" s="3"/>
      <c r="AN369" s="3"/>
      <c r="AO369" s="3"/>
      <c r="AP369" s="3"/>
      <c r="AQ369" s="3"/>
      <c r="AR369" s="3"/>
    </row>
    <row r="370" spans="1:44" ht="16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S370" s="3"/>
      <c r="T370" s="3"/>
      <c r="U370" s="3"/>
      <c r="V370" s="3"/>
      <c r="W370" s="3"/>
      <c r="X370" s="3"/>
      <c r="Y370" s="3"/>
      <c r="Z370" s="3"/>
      <c r="AB370" s="3"/>
      <c r="AC370" s="3"/>
      <c r="AD370" s="3"/>
      <c r="AE370" s="3"/>
      <c r="AF370" s="3"/>
      <c r="AG370" s="3"/>
      <c r="AH370" s="3"/>
      <c r="AI370" s="3"/>
      <c r="AK370" s="3"/>
      <c r="AL370" s="3"/>
      <c r="AM370" s="3"/>
      <c r="AN370" s="3"/>
      <c r="AO370" s="3"/>
      <c r="AP370" s="3"/>
      <c r="AQ370" s="3"/>
      <c r="AR370" s="3"/>
    </row>
    <row r="371" spans="1:44" ht="16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S371" s="3"/>
      <c r="T371" s="3"/>
      <c r="U371" s="3"/>
      <c r="V371" s="3"/>
      <c r="W371" s="3"/>
      <c r="X371" s="3"/>
      <c r="Y371" s="3"/>
      <c r="Z371" s="3"/>
      <c r="AB371" s="3"/>
      <c r="AC371" s="3"/>
      <c r="AD371" s="3"/>
      <c r="AE371" s="3"/>
      <c r="AF371" s="3"/>
      <c r="AG371" s="3"/>
      <c r="AH371" s="3"/>
      <c r="AI371" s="3"/>
      <c r="AK371" s="3"/>
      <c r="AL371" s="3"/>
      <c r="AM371" s="3"/>
      <c r="AN371" s="3"/>
      <c r="AO371" s="3"/>
      <c r="AP371" s="3"/>
      <c r="AQ371" s="3"/>
      <c r="AR371" s="3"/>
    </row>
    <row r="372" spans="1:44" ht="16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S372" s="3"/>
      <c r="T372" s="3"/>
      <c r="U372" s="3"/>
      <c r="V372" s="3"/>
      <c r="W372" s="3"/>
      <c r="X372" s="3"/>
      <c r="Y372" s="3"/>
      <c r="Z372" s="3"/>
      <c r="AB372" s="3"/>
      <c r="AC372" s="3"/>
      <c r="AD372" s="3"/>
      <c r="AE372" s="3"/>
      <c r="AF372" s="3"/>
      <c r="AG372" s="3"/>
      <c r="AH372" s="3"/>
      <c r="AI372" s="3"/>
      <c r="AK372" s="3"/>
      <c r="AL372" s="3"/>
      <c r="AM372" s="3"/>
      <c r="AN372" s="3"/>
      <c r="AO372" s="3"/>
      <c r="AP372" s="3"/>
      <c r="AQ372" s="3"/>
      <c r="AR372" s="3"/>
    </row>
    <row r="373" spans="1:44" ht="16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S373" s="3"/>
      <c r="T373" s="3"/>
      <c r="U373" s="3"/>
      <c r="V373" s="3"/>
      <c r="W373" s="3"/>
      <c r="X373" s="3"/>
      <c r="Y373" s="3"/>
      <c r="Z373" s="3"/>
      <c r="AB373" s="3"/>
      <c r="AC373" s="3"/>
      <c r="AD373" s="3"/>
      <c r="AE373" s="3"/>
      <c r="AF373" s="3"/>
      <c r="AG373" s="3"/>
      <c r="AH373" s="3"/>
      <c r="AI373" s="3"/>
      <c r="AK373" s="3"/>
      <c r="AL373" s="3"/>
      <c r="AM373" s="3"/>
      <c r="AN373" s="3"/>
      <c r="AO373" s="3"/>
      <c r="AP373" s="3"/>
      <c r="AQ373" s="3"/>
      <c r="AR373" s="3"/>
    </row>
    <row r="374" spans="1:44" ht="16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S374" s="3"/>
      <c r="T374" s="3"/>
      <c r="U374" s="3"/>
      <c r="V374" s="3"/>
      <c r="W374" s="3"/>
      <c r="X374" s="3"/>
      <c r="Y374" s="3"/>
      <c r="Z374" s="3"/>
      <c r="AB374" s="3"/>
      <c r="AC374" s="3"/>
      <c r="AD374" s="3"/>
      <c r="AE374" s="3"/>
      <c r="AF374" s="3"/>
      <c r="AG374" s="3"/>
      <c r="AH374" s="3"/>
      <c r="AI374" s="3"/>
      <c r="AK374" s="3"/>
      <c r="AL374" s="3"/>
      <c r="AM374" s="3"/>
      <c r="AN374" s="3"/>
      <c r="AO374" s="3"/>
      <c r="AP374" s="3"/>
      <c r="AQ374" s="3"/>
      <c r="AR374" s="3"/>
    </row>
    <row r="375" spans="1:44" ht="16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S375" s="3"/>
      <c r="T375" s="3"/>
      <c r="U375" s="3"/>
      <c r="V375" s="3"/>
      <c r="W375" s="3"/>
      <c r="X375" s="3"/>
      <c r="Y375" s="3"/>
      <c r="Z375" s="3"/>
      <c r="AB375" s="3"/>
      <c r="AC375" s="3"/>
      <c r="AD375" s="3"/>
      <c r="AE375" s="3"/>
      <c r="AF375" s="3"/>
      <c r="AG375" s="3"/>
      <c r="AH375" s="3"/>
      <c r="AI375" s="3"/>
      <c r="AK375" s="3"/>
      <c r="AL375" s="3"/>
      <c r="AM375" s="3"/>
      <c r="AN375" s="3"/>
      <c r="AO375" s="3"/>
      <c r="AP375" s="3"/>
      <c r="AQ375" s="3"/>
      <c r="AR375" s="3"/>
    </row>
    <row r="376" spans="1:44" ht="16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S376" s="3"/>
      <c r="T376" s="3"/>
      <c r="U376" s="3"/>
      <c r="V376" s="3"/>
      <c r="W376" s="3"/>
      <c r="X376" s="3"/>
      <c r="Y376" s="3"/>
      <c r="Z376" s="3"/>
      <c r="AB376" s="3"/>
      <c r="AC376" s="3"/>
      <c r="AD376" s="3"/>
      <c r="AE376" s="3"/>
      <c r="AF376" s="3"/>
      <c r="AG376" s="3"/>
      <c r="AH376" s="3"/>
      <c r="AI376" s="3"/>
      <c r="AK376" s="3"/>
      <c r="AL376" s="3"/>
      <c r="AM376" s="3"/>
      <c r="AN376" s="3"/>
      <c r="AO376" s="3"/>
      <c r="AP376" s="3"/>
      <c r="AQ376" s="3"/>
      <c r="AR376" s="3"/>
    </row>
    <row r="377" spans="1:44" ht="16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S377" s="3"/>
      <c r="T377" s="3"/>
      <c r="U377" s="3"/>
      <c r="V377" s="3"/>
      <c r="W377" s="3"/>
      <c r="X377" s="3"/>
      <c r="Y377" s="3"/>
      <c r="Z377" s="3"/>
      <c r="AB377" s="3"/>
      <c r="AC377" s="3"/>
      <c r="AD377" s="3"/>
      <c r="AE377" s="3"/>
      <c r="AF377" s="3"/>
      <c r="AG377" s="3"/>
      <c r="AH377" s="3"/>
      <c r="AI377" s="3"/>
      <c r="AK377" s="3"/>
      <c r="AL377" s="3"/>
      <c r="AM377" s="3"/>
      <c r="AN377" s="3"/>
      <c r="AO377" s="3"/>
      <c r="AP377" s="3"/>
      <c r="AQ377" s="3"/>
      <c r="AR377" s="3"/>
    </row>
    <row r="378" spans="1:44" ht="16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S378" s="3"/>
      <c r="T378" s="3"/>
      <c r="U378" s="3"/>
      <c r="V378" s="3"/>
      <c r="W378" s="3"/>
      <c r="X378" s="3"/>
      <c r="Y378" s="3"/>
      <c r="Z378" s="3"/>
      <c r="AB378" s="3"/>
      <c r="AC378" s="3"/>
      <c r="AD378" s="3"/>
      <c r="AE378" s="3"/>
      <c r="AF378" s="3"/>
      <c r="AG378" s="3"/>
      <c r="AH378" s="3"/>
      <c r="AI378" s="3"/>
      <c r="AK378" s="3"/>
      <c r="AL378" s="3"/>
      <c r="AM378" s="3"/>
      <c r="AN378" s="3"/>
      <c r="AO378" s="3"/>
      <c r="AP378" s="3"/>
      <c r="AQ378" s="3"/>
      <c r="AR378" s="3"/>
    </row>
    <row r="379" spans="1:44" ht="16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S379" s="3"/>
      <c r="T379" s="3"/>
      <c r="U379" s="3"/>
      <c r="V379" s="3"/>
      <c r="W379" s="3"/>
      <c r="X379" s="3"/>
      <c r="Y379" s="3"/>
      <c r="Z379" s="3"/>
      <c r="AB379" s="3"/>
      <c r="AC379" s="3"/>
      <c r="AD379" s="3"/>
      <c r="AE379" s="3"/>
      <c r="AF379" s="3"/>
      <c r="AG379" s="3"/>
      <c r="AH379" s="3"/>
      <c r="AI379" s="3"/>
      <c r="AK379" s="3"/>
      <c r="AL379" s="3"/>
      <c r="AM379" s="3"/>
      <c r="AN379" s="3"/>
      <c r="AO379" s="3"/>
      <c r="AP379" s="3"/>
      <c r="AQ379" s="3"/>
      <c r="AR379" s="3"/>
    </row>
    <row r="380" spans="1:44" ht="16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S380" s="3"/>
      <c r="T380" s="3"/>
      <c r="U380" s="3"/>
      <c r="V380" s="3"/>
      <c r="W380" s="3"/>
      <c r="X380" s="3"/>
      <c r="Y380" s="3"/>
      <c r="Z380" s="3"/>
      <c r="AB380" s="3"/>
      <c r="AC380" s="3"/>
      <c r="AD380" s="3"/>
      <c r="AE380" s="3"/>
      <c r="AF380" s="3"/>
      <c r="AG380" s="3"/>
      <c r="AH380" s="3"/>
      <c r="AI380" s="3"/>
      <c r="AK380" s="3"/>
      <c r="AL380" s="3"/>
      <c r="AM380" s="3"/>
      <c r="AN380" s="3"/>
      <c r="AO380" s="3"/>
      <c r="AP380" s="3"/>
      <c r="AQ380" s="3"/>
      <c r="AR380" s="3"/>
    </row>
    <row r="381" spans="1:44" ht="16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S381" s="3"/>
      <c r="T381" s="3"/>
      <c r="U381" s="3"/>
      <c r="V381" s="3"/>
      <c r="W381" s="3"/>
      <c r="X381" s="3"/>
      <c r="Y381" s="3"/>
      <c r="Z381" s="3"/>
      <c r="AB381" s="3"/>
      <c r="AC381" s="3"/>
      <c r="AD381" s="3"/>
      <c r="AE381" s="3"/>
      <c r="AF381" s="3"/>
      <c r="AG381" s="3"/>
      <c r="AH381" s="3"/>
      <c r="AI381" s="3"/>
      <c r="AK381" s="3"/>
      <c r="AL381" s="3"/>
      <c r="AM381" s="3"/>
      <c r="AN381" s="3"/>
      <c r="AO381" s="3"/>
      <c r="AP381" s="3"/>
      <c r="AQ381" s="3"/>
      <c r="AR381" s="3"/>
    </row>
    <row r="382" spans="1:44" ht="16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S382" s="3"/>
      <c r="T382" s="3"/>
      <c r="U382" s="3"/>
      <c r="V382" s="3"/>
      <c r="W382" s="3"/>
      <c r="X382" s="3"/>
      <c r="Y382" s="3"/>
      <c r="Z382" s="3"/>
      <c r="AB382" s="3"/>
      <c r="AC382" s="3"/>
      <c r="AD382" s="3"/>
      <c r="AE382" s="3"/>
      <c r="AF382" s="3"/>
      <c r="AG382" s="3"/>
      <c r="AH382" s="3"/>
      <c r="AI382" s="3"/>
      <c r="AK382" s="3"/>
      <c r="AL382" s="3"/>
      <c r="AM382" s="3"/>
      <c r="AN382" s="3"/>
      <c r="AO382" s="3"/>
      <c r="AP382" s="3"/>
      <c r="AQ382" s="3"/>
      <c r="AR382" s="3"/>
    </row>
    <row r="383" spans="1:44" ht="16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S383" s="3"/>
      <c r="T383" s="3"/>
      <c r="U383" s="3"/>
      <c r="V383" s="3"/>
      <c r="W383" s="3"/>
      <c r="X383" s="3"/>
      <c r="Y383" s="3"/>
      <c r="Z383" s="3"/>
      <c r="AB383" s="3"/>
      <c r="AC383" s="3"/>
      <c r="AD383" s="3"/>
      <c r="AE383" s="3"/>
      <c r="AF383" s="3"/>
      <c r="AG383" s="3"/>
      <c r="AH383" s="3"/>
      <c r="AI383" s="3"/>
      <c r="AK383" s="3"/>
      <c r="AL383" s="3"/>
      <c r="AM383" s="3"/>
      <c r="AN383" s="3"/>
      <c r="AO383" s="3"/>
      <c r="AP383" s="3"/>
      <c r="AQ383" s="3"/>
      <c r="AR383" s="3"/>
    </row>
    <row r="384" spans="1:44" ht="16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S384" s="3"/>
      <c r="T384" s="3"/>
      <c r="U384" s="3"/>
      <c r="V384" s="3"/>
      <c r="W384" s="3"/>
      <c r="X384" s="3"/>
      <c r="Y384" s="3"/>
      <c r="Z384" s="3"/>
      <c r="AB384" s="3"/>
      <c r="AC384" s="3"/>
      <c r="AD384" s="3"/>
      <c r="AE384" s="3"/>
      <c r="AF384" s="3"/>
      <c r="AG384" s="3"/>
      <c r="AH384" s="3"/>
      <c r="AI384" s="3"/>
      <c r="AK384" s="3"/>
      <c r="AL384" s="3"/>
      <c r="AM384" s="3"/>
      <c r="AN384" s="3"/>
      <c r="AO384" s="3"/>
      <c r="AP384" s="3"/>
      <c r="AQ384" s="3"/>
      <c r="AR384" s="3"/>
    </row>
    <row r="385" spans="1:44" ht="16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S385" s="3"/>
      <c r="T385" s="3"/>
      <c r="U385" s="3"/>
      <c r="V385" s="3"/>
      <c r="W385" s="3"/>
      <c r="X385" s="3"/>
      <c r="Y385" s="3"/>
      <c r="Z385" s="3"/>
      <c r="AB385" s="3"/>
      <c r="AC385" s="3"/>
      <c r="AD385" s="3"/>
      <c r="AE385" s="3"/>
      <c r="AF385" s="3"/>
      <c r="AG385" s="3"/>
      <c r="AH385" s="3"/>
      <c r="AI385" s="3"/>
      <c r="AK385" s="3"/>
      <c r="AL385" s="3"/>
      <c r="AM385" s="3"/>
      <c r="AN385" s="3"/>
      <c r="AO385" s="3"/>
      <c r="AP385" s="3"/>
      <c r="AQ385" s="3"/>
      <c r="AR385" s="3"/>
    </row>
    <row r="386" spans="1:44" ht="16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S386" s="3"/>
      <c r="T386" s="3"/>
      <c r="U386" s="3"/>
      <c r="V386" s="3"/>
      <c r="W386" s="3"/>
      <c r="X386" s="3"/>
      <c r="Y386" s="3"/>
      <c r="Z386" s="3"/>
      <c r="AB386" s="3"/>
      <c r="AC386" s="3"/>
      <c r="AD386" s="3"/>
      <c r="AE386" s="3"/>
      <c r="AF386" s="3"/>
      <c r="AG386" s="3"/>
      <c r="AH386" s="3"/>
      <c r="AI386" s="3"/>
      <c r="AK386" s="3"/>
      <c r="AL386" s="3"/>
      <c r="AM386" s="3"/>
      <c r="AN386" s="3"/>
      <c r="AO386" s="3"/>
      <c r="AP386" s="3"/>
      <c r="AQ386" s="3"/>
      <c r="AR386" s="3"/>
    </row>
    <row r="387" spans="1:44" ht="16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S387" s="3"/>
      <c r="T387" s="3"/>
      <c r="U387" s="3"/>
      <c r="V387" s="3"/>
      <c r="W387" s="3"/>
      <c r="X387" s="3"/>
      <c r="Y387" s="3"/>
      <c r="Z387" s="3"/>
      <c r="AB387" s="3"/>
      <c r="AC387" s="3"/>
      <c r="AD387" s="3"/>
      <c r="AE387" s="3"/>
      <c r="AF387" s="3"/>
      <c r="AG387" s="3"/>
      <c r="AH387" s="3"/>
      <c r="AI387" s="3"/>
      <c r="AK387" s="3"/>
      <c r="AL387" s="3"/>
      <c r="AM387" s="3"/>
      <c r="AN387" s="3"/>
      <c r="AO387" s="3"/>
      <c r="AP387" s="3"/>
      <c r="AQ387" s="3"/>
      <c r="AR387" s="3"/>
    </row>
    <row r="388" spans="1:44" ht="16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S388" s="3"/>
      <c r="T388" s="3"/>
      <c r="U388" s="3"/>
      <c r="V388" s="3"/>
      <c r="W388" s="3"/>
      <c r="X388" s="3"/>
      <c r="Y388" s="3"/>
      <c r="Z388" s="3"/>
      <c r="AB388" s="3"/>
      <c r="AC388" s="3"/>
      <c r="AD388" s="3"/>
      <c r="AE388" s="3"/>
      <c r="AF388" s="3"/>
      <c r="AG388" s="3"/>
      <c r="AH388" s="3"/>
      <c r="AI388" s="3"/>
      <c r="AK388" s="3"/>
      <c r="AL388" s="3"/>
      <c r="AM388" s="3"/>
      <c r="AN388" s="3"/>
      <c r="AO388" s="3"/>
      <c r="AP388" s="3"/>
      <c r="AQ388" s="3"/>
      <c r="AR388" s="3"/>
    </row>
    <row r="389" spans="1:44" ht="16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S389" s="3"/>
      <c r="T389" s="3"/>
      <c r="U389" s="3"/>
      <c r="V389" s="3"/>
      <c r="W389" s="3"/>
      <c r="X389" s="3"/>
      <c r="Y389" s="3"/>
      <c r="Z389" s="3"/>
      <c r="AB389" s="3"/>
      <c r="AC389" s="3"/>
      <c r="AD389" s="3"/>
      <c r="AE389" s="3"/>
      <c r="AF389" s="3"/>
      <c r="AG389" s="3"/>
      <c r="AH389" s="3"/>
      <c r="AI389" s="3"/>
      <c r="AK389" s="3"/>
      <c r="AL389" s="3"/>
      <c r="AM389" s="3"/>
      <c r="AN389" s="3"/>
      <c r="AO389" s="3"/>
      <c r="AP389" s="3"/>
      <c r="AQ389" s="3"/>
      <c r="AR389" s="3"/>
    </row>
    <row r="390" spans="1:44" ht="16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S390" s="3"/>
      <c r="T390" s="3"/>
      <c r="U390" s="3"/>
      <c r="V390" s="3"/>
      <c r="W390" s="3"/>
      <c r="X390" s="3"/>
      <c r="Y390" s="3"/>
      <c r="Z390" s="3"/>
      <c r="AB390" s="3"/>
      <c r="AC390" s="3"/>
      <c r="AD390" s="3"/>
      <c r="AE390" s="3"/>
      <c r="AF390" s="3"/>
      <c r="AG390" s="3"/>
      <c r="AH390" s="3"/>
      <c r="AI390" s="3"/>
      <c r="AK390" s="3"/>
      <c r="AL390" s="3"/>
      <c r="AM390" s="3"/>
      <c r="AN390" s="3"/>
      <c r="AO390" s="3"/>
      <c r="AP390" s="3"/>
      <c r="AQ390" s="3"/>
      <c r="AR390" s="3"/>
    </row>
    <row r="391" spans="1:44" ht="16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S391" s="3"/>
      <c r="T391" s="3"/>
      <c r="U391" s="3"/>
      <c r="V391" s="3"/>
      <c r="W391" s="3"/>
      <c r="X391" s="3"/>
      <c r="Y391" s="3"/>
      <c r="Z391" s="3"/>
      <c r="AB391" s="3"/>
      <c r="AC391" s="3"/>
      <c r="AD391" s="3"/>
      <c r="AE391" s="3"/>
      <c r="AF391" s="3"/>
      <c r="AG391" s="3"/>
      <c r="AH391" s="3"/>
      <c r="AI391" s="3"/>
      <c r="AK391" s="3"/>
      <c r="AL391" s="3"/>
      <c r="AM391" s="3"/>
      <c r="AN391" s="3"/>
      <c r="AO391" s="3"/>
      <c r="AP391" s="3"/>
      <c r="AQ391" s="3"/>
      <c r="AR391" s="3"/>
    </row>
    <row r="392" spans="1:44" ht="16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S392" s="3"/>
      <c r="T392" s="3"/>
      <c r="U392" s="3"/>
      <c r="V392" s="3"/>
      <c r="W392" s="3"/>
      <c r="X392" s="3"/>
      <c r="Y392" s="3"/>
      <c r="Z392" s="3"/>
      <c r="AB392" s="3"/>
      <c r="AC392" s="3"/>
      <c r="AD392" s="3"/>
      <c r="AE392" s="3"/>
      <c r="AF392" s="3"/>
      <c r="AG392" s="3"/>
      <c r="AH392" s="3"/>
      <c r="AI392" s="3"/>
      <c r="AK392" s="3"/>
      <c r="AL392" s="3"/>
      <c r="AM392" s="3"/>
      <c r="AN392" s="3"/>
      <c r="AO392" s="3"/>
      <c r="AP392" s="3"/>
      <c r="AQ392" s="3"/>
      <c r="AR392" s="3"/>
    </row>
    <row r="393" spans="1:44" ht="16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S393" s="3"/>
      <c r="T393" s="3"/>
      <c r="U393" s="3"/>
      <c r="V393" s="3"/>
      <c r="W393" s="3"/>
      <c r="X393" s="3"/>
      <c r="Y393" s="3"/>
      <c r="Z393" s="3"/>
      <c r="AB393" s="3"/>
      <c r="AC393" s="3"/>
      <c r="AD393" s="3"/>
      <c r="AE393" s="3"/>
      <c r="AF393" s="3"/>
      <c r="AG393" s="3"/>
      <c r="AH393" s="3"/>
      <c r="AI393" s="3"/>
      <c r="AK393" s="3"/>
      <c r="AL393" s="3"/>
      <c r="AM393" s="3"/>
      <c r="AN393" s="3"/>
      <c r="AO393" s="3"/>
      <c r="AP393" s="3"/>
      <c r="AQ393" s="3"/>
      <c r="AR393" s="3"/>
    </row>
    <row r="394" spans="1:44" ht="16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S394" s="3"/>
      <c r="T394" s="3"/>
      <c r="U394" s="3"/>
      <c r="V394" s="3"/>
      <c r="W394" s="3"/>
      <c r="X394" s="3"/>
      <c r="Y394" s="3"/>
      <c r="Z394" s="3"/>
      <c r="AB394" s="3"/>
      <c r="AC394" s="3"/>
      <c r="AD394" s="3"/>
      <c r="AE394" s="3"/>
      <c r="AF394" s="3"/>
      <c r="AG394" s="3"/>
      <c r="AH394" s="3"/>
      <c r="AI394" s="3"/>
      <c r="AK394" s="3"/>
      <c r="AL394" s="3"/>
      <c r="AM394" s="3"/>
      <c r="AN394" s="3"/>
      <c r="AO394" s="3"/>
      <c r="AP394" s="3"/>
      <c r="AQ394" s="3"/>
      <c r="AR394" s="3"/>
    </row>
    <row r="395" spans="1:44" ht="16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S395" s="3"/>
      <c r="T395" s="3"/>
      <c r="U395" s="3"/>
      <c r="V395" s="3"/>
      <c r="W395" s="3"/>
      <c r="X395" s="3"/>
      <c r="Y395" s="3"/>
      <c r="Z395" s="3"/>
      <c r="AB395" s="3"/>
      <c r="AC395" s="3"/>
      <c r="AD395" s="3"/>
      <c r="AE395" s="3"/>
      <c r="AF395" s="3"/>
      <c r="AG395" s="3"/>
      <c r="AH395" s="3"/>
      <c r="AI395" s="3"/>
      <c r="AK395" s="3"/>
      <c r="AL395" s="3"/>
      <c r="AM395" s="3"/>
      <c r="AN395" s="3"/>
      <c r="AO395" s="3"/>
      <c r="AP395" s="3"/>
      <c r="AQ395" s="3"/>
      <c r="AR395" s="3"/>
    </row>
    <row r="396" spans="1:44" ht="16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S396" s="3"/>
      <c r="T396" s="3"/>
      <c r="U396" s="3"/>
      <c r="V396" s="3"/>
      <c r="W396" s="3"/>
      <c r="X396" s="3"/>
      <c r="Y396" s="3"/>
      <c r="Z396" s="3"/>
      <c r="AB396" s="3"/>
      <c r="AC396" s="3"/>
      <c r="AD396" s="3"/>
      <c r="AE396" s="3"/>
      <c r="AF396" s="3"/>
      <c r="AG396" s="3"/>
      <c r="AH396" s="3"/>
      <c r="AI396" s="3"/>
      <c r="AK396" s="3"/>
      <c r="AL396" s="3"/>
      <c r="AM396" s="3"/>
      <c r="AN396" s="3"/>
      <c r="AO396" s="3"/>
      <c r="AP396" s="3"/>
      <c r="AQ396" s="3"/>
      <c r="AR396" s="3"/>
    </row>
    <row r="397" spans="1:44" ht="16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S397" s="3"/>
      <c r="T397" s="3"/>
      <c r="U397" s="3"/>
      <c r="V397" s="3"/>
      <c r="W397" s="3"/>
      <c r="X397" s="3"/>
      <c r="Y397" s="3"/>
      <c r="Z397" s="3"/>
      <c r="AB397" s="3"/>
      <c r="AC397" s="3"/>
      <c r="AD397" s="3"/>
      <c r="AE397" s="3"/>
      <c r="AF397" s="3"/>
      <c r="AG397" s="3"/>
      <c r="AH397" s="3"/>
      <c r="AI397" s="3"/>
      <c r="AK397" s="3"/>
      <c r="AL397" s="3"/>
      <c r="AM397" s="3"/>
      <c r="AN397" s="3"/>
      <c r="AO397" s="3"/>
      <c r="AP397" s="3"/>
      <c r="AQ397" s="3"/>
      <c r="AR397" s="3"/>
    </row>
    <row r="398" spans="1:44" ht="16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S398" s="3"/>
      <c r="T398" s="3"/>
      <c r="U398" s="3"/>
      <c r="V398" s="3"/>
      <c r="W398" s="3"/>
      <c r="X398" s="3"/>
      <c r="Y398" s="3"/>
      <c r="Z398" s="3"/>
      <c r="AB398" s="3"/>
      <c r="AC398" s="3"/>
      <c r="AD398" s="3"/>
      <c r="AE398" s="3"/>
      <c r="AF398" s="3"/>
      <c r="AG398" s="3"/>
      <c r="AH398" s="3"/>
      <c r="AI398" s="3"/>
      <c r="AK398" s="3"/>
      <c r="AL398" s="3"/>
      <c r="AM398" s="3"/>
      <c r="AN398" s="3"/>
      <c r="AO398" s="3"/>
      <c r="AP398" s="3"/>
      <c r="AQ398" s="3"/>
      <c r="AR398" s="3"/>
    </row>
    <row r="399" spans="1:44" ht="16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S399" s="3"/>
      <c r="T399" s="3"/>
      <c r="U399" s="3"/>
      <c r="V399" s="3"/>
      <c r="W399" s="3"/>
      <c r="X399" s="3"/>
      <c r="Y399" s="3"/>
      <c r="Z399" s="3"/>
      <c r="AB399" s="3"/>
      <c r="AC399" s="3"/>
      <c r="AD399" s="3"/>
      <c r="AE399" s="3"/>
      <c r="AF399" s="3"/>
      <c r="AG399" s="3"/>
      <c r="AH399" s="3"/>
      <c r="AI399" s="3"/>
      <c r="AK399" s="3"/>
      <c r="AL399" s="3"/>
      <c r="AM399" s="3"/>
      <c r="AN399" s="3"/>
      <c r="AO399" s="3"/>
      <c r="AP399" s="3"/>
      <c r="AQ399" s="3"/>
      <c r="AR399" s="3"/>
    </row>
    <row r="400" spans="1:44" ht="16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S400" s="3"/>
      <c r="T400" s="3"/>
      <c r="U400" s="3"/>
      <c r="V400" s="3"/>
      <c r="W400" s="3"/>
      <c r="X400" s="3"/>
      <c r="Y400" s="3"/>
      <c r="Z400" s="3"/>
      <c r="AB400" s="3"/>
      <c r="AC400" s="3"/>
      <c r="AD400" s="3"/>
      <c r="AE400" s="3"/>
      <c r="AF400" s="3"/>
      <c r="AG400" s="3"/>
      <c r="AH400" s="3"/>
      <c r="AI400" s="3"/>
      <c r="AK400" s="3"/>
      <c r="AL400" s="3"/>
      <c r="AM400" s="3"/>
      <c r="AN400" s="3"/>
      <c r="AO400" s="3"/>
      <c r="AP400" s="3"/>
      <c r="AQ400" s="3"/>
      <c r="AR400" s="3"/>
    </row>
    <row r="401" spans="1:44" ht="16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S401" s="3"/>
      <c r="T401" s="3"/>
      <c r="U401" s="3"/>
      <c r="V401" s="3"/>
      <c r="W401" s="3"/>
      <c r="X401" s="3"/>
      <c r="Y401" s="3"/>
      <c r="Z401" s="3"/>
      <c r="AB401" s="3"/>
      <c r="AC401" s="3"/>
      <c r="AD401" s="3"/>
      <c r="AE401" s="3"/>
      <c r="AF401" s="3"/>
      <c r="AG401" s="3"/>
      <c r="AH401" s="3"/>
      <c r="AI401" s="3"/>
      <c r="AK401" s="3"/>
      <c r="AL401" s="3"/>
      <c r="AM401" s="3"/>
      <c r="AN401" s="3"/>
      <c r="AO401" s="3"/>
      <c r="AP401" s="3"/>
      <c r="AQ401" s="3"/>
      <c r="AR401" s="3"/>
    </row>
    <row r="402" spans="1:44" ht="16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S402" s="3"/>
      <c r="T402" s="3"/>
      <c r="U402" s="3"/>
      <c r="V402" s="3"/>
      <c r="W402" s="3"/>
      <c r="X402" s="3"/>
      <c r="Y402" s="3"/>
      <c r="Z402" s="3"/>
      <c r="AB402" s="3"/>
      <c r="AC402" s="3"/>
      <c r="AD402" s="3"/>
      <c r="AE402" s="3"/>
      <c r="AF402" s="3"/>
      <c r="AG402" s="3"/>
      <c r="AH402" s="3"/>
      <c r="AI402" s="3"/>
      <c r="AK402" s="3"/>
      <c r="AL402" s="3"/>
      <c r="AM402" s="3"/>
      <c r="AN402" s="3"/>
      <c r="AO402" s="3"/>
      <c r="AP402" s="3"/>
      <c r="AQ402" s="3"/>
      <c r="AR402" s="3"/>
    </row>
    <row r="403" spans="1:44" ht="16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S403" s="3"/>
      <c r="T403" s="3"/>
      <c r="U403" s="3"/>
      <c r="V403" s="3"/>
      <c r="W403" s="3"/>
      <c r="X403" s="3"/>
      <c r="Y403" s="3"/>
      <c r="Z403" s="3"/>
      <c r="AB403" s="3"/>
      <c r="AC403" s="3"/>
      <c r="AD403" s="3"/>
      <c r="AE403" s="3"/>
      <c r="AF403" s="3"/>
      <c r="AG403" s="3"/>
      <c r="AH403" s="3"/>
      <c r="AI403" s="3"/>
      <c r="AK403" s="3"/>
      <c r="AL403" s="3"/>
      <c r="AM403" s="3"/>
      <c r="AN403" s="3"/>
      <c r="AO403" s="3"/>
      <c r="AP403" s="3"/>
      <c r="AQ403" s="3"/>
      <c r="AR403" s="3"/>
    </row>
    <row r="404" spans="1:44" ht="16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S404" s="3"/>
      <c r="T404" s="3"/>
      <c r="U404" s="3"/>
      <c r="V404" s="3"/>
      <c r="W404" s="3"/>
      <c r="X404" s="3"/>
      <c r="Y404" s="3"/>
      <c r="Z404" s="3"/>
      <c r="AB404" s="3"/>
      <c r="AC404" s="3"/>
      <c r="AD404" s="3"/>
      <c r="AE404" s="3"/>
      <c r="AF404" s="3"/>
      <c r="AG404" s="3"/>
      <c r="AH404" s="3"/>
      <c r="AI404" s="3"/>
      <c r="AK404" s="3"/>
      <c r="AL404" s="3"/>
      <c r="AM404" s="3"/>
      <c r="AN404" s="3"/>
      <c r="AO404" s="3"/>
      <c r="AP404" s="3"/>
      <c r="AQ404" s="3"/>
      <c r="AR404" s="3"/>
    </row>
    <row r="405" spans="1:44" ht="16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S405" s="3"/>
      <c r="T405" s="3"/>
      <c r="U405" s="3"/>
      <c r="V405" s="3"/>
      <c r="W405" s="3"/>
      <c r="X405" s="3"/>
      <c r="Y405" s="3"/>
      <c r="Z405" s="3"/>
      <c r="AB405" s="3"/>
      <c r="AC405" s="3"/>
      <c r="AD405" s="3"/>
      <c r="AE405" s="3"/>
      <c r="AF405" s="3"/>
      <c r="AG405" s="3"/>
      <c r="AH405" s="3"/>
      <c r="AI405" s="3"/>
      <c r="AK405" s="3"/>
      <c r="AL405" s="3"/>
      <c r="AM405" s="3"/>
      <c r="AN405" s="3"/>
      <c r="AO405" s="3"/>
      <c r="AP405" s="3"/>
      <c r="AQ405" s="3"/>
      <c r="AR405" s="3"/>
    </row>
    <row r="406" spans="1:44" ht="16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S406" s="3"/>
      <c r="T406" s="3"/>
      <c r="U406" s="3"/>
      <c r="V406" s="3"/>
      <c r="W406" s="3"/>
      <c r="X406" s="3"/>
      <c r="Y406" s="3"/>
      <c r="Z406" s="3"/>
      <c r="AB406" s="3"/>
      <c r="AC406" s="3"/>
      <c r="AD406" s="3"/>
      <c r="AE406" s="3"/>
      <c r="AF406" s="3"/>
      <c r="AG406" s="3"/>
      <c r="AH406" s="3"/>
      <c r="AI406" s="3"/>
      <c r="AK406" s="3"/>
      <c r="AL406" s="3"/>
      <c r="AM406" s="3"/>
      <c r="AN406" s="3"/>
      <c r="AO406" s="3"/>
      <c r="AP406" s="3"/>
      <c r="AQ406" s="3"/>
      <c r="AR406" s="3"/>
    </row>
    <row r="407" spans="1:44" ht="16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S407" s="3"/>
      <c r="T407" s="3"/>
      <c r="U407" s="3"/>
      <c r="V407" s="3"/>
      <c r="W407" s="3"/>
      <c r="X407" s="3"/>
      <c r="Y407" s="3"/>
      <c r="Z407" s="3"/>
      <c r="AB407" s="3"/>
      <c r="AC407" s="3"/>
      <c r="AD407" s="3"/>
      <c r="AE407" s="3"/>
      <c r="AF407" s="3"/>
      <c r="AG407" s="3"/>
      <c r="AH407" s="3"/>
      <c r="AI407" s="3"/>
      <c r="AK407" s="3"/>
      <c r="AL407" s="3"/>
      <c r="AM407" s="3"/>
      <c r="AN407" s="3"/>
      <c r="AO407" s="3"/>
      <c r="AP407" s="3"/>
      <c r="AQ407" s="3"/>
      <c r="AR407" s="3"/>
    </row>
    <row r="408" spans="1:44" ht="16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S408" s="3"/>
      <c r="T408" s="3"/>
      <c r="U408" s="3"/>
      <c r="V408" s="3"/>
      <c r="W408" s="3"/>
      <c r="X408" s="3"/>
      <c r="Y408" s="3"/>
      <c r="Z408" s="3"/>
      <c r="AB408" s="3"/>
      <c r="AC408" s="3"/>
      <c r="AD408" s="3"/>
      <c r="AE408" s="3"/>
      <c r="AF408" s="3"/>
      <c r="AG408" s="3"/>
      <c r="AH408" s="3"/>
      <c r="AI408" s="3"/>
      <c r="AK408" s="3"/>
      <c r="AL408" s="3"/>
      <c r="AM408" s="3"/>
      <c r="AN408" s="3"/>
      <c r="AO408" s="3"/>
      <c r="AP408" s="3"/>
      <c r="AQ408" s="3"/>
      <c r="AR408" s="3"/>
    </row>
    <row r="409" spans="1:44" ht="16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S409" s="3"/>
      <c r="T409" s="3"/>
      <c r="U409" s="3"/>
      <c r="V409" s="3"/>
      <c r="W409" s="3"/>
      <c r="X409" s="3"/>
      <c r="Y409" s="3"/>
      <c r="Z409" s="3"/>
      <c r="AB409" s="3"/>
      <c r="AC409" s="3"/>
      <c r="AD409" s="3"/>
      <c r="AE409" s="3"/>
      <c r="AF409" s="3"/>
      <c r="AG409" s="3"/>
      <c r="AH409" s="3"/>
      <c r="AI409" s="3"/>
      <c r="AK409" s="3"/>
      <c r="AL409" s="3"/>
      <c r="AM409" s="3"/>
      <c r="AN409" s="3"/>
      <c r="AO409" s="3"/>
      <c r="AP409" s="3"/>
      <c r="AQ409" s="3"/>
      <c r="AR409" s="3"/>
    </row>
    <row r="410" spans="1:44" ht="16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S410" s="3"/>
      <c r="T410" s="3"/>
      <c r="U410" s="3"/>
      <c r="V410" s="3"/>
      <c r="W410" s="3"/>
      <c r="X410" s="3"/>
      <c r="Y410" s="3"/>
      <c r="Z410" s="3"/>
      <c r="AB410" s="3"/>
      <c r="AC410" s="3"/>
      <c r="AD410" s="3"/>
      <c r="AE410" s="3"/>
      <c r="AF410" s="3"/>
      <c r="AG410" s="3"/>
      <c r="AH410" s="3"/>
      <c r="AI410" s="3"/>
      <c r="AK410" s="3"/>
      <c r="AL410" s="3"/>
      <c r="AM410" s="3"/>
      <c r="AN410" s="3"/>
      <c r="AO410" s="3"/>
      <c r="AP410" s="3"/>
      <c r="AQ410" s="3"/>
      <c r="AR410" s="3"/>
    </row>
    <row r="411" spans="1:44" ht="16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S411" s="3"/>
      <c r="T411" s="3"/>
      <c r="U411" s="3"/>
      <c r="V411" s="3"/>
      <c r="W411" s="3"/>
      <c r="X411" s="3"/>
      <c r="Y411" s="3"/>
      <c r="Z411" s="3"/>
      <c r="AB411" s="3"/>
      <c r="AC411" s="3"/>
      <c r="AD411" s="3"/>
      <c r="AE411" s="3"/>
      <c r="AF411" s="3"/>
      <c r="AG411" s="3"/>
      <c r="AH411" s="3"/>
      <c r="AI411" s="3"/>
      <c r="AK411" s="3"/>
      <c r="AL411" s="3"/>
      <c r="AM411" s="3"/>
      <c r="AN411" s="3"/>
      <c r="AO411" s="3"/>
      <c r="AP411" s="3"/>
      <c r="AQ411" s="3"/>
      <c r="AR411" s="3"/>
    </row>
    <row r="412" spans="1:44" ht="16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S412" s="3"/>
      <c r="T412" s="3"/>
      <c r="U412" s="3"/>
      <c r="V412" s="3"/>
      <c r="W412" s="3"/>
      <c r="X412" s="3"/>
      <c r="Y412" s="3"/>
      <c r="Z412" s="3"/>
      <c r="AB412" s="3"/>
      <c r="AC412" s="3"/>
      <c r="AD412" s="3"/>
      <c r="AE412" s="3"/>
      <c r="AF412" s="3"/>
      <c r="AG412" s="3"/>
      <c r="AH412" s="3"/>
      <c r="AI412" s="3"/>
      <c r="AK412" s="3"/>
      <c r="AL412" s="3"/>
      <c r="AM412" s="3"/>
      <c r="AN412" s="3"/>
      <c r="AO412" s="3"/>
      <c r="AP412" s="3"/>
      <c r="AQ412" s="3"/>
      <c r="AR412" s="3"/>
    </row>
    <row r="413" spans="1:44" ht="16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S413" s="3"/>
      <c r="T413" s="3"/>
      <c r="U413" s="3"/>
      <c r="V413" s="3"/>
      <c r="W413" s="3"/>
      <c r="X413" s="3"/>
      <c r="Y413" s="3"/>
      <c r="Z413" s="3"/>
      <c r="AB413" s="3"/>
      <c r="AC413" s="3"/>
      <c r="AD413" s="3"/>
      <c r="AE413" s="3"/>
      <c r="AF413" s="3"/>
      <c r="AG413" s="3"/>
      <c r="AH413" s="3"/>
      <c r="AI413" s="3"/>
      <c r="AK413" s="3"/>
      <c r="AL413" s="3"/>
      <c r="AM413" s="3"/>
      <c r="AN413" s="3"/>
      <c r="AO413" s="3"/>
      <c r="AP413" s="3"/>
      <c r="AQ413" s="3"/>
      <c r="AR413" s="3"/>
    </row>
    <row r="414" spans="1:44" ht="16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S414" s="3"/>
      <c r="T414" s="3"/>
      <c r="U414" s="3"/>
      <c r="V414" s="3"/>
      <c r="W414" s="3"/>
      <c r="X414" s="3"/>
      <c r="Y414" s="3"/>
      <c r="Z414" s="3"/>
      <c r="AB414" s="3"/>
      <c r="AC414" s="3"/>
      <c r="AD414" s="3"/>
      <c r="AE414" s="3"/>
      <c r="AF414" s="3"/>
      <c r="AG414" s="3"/>
      <c r="AH414" s="3"/>
      <c r="AI414" s="3"/>
      <c r="AK414" s="3"/>
      <c r="AL414" s="3"/>
      <c r="AM414" s="3"/>
      <c r="AN414" s="3"/>
      <c r="AO414" s="3"/>
      <c r="AP414" s="3"/>
      <c r="AQ414" s="3"/>
      <c r="AR414" s="3"/>
    </row>
    <row r="415" spans="1:44" ht="16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S415" s="3"/>
      <c r="T415" s="3"/>
      <c r="U415" s="3"/>
      <c r="V415" s="3"/>
      <c r="W415" s="3"/>
      <c r="X415" s="3"/>
      <c r="Y415" s="3"/>
      <c r="Z415" s="3"/>
      <c r="AB415" s="3"/>
      <c r="AC415" s="3"/>
      <c r="AD415" s="3"/>
      <c r="AE415" s="3"/>
      <c r="AF415" s="3"/>
      <c r="AG415" s="3"/>
      <c r="AH415" s="3"/>
      <c r="AI415" s="3"/>
      <c r="AK415" s="3"/>
      <c r="AL415" s="3"/>
      <c r="AM415" s="3"/>
      <c r="AN415" s="3"/>
      <c r="AO415" s="3"/>
      <c r="AP415" s="3"/>
      <c r="AQ415" s="3"/>
      <c r="AR415" s="3"/>
    </row>
    <row r="416" spans="1:44" ht="16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S416" s="3"/>
      <c r="T416" s="3"/>
      <c r="U416" s="3"/>
      <c r="V416" s="3"/>
      <c r="W416" s="3"/>
      <c r="X416" s="3"/>
      <c r="Y416" s="3"/>
      <c r="Z416" s="3"/>
      <c r="AB416" s="3"/>
      <c r="AC416" s="3"/>
      <c r="AD416" s="3"/>
      <c r="AE416" s="3"/>
      <c r="AF416" s="3"/>
      <c r="AG416" s="3"/>
      <c r="AH416" s="3"/>
      <c r="AI416" s="3"/>
      <c r="AK416" s="3"/>
      <c r="AL416" s="3"/>
      <c r="AM416" s="3"/>
      <c r="AN416" s="3"/>
      <c r="AO416" s="3"/>
      <c r="AP416" s="3"/>
      <c r="AQ416" s="3"/>
      <c r="AR416" s="3"/>
    </row>
    <row r="417" spans="1:44" ht="16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S417" s="3"/>
      <c r="T417" s="3"/>
      <c r="U417" s="3"/>
      <c r="V417" s="3"/>
      <c r="W417" s="3"/>
      <c r="X417" s="3"/>
      <c r="Y417" s="3"/>
      <c r="Z417" s="3"/>
      <c r="AB417" s="3"/>
      <c r="AC417" s="3"/>
      <c r="AD417" s="3"/>
      <c r="AE417" s="3"/>
      <c r="AF417" s="3"/>
      <c r="AG417" s="3"/>
      <c r="AH417" s="3"/>
      <c r="AI417" s="3"/>
      <c r="AK417" s="3"/>
      <c r="AL417" s="3"/>
      <c r="AM417" s="3"/>
      <c r="AN417" s="3"/>
      <c r="AO417" s="3"/>
      <c r="AP417" s="3"/>
      <c r="AQ417" s="3"/>
      <c r="AR417" s="3"/>
    </row>
    <row r="418" spans="1:44" ht="16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S418" s="3"/>
      <c r="T418" s="3"/>
      <c r="U418" s="3"/>
      <c r="V418" s="3"/>
      <c r="W418" s="3"/>
      <c r="X418" s="3"/>
      <c r="Y418" s="3"/>
      <c r="Z418" s="3"/>
      <c r="AB418" s="3"/>
      <c r="AC418" s="3"/>
      <c r="AD418" s="3"/>
      <c r="AE418" s="3"/>
      <c r="AF418" s="3"/>
      <c r="AG418" s="3"/>
      <c r="AH418" s="3"/>
      <c r="AI418" s="3"/>
      <c r="AK418" s="3"/>
      <c r="AL418" s="3"/>
      <c r="AM418" s="3"/>
      <c r="AN418" s="3"/>
      <c r="AO418" s="3"/>
      <c r="AP418" s="3"/>
      <c r="AQ418" s="3"/>
      <c r="AR418" s="3"/>
    </row>
    <row r="419" spans="1:44" ht="16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S419" s="3"/>
      <c r="T419" s="3"/>
      <c r="U419" s="3"/>
      <c r="V419" s="3"/>
      <c r="W419" s="3"/>
      <c r="X419" s="3"/>
      <c r="Y419" s="3"/>
      <c r="Z419" s="3"/>
      <c r="AB419" s="3"/>
      <c r="AC419" s="3"/>
      <c r="AD419" s="3"/>
      <c r="AE419" s="3"/>
      <c r="AF419" s="3"/>
      <c r="AG419" s="3"/>
      <c r="AH419" s="3"/>
      <c r="AI419" s="3"/>
      <c r="AK419" s="3"/>
      <c r="AL419" s="3"/>
      <c r="AM419" s="3"/>
      <c r="AN419" s="3"/>
      <c r="AO419" s="3"/>
      <c r="AP419" s="3"/>
      <c r="AQ419" s="3"/>
      <c r="AR419" s="3"/>
    </row>
    <row r="420" spans="1:44" ht="16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S420" s="3"/>
      <c r="T420" s="3"/>
      <c r="U420" s="3"/>
      <c r="V420" s="3"/>
      <c r="W420" s="3"/>
      <c r="X420" s="3"/>
      <c r="Y420" s="3"/>
      <c r="Z420" s="3"/>
      <c r="AB420" s="3"/>
      <c r="AC420" s="3"/>
      <c r="AD420" s="3"/>
      <c r="AE420" s="3"/>
      <c r="AF420" s="3"/>
      <c r="AG420" s="3"/>
      <c r="AH420" s="3"/>
      <c r="AI420" s="3"/>
      <c r="AK420" s="3"/>
      <c r="AL420" s="3"/>
      <c r="AM420" s="3"/>
      <c r="AN420" s="3"/>
      <c r="AO420" s="3"/>
      <c r="AP420" s="3"/>
      <c r="AQ420" s="3"/>
      <c r="AR420" s="3"/>
    </row>
    <row r="421" spans="1:44" ht="16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S421" s="3"/>
      <c r="T421" s="3"/>
      <c r="U421" s="3"/>
      <c r="V421" s="3"/>
      <c r="W421" s="3"/>
      <c r="X421" s="3"/>
      <c r="Y421" s="3"/>
      <c r="Z421" s="3"/>
      <c r="AB421" s="3"/>
      <c r="AC421" s="3"/>
      <c r="AD421" s="3"/>
      <c r="AE421" s="3"/>
      <c r="AF421" s="3"/>
      <c r="AG421" s="3"/>
      <c r="AH421" s="3"/>
      <c r="AI421" s="3"/>
      <c r="AK421" s="3"/>
      <c r="AL421" s="3"/>
      <c r="AM421" s="3"/>
      <c r="AN421" s="3"/>
      <c r="AO421" s="3"/>
      <c r="AP421" s="3"/>
      <c r="AQ421" s="3"/>
      <c r="AR421" s="3"/>
    </row>
    <row r="422" spans="1:44" ht="16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S422" s="3"/>
      <c r="T422" s="3"/>
      <c r="U422" s="3"/>
      <c r="V422" s="3"/>
      <c r="W422" s="3"/>
      <c r="X422" s="3"/>
      <c r="Y422" s="3"/>
      <c r="Z422" s="3"/>
      <c r="AB422" s="3"/>
      <c r="AC422" s="3"/>
      <c r="AD422" s="3"/>
      <c r="AE422" s="3"/>
      <c r="AF422" s="3"/>
      <c r="AG422" s="3"/>
      <c r="AH422" s="3"/>
      <c r="AI422" s="3"/>
      <c r="AK422" s="3"/>
      <c r="AL422" s="3"/>
      <c r="AM422" s="3"/>
      <c r="AN422" s="3"/>
      <c r="AO422" s="3"/>
      <c r="AP422" s="3"/>
      <c r="AQ422" s="3"/>
      <c r="AR422" s="3"/>
    </row>
    <row r="423" spans="1:44" ht="16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S423" s="3"/>
      <c r="T423" s="3"/>
      <c r="U423" s="3"/>
      <c r="V423" s="3"/>
      <c r="W423" s="3"/>
      <c r="X423" s="3"/>
      <c r="Y423" s="3"/>
      <c r="Z423" s="3"/>
      <c r="AB423" s="3"/>
      <c r="AC423" s="3"/>
      <c r="AD423" s="3"/>
      <c r="AE423" s="3"/>
      <c r="AF423" s="3"/>
      <c r="AG423" s="3"/>
      <c r="AH423" s="3"/>
      <c r="AI423" s="3"/>
      <c r="AK423" s="3"/>
      <c r="AL423" s="3"/>
      <c r="AM423" s="3"/>
      <c r="AN423" s="3"/>
      <c r="AO423" s="3"/>
      <c r="AP423" s="3"/>
      <c r="AQ423" s="3"/>
      <c r="AR423" s="3"/>
    </row>
    <row r="424" spans="1:44" ht="16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S424" s="3"/>
      <c r="T424" s="3"/>
      <c r="U424" s="3"/>
      <c r="V424" s="3"/>
      <c r="W424" s="3"/>
      <c r="X424" s="3"/>
      <c r="Y424" s="3"/>
      <c r="Z424" s="3"/>
      <c r="AB424" s="3"/>
      <c r="AC424" s="3"/>
      <c r="AD424" s="3"/>
      <c r="AE424" s="3"/>
      <c r="AF424" s="3"/>
      <c r="AG424" s="3"/>
      <c r="AH424" s="3"/>
      <c r="AI424" s="3"/>
      <c r="AK424" s="3"/>
      <c r="AL424" s="3"/>
      <c r="AM424" s="3"/>
      <c r="AN424" s="3"/>
      <c r="AO424" s="3"/>
      <c r="AP424" s="3"/>
      <c r="AQ424" s="3"/>
      <c r="AR424" s="3"/>
    </row>
    <row r="425" spans="1:44" ht="16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S425" s="3"/>
      <c r="T425" s="3"/>
      <c r="U425" s="3"/>
      <c r="V425" s="3"/>
      <c r="W425" s="3"/>
      <c r="X425" s="3"/>
      <c r="Y425" s="3"/>
      <c r="Z425" s="3"/>
      <c r="AB425" s="3"/>
      <c r="AC425" s="3"/>
      <c r="AD425" s="3"/>
      <c r="AE425" s="3"/>
      <c r="AF425" s="3"/>
      <c r="AG425" s="3"/>
      <c r="AH425" s="3"/>
      <c r="AI425" s="3"/>
      <c r="AK425" s="3"/>
      <c r="AL425" s="3"/>
      <c r="AM425" s="3"/>
      <c r="AN425" s="3"/>
      <c r="AO425" s="3"/>
      <c r="AP425" s="3"/>
      <c r="AQ425" s="3"/>
      <c r="AR425" s="3"/>
    </row>
    <row r="426" spans="1:44" ht="16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S426" s="3"/>
      <c r="T426" s="3"/>
      <c r="U426" s="3"/>
      <c r="V426" s="3"/>
      <c r="W426" s="3"/>
      <c r="X426" s="3"/>
      <c r="Y426" s="3"/>
      <c r="Z426" s="3"/>
      <c r="AB426" s="3"/>
      <c r="AC426" s="3"/>
      <c r="AD426" s="3"/>
      <c r="AE426" s="3"/>
      <c r="AF426" s="3"/>
      <c r="AG426" s="3"/>
      <c r="AH426" s="3"/>
      <c r="AI426" s="3"/>
      <c r="AK426" s="3"/>
      <c r="AL426" s="3"/>
      <c r="AM426" s="3"/>
      <c r="AN426" s="3"/>
      <c r="AO426" s="3"/>
      <c r="AP426" s="3"/>
      <c r="AQ426" s="3"/>
      <c r="AR426" s="3"/>
    </row>
    <row r="427" spans="1:44" ht="16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S427" s="3"/>
      <c r="T427" s="3"/>
      <c r="U427" s="3"/>
      <c r="V427" s="3"/>
      <c r="W427" s="3"/>
      <c r="X427" s="3"/>
      <c r="Y427" s="3"/>
      <c r="Z427" s="3"/>
      <c r="AB427" s="3"/>
      <c r="AC427" s="3"/>
      <c r="AD427" s="3"/>
      <c r="AE427" s="3"/>
      <c r="AF427" s="3"/>
      <c r="AG427" s="3"/>
      <c r="AH427" s="3"/>
      <c r="AI427" s="3"/>
      <c r="AK427" s="3"/>
      <c r="AL427" s="3"/>
      <c r="AM427" s="3"/>
      <c r="AN427" s="3"/>
      <c r="AO427" s="3"/>
      <c r="AP427" s="3"/>
      <c r="AQ427" s="3"/>
      <c r="AR427" s="3"/>
    </row>
    <row r="428" spans="1:44" ht="16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S428" s="3"/>
      <c r="T428" s="3"/>
      <c r="U428" s="3"/>
      <c r="V428" s="3"/>
      <c r="W428" s="3"/>
      <c r="X428" s="3"/>
      <c r="Y428" s="3"/>
      <c r="Z428" s="3"/>
      <c r="AB428" s="3"/>
      <c r="AC428" s="3"/>
      <c r="AD428" s="3"/>
      <c r="AE428" s="3"/>
      <c r="AF428" s="3"/>
      <c r="AG428" s="3"/>
      <c r="AH428" s="3"/>
      <c r="AI428" s="3"/>
      <c r="AK428" s="3"/>
      <c r="AL428" s="3"/>
      <c r="AM428" s="3"/>
      <c r="AN428" s="3"/>
      <c r="AO428" s="3"/>
      <c r="AP428" s="3"/>
      <c r="AQ428" s="3"/>
      <c r="AR428" s="3"/>
    </row>
    <row r="429" spans="1:44" ht="16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S429" s="3"/>
      <c r="T429" s="3"/>
      <c r="U429" s="3"/>
      <c r="V429" s="3"/>
      <c r="W429" s="3"/>
      <c r="X429" s="3"/>
      <c r="Y429" s="3"/>
      <c r="Z429" s="3"/>
      <c r="AB429" s="3"/>
      <c r="AC429" s="3"/>
      <c r="AD429" s="3"/>
      <c r="AE429" s="3"/>
      <c r="AF429" s="3"/>
      <c r="AG429" s="3"/>
      <c r="AH429" s="3"/>
      <c r="AI429" s="3"/>
      <c r="AK429" s="3"/>
      <c r="AL429" s="3"/>
      <c r="AM429" s="3"/>
      <c r="AN429" s="3"/>
      <c r="AO429" s="3"/>
      <c r="AP429" s="3"/>
      <c r="AQ429" s="3"/>
      <c r="AR429" s="3"/>
    </row>
    <row r="430" spans="1:44" ht="16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S430" s="3"/>
      <c r="T430" s="3"/>
      <c r="U430" s="3"/>
      <c r="V430" s="3"/>
      <c r="W430" s="3"/>
      <c r="X430" s="3"/>
      <c r="Y430" s="3"/>
      <c r="Z430" s="3"/>
      <c r="AB430" s="3"/>
      <c r="AC430" s="3"/>
      <c r="AD430" s="3"/>
      <c r="AE430" s="3"/>
      <c r="AF430" s="3"/>
      <c r="AG430" s="3"/>
      <c r="AH430" s="3"/>
      <c r="AI430" s="3"/>
      <c r="AK430" s="3"/>
      <c r="AL430" s="3"/>
      <c r="AM430" s="3"/>
      <c r="AN430" s="3"/>
      <c r="AO430" s="3"/>
      <c r="AP430" s="3"/>
      <c r="AQ430" s="3"/>
      <c r="AR430" s="3"/>
    </row>
    <row r="431" spans="1:44" ht="16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S431" s="3"/>
      <c r="T431" s="3"/>
      <c r="U431" s="3"/>
      <c r="V431" s="3"/>
      <c r="W431" s="3"/>
      <c r="X431" s="3"/>
      <c r="Y431" s="3"/>
      <c r="Z431" s="3"/>
      <c r="AB431" s="3"/>
      <c r="AC431" s="3"/>
      <c r="AD431" s="3"/>
      <c r="AE431" s="3"/>
      <c r="AF431" s="3"/>
      <c r="AG431" s="3"/>
      <c r="AH431" s="3"/>
      <c r="AI431" s="3"/>
      <c r="AK431" s="3"/>
      <c r="AL431" s="3"/>
      <c r="AM431" s="3"/>
      <c r="AN431" s="3"/>
      <c r="AO431" s="3"/>
      <c r="AP431" s="3"/>
      <c r="AQ431" s="3"/>
      <c r="AR431" s="3"/>
    </row>
    <row r="432" spans="1:44" ht="16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S432" s="3"/>
      <c r="T432" s="3"/>
      <c r="U432" s="3"/>
      <c r="V432" s="3"/>
      <c r="W432" s="3"/>
      <c r="X432" s="3"/>
      <c r="Y432" s="3"/>
      <c r="Z432" s="3"/>
      <c r="AB432" s="3"/>
      <c r="AC432" s="3"/>
      <c r="AD432" s="3"/>
      <c r="AE432" s="3"/>
      <c r="AF432" s="3"/>
      <c r="AG432" s="3"/>
      <c r="AH432" s="3"/>
      <c r="AI432" s="3"/>
      <c r="AK432" s="3"/>
      <c r="AL432" s="3"/>
      <c r="AM432" s="3"/>
      <c r="AN432" s="3"/>
      <c r="AO432" s="3"/>
      <c r="AP432" s="3"/>
      <c r="AQ432" s="3"/>
      <c r="AR432" s="3"/>
    </row>
    <row r="433" spans="1:44" ht="16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S433" s="3"/>
      <c r="T433" s="3"/>
      <c r="U433" s="3"/>
      <c r="V433" s="3"/>
      <c r="W433" s="3"/>
      <c r="X433" s="3"/>
      <c r="Y433" s="3"/>
      <c r="Z433" s="3"/>
      <c r="AB433" s="3"/>
      <c r="AC433" s="3"/>
      <c r="AD433" s="3"/>
      <c r="AE433" s="3"/>
      <c r="AF433" s="3"/>
      <c r="AG433" s="3"/>
      <c r="AH433" s="3"/>
      <c r="AI433" s="3"/>
      <c r="AK433" s="3"/>
      <c r="AL433" s="3"/>
      <c r="AM433" s="3"/>
      <c r="AN433" s="3"/>
      <c r="AO433" s="3"/>
      <c r="AP433" s="3"/>
      <c r="AQ433" s="3"/>
      <c r="AR433" s="3"/>
    </row>
    <row r="434" spans="1:44" ht="16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S434" s="3"/>
      <c r="T434" s="3"/>
      <c r="U434" s="3"/>
      <c r="V434" s="3"/>
      <c r="W434" s="3"/>
      <c r="X434" s="3"/>
      <c r="Y434" s="3"/>
      <c r="Z434" s="3"/>
      <c r="AB434" s="3"/>
      <c r="AC434" s="3"/>
      <c r="AD434" s="3"/>
      <c r="AE434" s="3"/>
      <c r="AF434" s="3"/>
      <c r="AG434" s="3"/>
      <c r="AH434" s="3"/>
      <c r="AI434" s="3"/>
      <c r="AK434" s="3"/>
      <c r="AL434" s="3"/>
      <c r="AM434" s="3"/>
      <c r="AN434" s="3"/>
      <c r="AO434" s="3"/>
      <c r="AP434" s="3"/>
      <c r="AQ434" s="3"/>
      <c r="AR434" s="3"/>
    </row>
    <row r="435" spans="1:44" ht="16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S435" s="3"/>
      <c r="T435" s="3"/>
      <c r="U435" s="3"/>
      <c r="V435" s="3"/>
      <c r="W435" s="3"/>
      <c r="X435" s="3"/>
      <c r="Y435" s="3"/>
      <c r="Z435" s="3"/>
      <c r="AB435" s="3"/>
      <c r="AC435" s="3"/>
      <c r="AD435" s="3"/>
      <c r="AE435" s="3"/>
      <c r="AF435" s="3"/>
      <c r="AG435" s="3"/>
      <c r="AH435" s="3"/>
      <c r="AI435" s="3"/>
      <c r="AK435" s="3"/>
      <c r="AL435" s="3"/>
      <c r="AM435" s="3"/>
      <c r="AN435" s="3"/>
      <c r="AO435" s="3"/>
      <c r="AP435" s="3"/>
      <c r="AQ435" s="3"/>
      <c r="AR435" s="3"/>
    </row>
    <row r="436" spans="1:44" ht="16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S436" s="3"/>
      <c r="T436" s="3"/>
      <c r="U436" s="3"/>
      <c r="V436" s="3"/>
      <c r="W436" s="3"/>
      <c r="X436" s="3"/>
      <c r="Y436" s="3"/>
      <c r="Z436" s="3"/>
      <c r="AB436" s="3"/>
      <c r="AC436" s="3"/>
      <c r="AD436" s="3"/>
      <c r="AE436" s="3"/>
      <c r="AF436" s="3"/>
      <c r="AG436" s="3"/>
      <c r="AH436" s="3"/>
      <c r="AI436" s="3"/>
      <c r="AK436" s="3"/>
      <c r="AL436" s="3"/>
      <c r="AM436" s="3"/>
      <c r="AN436" s="3"/>
      <c r="AO436" s="3"/>
      <c r="AP436" s="3"/>
      <c r="AQ436" s="3"/>
      <c r="AR436" s="3"/>
    </row>
    <row r="437" spans="1:44" ht="16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S437" s="3"/>
      <c r="T437" s="3"/>
      <c r="U437" s="3"/>
      <c r="V437" s="3"/>
      <c r="W437" s="3"/>
      <c r="X437" s="3"/>
      <c r="Y437" s="3"/>
      <c r="Z437" s="3"/>
      <c r="AB437" s="3"/>
      <c r="AC437" s="3"/>
      <c r="AD437" s="3"/>
      <c r="AE437" s="3"/>
      <c r="AF437" s="3"/>
      <c r="AG437" s="3"/>
      <c r="AH437" s="3"/>
      <c r="AI437" s="3"/>
      <c r="AK437" s="3"/>
      <c r="AL437" s="3"/>
      <c r="AM437" s="3"/>
      <c r="AN437" s="3"/>
      <c r="AO437" s="3"/>
      <c r="AP437" s="3"/>
      <c r="AQ437" s="3"/>
      <c r="AR437" s="3"/>
    </row>
    <row r="438" spans="1:44" ht="16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S438" s="3"/>
      <c r="T438" s="3"/>
      <c r="U438" s="3"/>
      <c r="V438" s="3"/>
      <c r="W438" s="3"/>
      <c r="X438" s="3"/>
      <c r="Y438" s="3"/>
      <c r="Z438" s="3"/>
      <c r="AB438" s="3"/>
      <c r="AC438" s="3"/>
      <c r="AD438" s="3"/>
      <c r="AE438" s="3"/>
      <c r="AF438" s="3"/>
      <c r="AG438" s="3"/>
      <c r="AH438" s="3"/>
      <c r="AI438" s="3"/>
      <c r="AK438" s="3"/>
      <c r="AL438" s="3"/>
      <c r="AM438" s="3"/>
      <c r="AN438" s="3"/>
      <c r="AO438" s="3"/>
      <c r="AP438" s="3"/>
      <c r="AQ438" s="3"/>
      <c r="AR438" s="3"/>
    </row>
    <row r="439" spans="1:44" ht="16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S439" s="3"/>
      <c r="T439" s="3"/>
      <c r="U439" s="3"/>
      <c r="V439" s="3"/>
      <c r="W439" s="3"/>
      <c r="X439" s="3"/>
      <c r="Y439" s="3"/>
      <c r="Z439" s="3"/>
      <c r="AB439" s="3"/>
      <c r="AC439" s="3"/>
      <c r="AD439" s="3"/>
      <c r="AE439" s="3"/>
      <c r="AF439" s="3"/>
      <c r="AG439" s="3"/>
      <c r="AH439" s="3"/>
      <c r="AI439" s="3"/>
      <c r="AK439" s="3"/>
      <c r="AL439" s="3"/>
      <c r="AM439" s="3"/>
      <c r="AN439" s="3"/>
      <c r="AO439" s="3"/>
      <c r="AP439" s="3"/>
      <c r="AQ439" s="3"/>
      <c r="AR439" s="3"/>
    </row>
    <row r="440" spans="1:44" ht="16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S440" s="3"/>
      <c r="T440" s="3"/>
      <c r="U440" s="3"/>
      <c r="V440" s="3"/>
      <c r="W440" s="3"/>
      <c r="X440" s="3"/>
      <c r="Y440" s="3"/>
      <c r="Z440" s="3"/>
      <c r="AB440" s="3"/>
      <c r="AC440" s="3"/>
      <c r="AD440" s="3"/>
      <c r="AE440" s="3"/>
      <c r="AF440" s="3"/>
      <c r="AG440" s="3"/>
      <c r="AH440" s="3"/>
      <c r="AI440" s="3"/>
      <c r="AK440" s="3"/>
      <c r="AL440" s="3"/>
      <c r="AM440" s="3"/>
      <c r="AN440" s="3"/>
      <c r="AO440" s="3"/>
      <c r="AP440" s="3"/>
      <c r="AQ440" s="3"/>
      <c r="AR440" s="3"/>
    </row>
    <row r="441" spans="1:44" ht="16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S441" s="3"/>
      <c r="T441" s="3"/>
      <c r="U441" s="3"/>
      <c r="V441" s="3"/>
      <c r="W441" s="3"/>
      <c r="X441" s="3"/>
      <c r="Y441" s="3"/>
      <c r="Z441" s="3"/>
      <c r="AB441" s="3"/>
      <c r="AC441" s="3"/>
      <c r="AD441" s="3"/>
      <c r="AE441" s="3"/>
      <c r="AF441" s="3"/>
      <c r="AG441" s="3"/>
      <c r="AH441" s="3"/>
      <c r="AI441" s="3"/>
      <c r="AK441" s="3"/>
      <c r="AL441" s="3"/>
      <c r="AM441" s="3"/>
      <c r="AN441" s="3"/>
      <c r="AO441" s="3"/>
      <c r="AP441" s="3"/>
      <c r="AQ441" s="3"/>
      <c r="AR441" s="3"/>
    </row>
    <row r="442" spans="1:44" ht="16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S442" s="3"/>
      <c r="T442" s="3"/>
      <c r="U442" s="3"/>
      <c r="V442" s="3"/>
      <c r="W442" s="3"/>
      <c r="X442" s="3"/>
      <c r="Y442" s="3"/>
      <c r="Z442" s="3"/>
      <c r="AB442" s="3"/>
      <c r="AC442" s="3"/>
      <c r="AD442" s="3"/>
      <c r="AE442" s="3"/>
      <c r="AF442" s="3"/>
      <c r="AG442" s="3"/>
      <c r="AH442" s="3"/>
      <c r="AI442" s="3"/>
      <c r="AK442" s="3"/>
      <c r="AL442" s="3"/>
      <c r="AM442" s="3"/>
      <c r="AN442" s="3"/>
      <c r="AO442" s="3"/>
      <c r="AP442" s="3"/>
      <c r="AQ442" s="3"/>
      <c r="AR442" s="3"/>
    </row>
    <row r="443" spans="1:44" ht="16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S443" s="3"/>
      <c r="T443" s="3"/>
      <c r="U443" s="3"/>
      <c r="V443" s="3"/>
      <c r="W443" s="3"/>
      <c r="X443" s="3"/>
      <c r="Y443" s="3"/>
      <c r="Z443" s="3"/>
      <c r="AB443" s="3"/>
      <c r="AC443" s="3"/>
      <c r="AD443" s="3"/>
      <c r="AE443" s="3"/>
      <c r="AF443" s="3"/>
      <c r="AG443" s="3"/>
      <c r="AH443" s="3"/>
      <c r="AI443" s="3"/>
      <c r="AK443" s="3"/>
      <c r="AL443" s="3"/>
      <c r="AM443" s="3"/>
      <c r="AN443" s="3"/>
      <c r="AO443" s="3"/>
      <c r="AP443" s="3"/>
      <c r="AQ443" s="3"/>
      <c r="AR443" s="3"/>
    </row>
    <row r="444" spans="1:44" ht="16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S444" s="3"/>
      <c r="T444" s="3"/>
      <c r="U444" s="3"/>
      <c r="V444" s="3"/>
      <c r="W444" s="3"/>
      <c r="X444" s="3"/>
      <c r="Y444" s="3"/>
      <c r="Z444" s="3"/>
      <c r="AB444" s="3"/>
      <c r="AC444" s="3"/>
      <c r="AD444" s="3"/>
      <c r="AE444" s="3"/>
      <c r="AF444" s="3"/>
      <c r="AG444" s="3"/>
      <c r="AH444" s="3"/>
      <c r="AI444" s="3"/>
      <c r="AK444" s="3"/>
      <c r="AL444" s="3"/>
      <c r="AM444" s="3"/>
      <c r="AN444" s="3"/>
      <c r="AO444" s="3"/>
      <c r="AP444" s="3"/>
      <c r="AQ444" s="3"/>
      <c r="AR444" s="3"/>
    </row>
    <row r="445" spans="1:44" ht="16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S445" s="3"/>
      <c r="T445" s="3"/>
      <c r="U445" s="3"/>
      <c r="V445" s="3"/>
      <c r="W445" s="3"/>
      <c r="X445" s="3"/>
      <c r="Y445" s="3"/>
      <c r="Z445" s="3"/>
      <c r="AB445" s="3"/>
      <c r="AC445" s="3"/>
      <c r="AD445" s="3"/>
      <c r="AE445" s="3"/>
      <c r="AF445" s="3"/>
      <c r="AG445" s="3"/>
      <c r="AH445" s="3"/>
      <c r="AI445" s="3"/>
      <c r="AK445" s="3"/>
      <c r="AL445" s="3"/>
      <c r="AM445" s="3"/>
      <c r="AN445" s="3"/>
      <c r="AO445" s="3"/>
      <c r="AP445" s="3"/>
      <c r="AQ445" s="3"/>
      <c r="AR445" s="3"/>
    </row>
    <row r="446" spans="1:44" ht="16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S446" s="3"/>
      <c r="T446" s="3"/>
      <c r="U446" s="3"/>
      <c r="V446" s="3"/>
      <c r="W446" s="3"/>
      <c r="X446" s="3"/>
      <c r="Y446" s="3"/>
      <c r="Z446" s="3"/>
      <c r="AB446" s="3"/>
      <c r="AC446" s="3"/>
      <c r="AD446" s="3"/>
      <c r="AE446" s="3"/>
      <c r="AF446" s="3"/>
      <c r="AG446" s="3"/>
      <c r="AH446" s="3"/>
      <c r="AI446" s="3"/>
      <c r="AK446" s="3"/>
      <c r="AL446" s="3"/>
      <c r="AM446" s="3"/>
      <c r="AN446" s="3"/>
      <c r="AO446" s="3"/>
      <c r="AP446" s="3"/>
      <c r="AQ446" s="3"/>
      <c r="AR446" s="3"/>
    </row>
    <row r="447" spans="1:44" ht="16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S447" s="3"/>
      <c r="T447" s="3"/>
      <c r="U447" s="3"/>
      <c r="V447" s="3"/>
      <c r="W447" s="3"/>
      <c r="X447" s="3"/>
      <c r="Y447" s="3"/>
      <c r="Z447" s="3"/>
      <c r="AB447" s="3"/>
      <c r="AC447" s="3"/>
      <c r="AD447" s="3"/>
      <c r="AE447" s="3"/>
      <c r="AF447" s="3"/>
      <c r="AG447" s="3"/>
      <c r="AH447" s="3"/>
      <c r="AI447" s="3"/>
      <c r="AK447" s="3"/>
      <c r="AL447" s="3"/>
      <c r="AM447" s="3"/>
      <c r="AN447" s="3"/>
      <c r="AO447" s="3"/>
      <c r="AP447" s="3"/>
      <c r="AQ447" s="3"/>
      <c r="AR447" s="3"/>
    </row>
    <row r="448" spans="1:44" ht="16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S448" s="3"/>
      <c r="T448" s="3"/>
      <c r="U448" s="3"/>
      <c r="V448" s="3"/>
      <c r="W448" s="3"/>
      <c r="X448" s="3"/>
      <c r="Y448" s="3"/>
      <c r="Z448" s="3"/>
      <c r="AB448" s="3"/>
      <c r="AC448" s="3"/>
      <c r="AD448" s="3"/>
      <c r="AE448" s="3"/>
      <c r="AF448" s="3"/>
      <c r="AG448" s="3"/>
      <c r="AH448" s="3"/>
      <c r="AI448" s="3"/>
      <c r="AK448" s="3"/>
      <c r="AL448" s="3"/>
      <c r="AM448" s="3"/>
      <c r="AN448" s="3"/>
      <c r="AO448" s="3"/>
      <c r="AP448" s="3"/>
      <c r="AQ448" s="3"/>
      <c r="AR448" s="3"/>
    </row>
    <row r="449" spans="1:44" ht="16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S449" s="3"/>
      <c r="T449" s="3"/>
      <c r="U449" s="3"/>
      <c r="V449" s="3"/>
      <c r="W449" s="3"/>
      <c r="X449" s="3"/>
      <c r="Y449" s="3"/>
      <c r="Z449" s="3"/>
      <c r="AB449" s="3"/>
      <c r="AC449" s="3"/>
      <c r="AD449" s="3"/>
      <c r="AE449" s="3"/>
      <c r="AF449" s="3"/>
      <c r="AG449" s="3"/>
      <c r="AH449" s="3"/>
      <c r="AI449" s="3"/>
      <c r="AK449" s="3"/>
      <c r="AL449" s="3"/>
      <c r="AM449" s="3"/>
      <c r="AN449" s="3"/>
      <c r="AO449" s="3"/>
      <c r="AP449" s="3"/>
      <c r="AQ449" s="3"/>
      <c r="AR449" s="3"/>
    </row>
    <row r="450" spans="1:44" ht="16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S450" s="3"/>
      <c r="T450" s="3"/>
      <c r="U450" s="3"/>
      <c r="V450" s="3"/>
      <c r="W450" s="3"/>
      <c r="X450" s="3"/>
      <c r="Y450" s="3"/>
      <c r="Z450" s="3"/>
      <c r="AB450" s="3"/>
      <c r="AC450" s="3"/>
      <c r="AD450" s="3"/>
      <c r="AE450" s="3"/>
      <c r="AF450" s="3"/>
      <c r="AG450" s="3"/>
      <c r="AH450" s="3"/>
      <c r="AI450" s="3"/>
      <c r="AK450" s="3"/>
      <c r="AL450" s="3"/>
      <c r="AM450" s="3"/>
      <c r="AN450" s="3"/>
      <c r="AO450" s="3"/>
      <c r="AP450" s="3"/>
      <c r="AQ450" s="3"/>
      <c r="AR450" s="3"/>
    </row>
    <row r="451" spans="1:44" ht="16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S451" s="3"/>
      <c r="T451" s="3"/>
      <c r="U451" s="3"/>
      <c r="V451" s="3"/>
      <c r="W451" s="3"/>
      <c r="X451" s="3"/>
      <c r="Y451" s="3"/>
      <c r="Z451" s="3"/>
      <c r="AB451" s="3"/>
      <c r="AC451" s="3"/>
      <c r="AD451" s="3"/>
      <c r="AE451" s="3"/>
      <c r="AF451" s="3"/>
      <c r="AG451" s="3"/>
      <c r="AH451" s="3"/>
      <c r="AI451" s="3"/>
      <c r="AK451" s="3"/>
      <c r="AL451" s="3"/>
      <c r="AM451" s="3"/>
      <c r="AN451" s="3"/>
      <c r="AO451" s="3"/>
      <c r="AP451" s="3"/>
      <c r="AQ451" s="3"/>
      <c r="AR451" s="3"/>
    </row>
    <row r="452" spans="1:44" ht="16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S452" s="3"/>
      <c r="T452" s="3"/>
      <c r="U452" s="3"/>
      <c r="V452" s="3"/>
      <c r="W452" s="3"/>
      <c r="X452" s="3"/>
      <c r="Y452" s="3"/>
      <c r="Z452" s="3"/>
      <c r="AB452" s="3"/>
      <c r="AC452" s="3"/>
      <c r="AD452" s="3"/>
      <c r="AE452" s="3"/>
      <c r="AF452" s="3"/>
      <c r="AG452" s="3"/>
      <c r="AH452" s="3"/>
      <c r="AI452" s="3"/>
      <c r="AK452" s="3"/>
      <c r="AL452" s="3"/>
      <c r="AM452" s="3"/>
      <c r="AN452" s="3"/>
      <c r="AO452" s="3"/>
      <c r="AP452" s="3"/>
      <c r="AQ452" s="3"/>
      <c r="AR452" s="3"/>
    </row>
    <row r="453" spans="1:44" ht="16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S453" s="3"/>
      <c r="T453" s="3"/>
      <c r="U453" s="3"/>
      <c r="V453" s="3"/>
      <c r="W453" s="3"/>
      <c r="X453" s="3"/>
      <c r="Y453" s="3"/>
      <c r="Z453" s="3"/>
      <c r="AB453" s="3"/>
      <c r="AC453" s="3"/>
      <c r="AD453" s="3"/>
      <c r="AE453" s="3"/>
      <c r="AF453" s="3"/>
      <c r="AG453" s="3"/>
      <c r="AH453" s="3"/>
      <c r="AI453" s="3"/>
      <c r="AK453" s="3"/>
      <c r="AL453" s="3"/>
      <c r="AM453" s="3"/>
      <c r="AN453" s="3"/>
      <c r="AO453" s="3"/>
      <c r="AP453" s="3"/>
      <c r="AQ453" s="3"/>
      <c r="AR453" s="3"/>
    </row>
    <row r="454" spans="1:44" ht="16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S454" s="3"/>
      <c r="T454" s="3"/>
      <c r="U454" s="3"/>
      <c r="V454" s="3"/>
      <c r="W454" s="3"/>
      <c r="X454" s="3"/>
      <c r="Y454" s="3"/>
      <c r="Z454" s="3"/>
      <c r="AB454" s="3"/>
      <c r="AC454" s="3"/>
      <c r="AD454" s="3"/>
      <c r="AE454" s="3"/>
      <c r="AF454" s="3"/>
      <c r="AG454" s="3"/>
      <c r="AH454" s="3"/>
      <c r="AI454" s="3"/>
      <c r="AK454" s="3"/>
      <c r="AL454" s="3"/>
      <c r="AM454" s="3"/>
      <c r="AN454" s="3"/>
      <c r="AO454" s="3"/>
      <c r="AP454" s="3"/>
      <c r="AQ454" s="3"/>
      <c r="AR454" s="3"/>
    </row>
    <row r="455" spans="1:44" ht="16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S455" s="3"/>
      <c r="T455" s="3"/>
      <c r="U455" s="3"/>
      <c r="V455" s="3"/>
      <c r="W455" s="3"/>
      <c r="X455" s="3"/>
      <c r="Y455" s="3"/>
      <c r="Z455" s="3"/>
      <c r="AB455" s="3"/>
      <c r="AC455" s="3"/>
      <c r="AD455" s="3"/>
      <c r="AE455" s="3"/>
      <c r="AF455" s="3"/>
      <c r="AG455" s="3"/>
      <c r="AH455" s="3"/>
      <c r="AI455" s="3"/>
      <c r="AK455" s="3"/>
      <c r="AL455" s="3"/>
      <c r="AM455" s="3"/>
      <c r="AN455" s="3"/>
      <c r="AO455" s="3"/>
      <c r="AP455" s="3"/>
      <c r="AQ455" s="3"/>
      <c r="AR455" s="3"/>
    </row>
    <row r="456" spans="1:44" ht="16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S456" s="3"/>
      <c r="T456" s="3"/>
      <c r="U456" s="3"/>
      <c r="V456" s="3"/>
      <c r="W456" s="3"/>
      <c r="X456" s="3"/>
      <c r="Y456" s="3"/>
      <c r="Z456" s="3"/>
      <c r="AB456" s="3"/>
      <c r="AC456" s="3"/>
      <c r="AD456" s="3"/>
      <c r="AE456" s="3"/>
      <c r="AF456" s="3"/>
      <c r="AG456" s="3"/>
      <c r="AH456" s="3"/>
      <c r="AI456" s="3"/>
      <c r="AK456" s="3"/>
      <c r="AL456" s="3"/>
      <c r="AM456" s="3"/>
      <c r="AN456" s="3"/>
      <c r="AO456" s="3"/>
      <c r="AP456" s="3"/>
      <c r="AQ456" s="3"/>
      <c r="AR456" s="3"/>
    </row>
    <row r="457" spans="1:44" ht="16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S457" s="3"/>
      <c r="T457" s="3"/>
      <c r="U457" s="3"/>
      <c r="V457" s="3"/>
      <c r="W457" s="3"/>
      <c r="X457" s="3"/>
      <c r="Y457" s="3"/>
      <c r="Z457" s="3"/>
      <c r="AB457" s="3"/>
      <c r="AC457" s="3"/>
      <c r="AD457" s="3"/>
      <c r="AE457" s="3"/>
      <c r="AF457" s="3"/>
      <c r="AG457" s="3"/>
      <c r="AH457" s="3"/>
      <c r="AI457" s="3"/>
      <c r="AK457" s="3"/>
      <c r="AL457" s="3"/>
      <c r="AM457" s="3"/>
      <c r="AN457" s="3"/>
      <c r="AO457" s="3"/>
      <c r="AP457" s="3"/>
      <c r="AQ457" s="3"/>
      <c r="AR457" s="3"/>
    </row>
    <row r="458" spans="1:44" ht="16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S458" s="3"/>
      <c r="T458" s="3"/>
      <c r="U458" s="3"/>
      <c r="V458" s="3"/>
      <c r="W458" s="3"/>
      <c r="X458" s="3"/>
      <c r="Y458" s="3"/>
      <c r="Z458" s="3"/>
      <c r="AB458" s="3"/>
      <c r="AC458" s="3"/>
      <c r="AD458" s="3"/>
      <c r="AE458" s="3"/>
      <c r="AF458" s="3"/>
      <c r="AG458" s="3"/>
      <c r="AH458" s="3"/>
      <c r="AI458" s="3"/>
      <c r="AK458" s="3"/>
      <c r="AL458" s="3"/>
      <c r="AM458" s="3"/>
      <c r="AN458" s="3"/>
      <c r="AO458" s="3"/>
      <c r="AP458" s="3"/>
      <c r="AQ458" s="3"/>
      <c r="AR458" s="3"/>
    </row>
    <row r="459" spans="1:44" ht="16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S459" s="3"/>
      <c r="T459" s="3"/>
      <c r="U459" s="3"/>
      <c r="V459" s="3"/>
      <c r="W459" s="3"/>
      <c r="X459" s="3"/>
      <c r="Y459" s="3"/>
      <c r="Z459" s="3"/>
      <c r="AB459" s="3"/>
      <c r="AC459" s="3"/>
      <c r="AD459" s="3"/>
      <c r="AE459" s="3"/>
      <c r="AF459" s="3"/>
      <c r="AG459" s="3"/>
      <c r="AH459" s="3"/>
      <c r="AI459" s="3"/>
      <c r="AK459" s="3"/>
      <c r="AL459" s="3"/>
      <c r="AM459" s="3"/>
      <c r="AN459" s="3"/>
      <c r="AO459" s="3"/>
      <c r="AP459" s="3"/>
      <c r="AQ459" s="3"/>
      <c r="AR459" s="3"/>
    </row>
    <row r="460" spans="1:44" ht="16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S460" s="3"/>
      <c r="T460" s="3"/>
      <c r="U460" s="3"/>
      <c r="V460" s="3"/>
      <c r="W460" s="3"/>
      <c r="X460" s="3"/>
      <c r="Y460" s="3"/>
      <c r="Z460" s="3"/>
      <c r="AB460" s="3"/>
      <c r="AC460" s="3"/>
      <c r="AD460" s="3"/>
      <c r="AE460" s="3"/>
      <c r="AF460" s="3"/>
      <c r="AG460" s="3"/>
      <c r="AH460" s="3"/>
      <c r="AI460" s="3"/>
      <c r="AK460" s="3"/>
      <c r="AL460" s="3"/>
      <c r="AM460" s="3"/>
      <c r="AN460" s="3"/>
      <c r="AO460" s="3"/>
      <c r="AP460" s="3"/>
      <c r="AQ460" s="3"/>
      <c r="AR460" s="3"/>
    </row>
    <row r="461" spans="1:44" ht="16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S461" s="3"/>
      <c r="T461" s="3"/>
      <c r="U461" s="3"/>
      <c r="V461" s="3"/>
      <c r="W461" s="3"/>
      <c r="X461" s="3"/>
      <c r="Y461" s="3"/>
      <c r="Z461" s="3"/>
      <c r="AB461" s="3"/>
      <c r="AC461" s="3"/>
      <c r="AD461" s="3"/>
      <c r="AE461" s="3"/>
      <c r="AF461" s="3"/>
      <c r="AG461" s="3"/>
      <c r="AH461" s="3"/>
      <c r="AI461" s="3"/>
      <c r="AK461" s="3"/>
      <c r="AL461" s="3"/>
      <c r="AM461" s="3"/>
      <c r="AN461" s="3"/>
      <c r="AO461" s="3"/>
      <c r="AP461" s="3"/>
      <c r="AQ461" s="3"/>
      <c r="AR461" s="3"/>
    </row>
    <row r="462" spans="1:44" ht="16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S462" s="3"/>
      <c r="T462" s="3"/>
      <c r="U462" s="3"/>
      <c r="V462" s="3"/>
      <c r="W462" s="3"/>
      <c r="X462" s="3"/>
      <c r="Y462" s="3"/>
      <c r="Z462" s="3"/>
      <c r="AB462" s="3"/>
      <c r="AC462" s="3"/>
      <c r="AD462" s="3"/>
      <c r="AE462" s="3"/>
      <c r="AF462" s="3"/>
      <c r="AG462" s="3"/>
      <c r="AH462" s="3"/>
      <c r="AI462" s="3"/>
      <c r="AK462" s="3"/>
      <c r="AL462" s="3"/>
      <c r="AM462" s="3"/>
      <c r="AN462" s="3"/>
      <c r="AO462" s="3"/>
      <c r="AP462" s="3"/>
      <c r="AQ462" s="3"/>
      <c r="AR462" s="3"/>
    </row>
    <row r="463" spans="1:44" ht="16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S463" s="3"/>
      <c r="T463" s="3"/>
      <c r="U463" s="3"/>
      <c r="V463" s="3"/>
      <c r="W463" s="3"/>
      <c r="X463" s="3"/>
      <c r="Y463" s="3"/>
      <c r="Z463" s="3"/>
      <c r="AB463" s="3"/>
      <c r="AC463" s="3"/>
      <c r="AD463" s="3"/>
      <c r="AE463" s="3"/>
      <c r="AF463" s="3"/>
      <c r="AG463" s="3"/>
      <c r="AH463" s="3"/>
      <c r="AI463" s="3"/>
      <c r="AK463" s="3"/>
      <c r="AL463" s="3"/>
      <c r="AM463" s="3"/>
      <c r="AN463" s="3"/>
      <c r="AO463" s="3"/>
      <c r="AP463" s="3"/>
      <c r="AQ463" s="3"/>
      <c r="AR463" s="3"/>
    </row>
    <row r="464" spans="1:44" ht="16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S464" s="3"/>
      <c r="T464" s="3"/>
      <c r="U464" s="3"/>
      <c r="V464" s="3"/>
      <c r="W464" s="3"/>
      <c r="X464" s="3"/>
      <c r="Y464" s="3"/>
      <c r="Z464" s="3"/>
      <c r="AB464" s="3"/>
      <c r="AC464" s="3"/>
      <c r="AD464" s="3"/>
      <c r="AE464" s="3"/>
      <c r="AF464" s="3"/>
      <c r="AG464" s="3"/>
      <c r="AH464" s="3"/>
      <c r="AI464" s="3"/>
      <c r="AK464" s="3"/>
      <c r="AL464" s="3"/>
      <c r="AM464" s="3"/>
      <c r="AN464" s="3"/>
      <c r="AO464" s="3"/>
      <c r="AP464" s="3"/>
      <c r="AQ464" s="3"/>
      <c r="AR464" s="3"/>
    </row>
    <row r="465" spans="1:44" ht="16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S465" s="3"/>
      <c r="T465" s="3"/>
      <c r="U465" s="3"/>
      <c r="V465" s="3"/>
      <c r="W465" s="3"/>
      <c r="X465" s="3"/>
      <c r="Y465" s="3"/>
      <c r="Z465" s="3"/>
      <c r="AB465" s="3"/>
      <c r="AC465" s="3"/>
      <c r="AD465" s="3"/>
      <c r="AE465" s="3"/>
      <c r="AF465" s="3"/>
      <c r="AG465" s="3"/>
      <c r="AH465" s="3"/>
      <c r="AI465" s="3"/>
      <c r="AK465" s="3"/>
      <c r="AL465" s="3"/>
      <c r="AM465" s="3"/>
      <c r="AN465" s="3"/>
      <c r="AO465" s="3"/>
      <c r="AP465" s="3"/>
      <c r="AQ465" s="3"/>
      <c r="AR465" s="3"/>
    </row>
    <row r="466" spans="1:44" ht="16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S466" s="3"/>
      <c r="T466" s="3"/>
      <c r="U466" s="3"/>
      <c r="V466" s="3"/>
      <c r="W466" s="3"/>
      <c r="X466" s="3"/>
      <c r="Y466" s="3"/>
      <c r="Z466" s="3"/>
      <c r="AB466" s="3"/>
      <c r="AC466" s="3"/>
      <c r="AD466" s="3"/>
      <c r="AE466" s="3"/>
      <c r="AF466" s="3"/>
      <c r="AG466" s="3"/>
      <c r="AH466" s="3"/>
      <c r="AI466" s="3"/>
      <c r="AK466" s="3"/>
      <c r="AL466" s="3"/>
      <c r="AM466" s="3"/>
      <c r="AN466" s="3"/>
      <c r="AO466" s="3"/>
      <c r="AP466" s="3"/>
      <c r="AQ466" s="3"/>
      <c r="AR466" s="3"/>
    </row>
    <row r="467" spans="1:44" ht="16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S467" s="3"/>
      <c r="T467" s="3"/>
      <c r="U467" s="3"/>
      <c r="V467" s="3"/>
      <c r="W467" s="3"/>
      <c r="X467" s="3"/>
      <c r="Y467" s="3"/>
      <c r="Z467" s="3"/>
      <c r="AB467" s="3"/>
      <c r="AC467" s="3"/>
      <c r="AD467" s="3"/>
      <c r="AE467" s="3"/>
      <c r="AF467" s="3"/>
      <c r="AG467" s="3"/>
      <c r="AH467" s="3"/>
      <c r="AI467" s="3"/>
      <c r="AK467" s="3"/>
      <c r="AL467" s="3"/>
      <c r="AM467" s="3"/>
      <c r="AN467" s="3"/>
      <c r="AO467" s="3"/>
      <c r="AP467" s="3"/>
      <c r="AQ467" s="3"/>
      <c r="AR467" s="3"/>
    </row>
    <row r="468" spans="1:44" ht="16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S468" s="3"/>
      <c r="T468" s="3"/>
      <c r="U468" s="3"/>
      <c r="V468" s="3"/>
      <c r="W468" s="3"/>
      <c r="X468" s="3"/>
      <c r="Y468" s="3"/>
      <c r="Z468" s="3"/>
      <c r="AB468" s="3"/>
      <c r="AC468" s="3"/>
      <c r="AD468" s="3"/>
      <c r="AE468" s="3"/>
      <c r="AF468" s="3"/>
      <c r="AG468" s="3"/>
      <c r="AH468" s="3"/>
      <c r="AI468" s="3"/>
      <c r="AK468" s="3"/>
      <c r="AL468" s="3"/>
      <c r="AM468" s="3"/>
      <c r="AN468" s="3"/>
      <c r="AO468" s="3"/>
      <c r="AP468" s="3"/>
      <c r="AQ468" s="3"/>
      <c r="AR468" s="3"/>
    </row>
    <row r="469" spans="1:44" ht="16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S469" s="3"/>
      <c r="T469" s="3"/>
      <c r="U469" s="3"/>
      <c r="V469" s="3"/>
      <c r="W469" s="3"/>
      <c r="X469" s="3"/>
      <c r="Y469" s="3"/>
      <c r="Z469" s="3"/>
      <c r="AB469" s="3"/>
      <c r="AC469" s="3"/>
      <c r="AD469" s="3"/>
      <c r="AE469" s="3"/>
      <c r="AF469" s="3"/>
      <c r="AG469" s="3"/>
      <c r="AH469" s="3"/>
      <c r="AI469" s="3"/>
      <c r="AK469" s="3"/>
      <c r="AL469" s="3"/>
      <c r="AM469" s="3"/>
      <c r="AN469" s="3"/>
      <c r="AO469" s="3"/>
      <c r="AP469" s="3"/>
      <c r="AQ469" s="3"/>
      <c r="AR469" s="3"/>
    </row>
    <row r="470" spans="1:44" ht="16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S470" s="3"/>
      <c r="T470" s="3"/>
      <c r="U470" s="3"/>
      <c r="V470" s="3"/>
      <c r="W470" s="3"/>
      <c r="X470" s="3"/>
      <c r="Y470" s="3"/>
      <c r="Z470" s="3"/>
      <c r="AB470" s="3"/>
      <c r="AC470" s="3"/>
      <c r="AD470" s="3"/>
      <c r="AE470" s="3"/>
      <c r="AF470" s="3"/>
      <c r="AG470" s="3"/>
      <c r="AH470" s="3"/>
      <c r="AI470" s="3"/>
      <c r="AK470" s="3"/>
      <c r="AL470" s="3"/>
      <c r="AM470" s="3"/>
      <c r="AN470" s="3"/>
      <c r="AO470" s="3"/>
      <c r="AP470" s="3"/>
      <c r="AQ470" s="3"/>
      <c r="AR470" s="3"/>
    </row>
    <row r="471" spans="1:44" ht="16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S471" s="3"/>
      <c r="T471" s="3"/>
      <c r="U471" s="3"/>
      <c r="V471" s="3"/>
      <c r="W471" s="3"/>
      <c r="X471" s="3"/>
      <c r="Y471" s="3"/>
      <c r="Z471" s="3"/>
      <c r="AB471" s="3"/>
      <c r="AC471" s="3"/>
      <c r="AD471" s="3"/>
      <c r="AE471" s="3"/>
      <c r="AF471" s="3"/>
      <c r="AG471" s="3"/>
      <c r="AH471" s="3"/>
      <c r="AI471" s="3"/>
      <c r="AK471" s="3"/>
      <c r="AL471" s="3"/>
      <c r="AM471" s="3"/>
      <c r="AN471" s="3"/>
      <c r="AO471" s="3"/>
      <c r="AP471" s="3"/>
      <c r="AQ471" s="3"/>
      <c r="AR471" s="3"/>
    </row>
    <row r="472" spans="1:44" ht="16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S472" s="3"/>
      <c r="T472" s="3"/>
      <c r="U472" s="3"/>
      <c r="V472" s="3"/>
      <c r="W472" s="3"/>
      <c r="X472" s="3"/>
      <c r="Y472" s="3"/>
      <c r="Z472" s="3"/>
      <c r="AB472" s="3"/>
      <c r="AC472" s="3"/>
      <c r="AD472" s="3"/>
      <c r="AE472" s="3"/>
      <c r="AF472" s="3"/>
      <c r="AG472" s="3"/>
      <c r="AH472" s="3"/>
      <c r="AI472" s="3"/>
      <c r="AK472" s="3"/>
      <c r="AL472" s="3"/>
      <c r="AM472" s="3"/>
      <c r="AN472" s="3"/>
      <c r="AO472" s="3"/>
      <c r="AP472" s="3"/>
      <c r="AQ472" s="3"/>
      <c r="AR472" s="3"/>
    </row>
    <row r="473" spans="1:44" ht="16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S473" s="3"/>
      <c r="T473" s="3"/>
      <c r="U473" s="3"/>
      <c r="V473" s="3"/>
      <c r="W473" s="3"/>
      <c r="X473" s="3"/>
      <c r="Y473" s="3"/>
      <c r="Z473" s="3"/>
      <c r="AB473" s="3"/>
      <c r="AC473" s="3"/>
      <c r="AD473" s="3"/>
      <c r="AE473" s="3"/>
      <c r="AF473" s="3"/>
      <c r="AG473" s="3"/>
      <c r="AH473" s="3"/>
      <c r="AI473" s="3"/>
      <c r="AK473" s="3"/>
      <c r="AL473" s="3"/>
      <c r="AM473" s="3"/>
      <c r="AN473" s="3"/>
      <c r="AO473" s="3"/>
      <c r="AP473" s="3"/>
      <c r="AQ473" s="3"/>
      <c r="AR473" s="3"/>
    </row>
    <row r="474" spans="1:44" ht="16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S474" s="3"/>
      <c r="T474" s="3"/>
      <c r="U474" s="3"/>
      <c r="V474" s="3"/>
      <c r="W474" s="3"/>
      <c r="X474" s="3"/>
      <c r="Y474" s="3"/>
      <c r="Z474" s="3"/>
      <c r="AB474" s="3"/>
      <c r="AC474" s="3"/>
      <c r="AD474" s="3"/>
      <c r="AE474" s="3"/>
      <c r="AF474" s="3"/>
      <c r="AG474" s="3"/>
      <c r="AH474" s="3"/>
      <c r="AI474" s="3"/>
      <c r="AK474" s="3"/>
      <c r="AL474" s="3"/>
      <c r="AM474" s="3"/>
      <c r="AN474" s="3"/>
      <c r="AO474" s="3"/>
      <c r="AP474" s="3"/>
      <c r="AQ474" s="3"/>
      <c r="AR474" s="3"/>
    </row>
    <row r="475" spans="1:44" ht="16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S475" s="3"/>
      <c r="T475" s="3"/>
      <c r="U475" s="3"/>
      <c r="V475" s="3"/>
      <c r="W475" s="3"/>
      <c r="X475" s="3"/>
      <c r="Y475" s="3"/>
      <c r="Z475" s="3"/>
      <c r="AB475" s="3"/>
      <c r="AC475" s="3"/>
      <c r="AD475" s="3"/>
      <c r="AE475" s="3"/>
      <c r="AF475" s="3"/>
      <c r="AG475" s="3"/>
      <c r="AH475" s="3"/>
      <c r="AI475" s="3"/>
      <c r="AK475" s="3"/>
      <c r="AL475" s="3"/>
      <c r="AM475" s="3"/>
      <c r="AN475" s="3"/>
      <c r="AO475" s="3"/>
      <c r="AP475" s="3"/>
      <c r="AQ475" s="3"/>
      <c r="AR475" s="3"/>
    </row>
    <row r="476" spans="1:44" ht="16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S476" s="3"/>
      <c r="T476" s="3"/>
      <c r="U476" s="3"/>
      <c r="V476" s="3"/>
      <c r="W476" s="3"/>
      <c r="X476" s="3"/>
      <c r="Y476" s="3"/>
      <c r="Z476" s="3"/>
      <c r="AB476" s="3"/>
      <c r="AC476" s="3"/>
      <c r="AD476" s="3"/>
      <c r="AE476" s="3"/>
      <c r="AF476" s="3"/>
      <c r="AG476" s="3"/>
      <c r="AH476" s="3"/>
      <c r="AI476" s="3"/>
      <c r="AK476" s="3"/>
      <c r="AL476" s="3"/>
      <c r="AM476" s="3"/>
      <c r="AN476" s="3"/>
      <c r="AO476" s="3"/>
      <c r="AP476" s="3"/>
      <c r="AQ476" s="3"/>
      <c r="AR476" s="3"/>
    </row>
    <row r="477" spans="1:44" ht="16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S477" s="3"/>
      <c r="T477" s="3"/>
      <c r="U477" s="3"/>
      <c r="V477" s="3"/>
      <c r="W477" s="3"/>
      <c r="X477" s="3"/>
      <c r="Y477" s="3"/>
      <c r="Z477" s="3"/>
      <c r="AB477" s="3"/>
      <c r="AC477" s="3"/>
      <c r="AD477" s="3"/>
      <c r="AE477" s="3"/>
      <c r="AF477" s="3"/>
      <c r="AG477" s="3"/>
      <c r="AH477" s="3"/>
      <c r="AI477" s="3"/>
      <c r="AK477" s="3"/>
      <c r="AL477" s="3"/>
      <c r="AM477" s="3"/>
      <c r="AN477" s="3"/>
      <c r="AO477" s="3"/>
      <c r="AP477" s="3"/>
      <c r="AQ477" s="3"/>
      <c r="AR477" s="3"/>
    </row>
    <row r="478" spans="1:44" ht="16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S478" s="3"/>
      <c r="T478" s="3"/>
      <c r="U478" s="3"/>
      <c r="V478" s="3"/>
      <c r="W478" s="3"/>
      <c r="X478" s="3"/>
      <c r="Y478" s="3"/>
      <c r="Z478" s="3"/>
      <c r="AB478" s="3"/>
      <c r="AC478" s="3"/>
      <c r="AD478" s="3"/>
      <c r="AE478" s="3"/>
      <c r="AF478" s="3"/>
      <c r="AG478" s="3"/>
      <c r="AH478" s="3"/>
      <c r="AI478" s="3"/>
      <c r="AK478" s="3"/>
      <c r="AL478" s="3"/>
      <c r="AM478" s="3"/>
      <c r="AN478" s="3"/>
      <c r="AO478" s="3"/>
      <c r="AP478" s="3"/>
      <c r="AQ478" s="3"/>
      <c r="AR478" s="3"/>
    </row>
    <row r="479" spans="1:44" ht="16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S479" s="3"/>
      <c r="T479" s="3"/>
      <c r="U479" s="3"/>
      <c r="V479" s="3"/>
      <c r="W479" s="3"/>
      <c r="X479" s="3"/>
      <c r="Y479" s="3"/>
      <c r="Z479" s="3"/>
      <c r="AB479" s="3"/>
      <c r="AC479" s="3"/>
      <c r="AD479" s="3"/>
      <c r="AE479" s="3"/>
      <c r="AF479" s="3"/>
      <c r="AG479" s="3"/>
      <c r="AH479" s="3"/>
      <c r="AI479" s="3"/>
      <c r="AK479" s="3"/>
      <c r="AL479" s="3"/>
      <c r="AM479" s="3"/>
      <c r="AN479" s="3"/>
      <c r="AO479" s="3"/>
      <c r="AP479" s="3"/>
      <c r="AQ479" s="3"/>
      <c r="AR479" s="3"/>
    </row>
    <row r="480" spans="1:44" ht="16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S480" s="3"/>
      <c r="T480" s="3"/>
      <c r="U480" s="3"/>
      <c r="V480" s="3"/>
      <c r="W480" s="3"/>
      <c r="X480" s="3"/>
      <c r="Y480" s="3"/>
      <c r="Z480" s="3"/>
      <c r="AB480" s="3"/>
      <c r="AC480" s="3"/>
      <c r="AD480" s="3"/>
      <c r="AE480" s="3"/>
      <c r="AF480" s="3"/>
      <c r="AG480" s="3"/>
      <c r="AH480" s="3"/>
      <c r="AI480" s="3"/>
      <c r="AK480" s="3"/>
      <c r="AL480" s="3"/>
      <c r="AM480" s="3"/>
      <c r="AN480" s="3"/>
      <c r="AO480" s="3"/>
      <c r="AP480" s="3"/>
      <c r="AQ480" s="3"/>
      <c r="AR480" s="3"/>
    </row>
    <row r="481" spans="1:44" ht="16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S481" s="3"/>
      <c r="T481" s="3"/>
      <c r="U481" s="3"/>
      <c r="V481" s="3"/>
      <c r="W481" s="3"/>
      <c r="X481" s="3"/>
      <c r="Y481" s="3"/>
      <c r="Z481" s="3"/>
      <c r="AB481" s="3"/>
      <c r="AC481" s="3"/>
      <c r="AD481" s="3"/>
      <c r="AE481" s="3"/>
      <c r="AF481" s="3"/>
      <c r="AG481" s="3"/>
      <c r="AH481" s="3"/>
      <c r="AI481" s="3"/>
      <c r="AK481" s="3"/>
      <c r="AL481" s="3"/>
      <c r="AM481" s="3"/>
      <c r="AN481" s="3"/>
      <c r="AO481" s="3"/>
      <c r="AP481" s="3"/>
      <c r="AQ481" s="3"/>
      <c r="AR481" s="3"/>
    </row>
    <row r="482" spans="1:44" ht="16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S482" s="3"/>
      <c r="T482" s="3"/>
      <c r="U482" s="3"/>
      <c r="V482" s="3"/>
      <c r="W482" s="3"/>
      <c r="X482" s="3"/>
      <c r="Y482" s="3"/>
      <c r="Z482" s="3"/>
      <c r="AB482" s="3"/>
      <c r="AC482" s="3"/>
      <c r="AD482" s="3"/>
      <c r="AE482" s="3"/>
      <c r="AF482" s="3"/>
      <c r="AG482" s="3"/>
      <c r="AH482" s="3"/>
      <c r="AI482" s="3"/>
      <c r="AK482" s="3"/>
      <c r="AL482" s="3"/>
      <c r="AM482" s="3"/>
      <c r="AN482" s="3"/>
      <c r="AO482" s="3"/>
      <c r="AP482" s="3"/>
      <c r="AQ482" s="3"/>
      <c r="AR482" s="3"/>
    </row>
    <row r="483" spans="1:44" ht="16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S483" s="3"/>
      <c r="T483" s="3"/>
      <c r="U483" s="3"/>
      <c r="V483" s="3"/>
      <c r="W483" s="3"/>
      <c r="X483" s="3"/>
      <c r="Y483" s="3"/>
      <c r="Z483" s="3"/>
      <c r="AB483" s="3"/>
      <c r="AC483" s="3"/>
      <c r="AD483" s="3"/>
      <c r="AE483" s="3"/>
      <c r="AF483" s="3"/>
      <c r="AG483" s="3"/>
      <c r="AH483" s="3"/>
      <c r="AI483" s="3"/>
      <c r="AK483" s="3"/>
      <c r="AL483" s="3"/>
      <c r="AM483" s="3"/>
      <c r="AN483" s="3"/>
      <c r="AO483" s="3"/>
      <c r="AP483" s="3"/>
      <c r="AQ483" s="3"/>
      <c r="AR483" s="3"/>
    </row>
    <row r="484" spans="1:44" ht="16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S484" s="3"/>
      <c r="T484" s="3"/>
      <c r="U484" s="3"/>
      <c r="V484" s="3"/>
      <c r="W484" s="3"/>
      <c r="X484" s="3"/>
      <c r="Y484" s="3"/>
      <c r="Z484" s="3"/>
      <c r="AB484" s="3"/>
      <c r="AC484" s="3"/>
      <c r="AD484" s="3"/>
      <c r="AE484" s="3"/>
      <c r="AF484" s="3"/>
      <c r="AG484" s="3"/>
      <c r="AH484" s="3"/>
      <c r="AI484" s="3"/>
      <c r="AK484" s="3"/>
      <c r="AL484" s="3"/>
      <c r="AM484" s="3"/>
      <c r="AN484" s="3"/>
      <c r="AO484" s="3"/>
      <c r="AP484" s="3"/>
      <c r="AQ484" s="3"/>
      <c r="AR484" s="3"/>
    </row>
    <row r="485" spans="1:44" ht="16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S485" s="3"/>
      <c r="T485" s="3"/>
      <c r="U485" s="3"/>
      <c r="V485" s="3"/>
      <c r="W485" s="3"/>
      <c r="X485" s="3"/>
      <c r="Y485" s="3"/>
      <c r="Z485" s="3"/>
      <c r="AB485" s="3"/>
      <c r="AC485" s="3"/>
      <c r="AD485" s="3"/>
      <c r="AE485" s="3"/>
      <c r="AF485" s="3"/>
      <c r="AG485" s="3"/>
      <c r="AH485" s="3"/>
      <c r="AI485" s="3"/>
      <c r="AK485" s="3"/>
      <c r="AL485" s="3"/>
      <c r="AM485" s="3"/>
      <c r="AN485" s="3"/>
      <c r="AO485" s="3"/>
      <c r="AP485" s="3"/>
      <c r="AQ485" s="3"/>
      <c r="AR485" s="3"/>
    </row>
    <row r="486" spans="1:44" ht="16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S486" s="3"/>
      <c r="T486" s="3"/>
      <c r="U486" s="3"/>
      <c r="V486" s="3"/>
      <c r="W486" s="3"/>
      <c r="X486" s="3"/>
      <c r="Y486" s="3"/>
      <c r="Z486" s="3"/>
      <c r="AB486" s="3"/>
      <c r="AC486" s="3"/>
      <c r="AD486" s="3"/>
      <c r="AE486" s="3"/>
      <c r="AF486" s="3"/>
      <c r="AG486" s="3"/>
      <c r="AH486" s="3"/>
      <c r="AI486" s="3"/>
      <c r="AK486" s="3"/>
      <c r="AL486" s="3"/>
      <c r="AM486" s="3"/>
      <c r="AN486" s="3"/>
      <c r="AO486" s="3"/>
      <c r="AP486" s="3"/>
      <c r="AQ486" s="3"/>
      <c r="AR486" s="3"/>
    </row>
    <row r="487" spans="1:44" ht="16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S487" s="3"/>
      <c r="T487" s="3"/>
      <c r="U487" s="3"/>
      <c r="V487" s="3"/>
      <c r="W487" s="3"/>
      <c r="X487" s="3"/>
      <c r="Y487" s="3"/>
      <c r="Z487" s="3"/>
      <c r="AB487" s="3"/>
      <c r="AC487" s="3"/>
      <c r="AD487" s="3"/>
      <c r="AE487" s="3"/>
      <c r="AF487" s="3"/>
      <c r="AG487" s="3"/>
      <c r="AH487" s="3"/>
      <c r="AI487" s="3"/>
      <c r="AK487" s="3"/>
      <c r="AL487" s="3"/>
      <c r="AM487" s="3"/>
      <c r="AN487" s="3"/>
      <c r="AO487" s="3"/>
      <c r="AP487" s="3"/>
      <c r="AQ487" s="3"/>
      <c r="AR487" s="3"/>
    </row>
    <row r="488" spans="1:44" ht="16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S488" s="3"/>
      <c r="T488" s="3"/>
      <c r="U488" s="3"/>
      <c r="V488" s="3"/>
      <c r="W488" s="3"/>
      <c r="X488" s="3"/>
      <c r="Y488" s="3"/>
      <c r="Z488" s="3"/>
      <c r="AB488" s="3"/>
      <c r="AC488" s="3"/>
      <c r="AD488" s="3"/>
      <c r="AE488" s="3"/>
      <c r="AF488" s="3"/>
      <c r="AG488" s="3"/>
      <c r="AH488" s="3"/>
      <c r="AI488" s="3"/>
      <c r="AK488" s="3"/>
      <c r="AL488" s="3"/>
      <c r="AM488" s="3"/>
      <c r="AN488" s="3"/>
      <c r="AO488" s="3"/>
      <c r="AP488" s="3"/>
      <c r="AQ488" s="3"/>
      <c r="AR488" s="3"/>
    </row>
    <row r="489" spans="1:44" ht="16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S489" s="3"/>
      <c r="T489" s="3"/>
      <c r="U489" s="3"/>
      <c r="V489" s="3"/>
      <c r="W489" s="3"/>
      <c r="X489" s="3"/>
      <c r="Y489" s="3"/>
      <c r="Z489" s="3"/>
      <c r="AB489" s="3"/>
      <c r="AC489" s="3"/>
      <c r="AD489" s="3"/>
      <c r="AE489" s="3"/>
      <c r="AF489" s="3"/>
      <c r="AG489" s="3"/>
      <c r="AH489" s="3"/>
      <c r="AI489" s="3"/>
      <c r="AK489" s="3"/>
      <c r="AL489" s="3"/>
      <c r="AM489" s="3"/>
      <c r="AN489" s="3"/>
      <c r="AO489" s="3"/>
      <c r="AP489" s="3"/>
      <c r="AQ489" s="3"/>
      <c r="AR489" s="3"/>
    </row>
    <row r="490" spans="1:44" ht="16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S490" s="3"/>
      <c r="T490" s="3"/>
      <c r="U490" s="3"/>
      <c r="V490" s="3"/>
      <c r="W490" s="3"/>
      <c r="X490" s="3"/>
      <c r="Y490" s="3"/>
      <c r="Z490" s="3"/>
      <c r="AB490" s="3"/>
      <c r="AC490" s="3"/>
      <c r="AD490" s="3"/>
      <c r="AE490" s="3"/>
      <c r="AF490" s="3"/>
      <c r="AG490" s="3"/>
      <c r="AH490" s="3"/>
      <c r="AI490" s="3"/>
      <c r="AK490" s="3"/>
      <c r="AL490" s="3"/>
      <c r="AM490" s="3"/>
      <c r="AN490" s="3"/>
      <c r="AO490" s="3"/>
      <c r="AP490" s="3"/>
      <c r="AQ490" s="3"/>
      <c r="AR490" s="3"/>
    </row>
    <row r="491" spans="1:44" ht="16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S491" s="3"/>
      <c r="T491" s="3"/>
      <c r="U491" s="3"/>
      <c r="V491" s="3"/>
      <c r="W491" s="3"/>
      <c r="X491" s="3"/>
      <c r="Y491" s="3"/>
      <c r="Z491" s="3"/>
      <c r="AB491" s="3"/>
      <c r="AC491" s="3"/>
      <c r="AD491" s="3"/>
      <c r="AE491" s="3"/>
      <c r="AF491" s="3"/>
      <c r="AG491" s="3"/>
      <c r="AH491" s="3"/>
      <c r="AI491" s="3"/>
      <c r="AK491" s="3"/>
      <c r="AL491" s="3"/>
      <c r="AM491" s="3"/>
      <c r="AN491" s="3"/>
      <c r="AO491" s="3"/>
      <c r="AP491" s="3"/>
      <c r="AQ491" s="3"/>
      <c r="AR491" s="3"/>
    </row>
    <row r="492" spans="1:44" ht="16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S492" s="3"/>
      <c r="T492" s="3"/>
      <c r="U492" s="3"/>
      <c r="V492" s="3"/>
      <c r="W492" s="3"/>
      <c r="X492" s="3"/>
      <c r="Y492" s="3"/>
      <c r="Z492" s="3"/>
      <c r="AB492" s="3"/>
      <c r="AC492" s="3"/>
      <c r="AD492" s="3"/>
      <c r="AE492" s="3"/>
      <c r="AF492" s="3"/>
      <c r="AG492" s="3"/>
      <c r="AH492" s="3"/>
      <c r="AI492" s="3"/>
      <c r="AK492" s="3"/>
      <c r="AL492" s="3"/>
      <c r="AM492" s="3"/>
      <c r="AN492" s="3"/>
      <c r="AO492" s="3"/>
      <c r="AP492" s="3"/>
      <c r="AQ492" s="3"/>
      <c r="AR492" s="3"/>
    </row>
    <row r="493" spans="1:44" ht="16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S493" s="3"/>
      <c r="T493" s="3"/>
      <c r="U493" s="3"/>
      <c r="V493" s="3"/>
      <c r="W493" s="3"/>
      <c r="X493" s="3"/>
      <c r="Y493" s="3"/>
      <c r="Z493" s="3"/>
      <c r="AB493" s="3"/>
      <c r="AC493" s="3"/>
      <c r="AD493" s="3"/>
      <c r="AE493" s="3"/>
      <c r="AF493" s="3"/>
      <c r="AG493" s="3"/>
      <c r="AH493" s="3"/>
      <c r="AI493" s="3"/>
      <c r="AK493" s="3"/>
      <c r="AL493" s="3"/>
      <c r="AM493" s="3"/>
      <c r="AN493" s="3"/>
      <c r="AO493" s="3"/>
      <c r="AP493" s="3"/>
      <c r="AQ493" s="3"/>
      <c r="AR493" s="3"/>
    </row>
    <row r="494" spans="1:44" ht="16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S494" s="3"/>
      <c r="T494" s="3"/>
      <c r="U494" s="3"/>
      <c r="V494" s="3"/>
      <c r="W494" s="3"/>
      <c r="X494" s="3"/>
      <c r="Y494" s="3"/>
      <c r="Z494" s="3"/>
      <c r="AB494" s="3"/>
      <c r="AC494" s="3"/>
      <c r="AD494" s="3"/>
      <c r="AE494" s="3"/>
      <c r="AF494" s="3"/>
      <c r="AG494" s="3"/>
      <c r="AH494" s="3"/>
      <c r="AI494" s="3"/>
      <c r="AK494" s="3"/>
      <c r="AL494" s="3"/>
      <c r="AM494" s="3"/>
      <c r="AN494" s="3"/>
      <c r="AO494" s="3"/>
      <c r="AP494" s="3"/>
      <c r="AQ494" s="3"/>
      <c r="AR494" s="3"/>
    </row>
    <row r="495" spans="1:44" ht="16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S495" s="3"/>
      <c r="T495" s="3"/>
      <c r="U495" s="3"/>
      <c r="V495" s="3"/>
      <c r="W495" s="3"/>
      <c r="X495" s="3"/>
      <c r="Y495" s="3"/>
      <c r="Z495" s="3"/>
      <c r="AB495" s="3"/>
      <c r="AC495" s="3"/>
      <c r="AD495" s="3"/>
      <c r="AE495" s="3"/>
      <c r="AF495" s="3"/>
      <c r="AG495" s="3"/>
      <c r="AH495" s="3"/>
      <c r="AI495" s="3"/>
      <c r="AK495" s="3"/>
      <c r="AL495" s="3"/>
      <c r="AM495" s="3"/>
      <c r="AN495" s="3"/>
      <c r="AO495" s="3"/>
      <c r="AP495" s="3"/>
      <c r="AQ495" s="3"/>
      <c r="AR495" s="3"/>
    </row>
    <row r="496" spans="1:44" ht="16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S496" s="3"/>
      <c r="T496" s="3"/>
      <c r="U496" s="3"/>
      <c r="V496" s="3"/>
      <c r="W496" s="3"/>
      <c r="X496" s="3"/>
      <c r="Y496" s="3"/>
      <c r="Z496" s="3"/>
      <c r="AB496" s="3"/>
      <c r="AC496" s="3"/>
      <c r="AD496" s="3"/>
      <c r="AE496" s="3"/>
      <c r="AF496" s="3"/>
      <c r="AG496" s="3"/>
      <c r="AH496" s="3"/>
      <c r="AI496" s="3"/>
      <c r="AK496" s="3"/>
      <c r="AL496" s="3"/>
      <c r="AM496" s="3"/>
      <c r="AN496" s="3"/>
      <c r="AO496" s="3"/>
      <c r="AP496" s="3"/>
      <c r="AQ496" s="3"/>
      <c r="AR496" s="3"/>
    </row>
    <row r="497" spans="1:44" ht="16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S497" s="3"/>
      <c r="T497" s="3"/>
      <c r="U497" s="3"/>
      <c r="V497" s="3"/>
      <c r="W497" s="3"/>
      <c r="X497" s="3"/>
      <c r="Y497" s="3"/>
      <c r="Z497" s="3"/>
      <c r="AB497" s="3"/>
      <c r="AC497" s="3"/>
      <c r="AD497" s="3"/>
      <c r="AE497" s="3"/>
      <c r="AF497" s="3"/>
      <c r="AG497" s="3"/>
      <c r="AH497" s="3"/>
      <c r="AI497" s="3"/>
      <c r="AK497" s="3"/>
      <c r="AL497" s="3"/>
      <c r="AM497" s="3"/>
      <c r="AN497" s="3"/>
      <c r="AO497" s="3"/>
      <c r="AP497" s="3"/>
      <c r="AQ497" s="3"/>
      <c r="AR497" s="3"/>
    </row>
    <row r="498" spans="1:44" ht="16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S498" s="3"/>
      <c r="T498" s="3"/>
      <c r="U498" s="3"/>
      <c r="V498" s="3"/>
      <c r="W498" s="3"/>
      <c r="X498" s="3"/>
      <c r="Y498" s="3"/>
      <c r="Z498" s="3"/>
      <c r="AB498" s="3"/>
      <c r="AC498" s="3"/>
      <c r="AD498" s="3"/>
      <c r="AE498" s="3"/>
      <c r="AF498" s="3"/>
      <c r="AG498" s="3"/>
      <c r="AH498" s="3"/>
      <c r="AI498" s="3"/>
      <c r="AK498" s="3"/>
      <c r="AL498" s="3"/>
      <c r="AM498" s="3"/>
      <c r="AN498" s="3"/>
      <c r="AO498" s="3"/>
      <c r="AP498" s="3"/>
      <c r="AQ498" s="3"/>
      <c r="AR498" s="3"/>
    </row>
    <row r="499" spans="1:44" ht="16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S499" s="3"/>
      <c r="T499" s="3"/>
      <c r="U499" s="3"/>
      <c r="V499" s="3"/>
      <c r="W499" s="3"/>
      <c r="X499" s="3"/>
      <c r="Y499" s="3"/>
      <c r="Z499" s="3"/>
      <c r="AB499" s="3"/>
      <c r="AC499" s="3"/>
      <c r="AD499" s="3"/>
      <c r="AE499" s="3"/>
      <c r="AF499" s="3"/>
      <c r="AG499" s="3"/>
      <c r="AH499" s="3"/>
      <c r="AI499" s="3"/>
      <c r="AK499" s="3"/>
      <c r="AL499" s="3"/>
      <c r="AM499" s="3"/>
      <c r="AN499" s="3"/>
      <c r="AO499" s="3"/>
      <c r="AP499" s="3"/>
      <c r="AQ499" s="3"/>
      <c r="AR499" s="3"/>
    </row>
    <row r="500" spans="1:44" ht="16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S500" s="3"/>
      <c r="T500" s="3"/>
      <c r="U500" s="3"/>
      <c r="V500" s="3"/>
      <c r="W500" s="3"/>
      <c r="X500" s="3"/>
      <c r="Y500" s="3"/>
      <c r="Z500" s="3"/>
      <c r="AB500" s="3"/>
      <c r="AC500" s="3"/>
      <c r="AD500" s="3"/>
      <c r="AE500" s="3"/>
      <c r="AF500" s="3"/>
      <c r="AG500" s="3"/>
      <c r="AH500" s="3"/>
      <c r="AI500" s="3"/>
      <c r="AK500" s="3"/>
      <c r="AL500" s="3"/>
      <c r="AM500" s="3"/>
      <c r="AN500" s="3"/>
      <c r="AO500" s="3"/>
      <c r="AP500" s="3"/>
      <c r="AQ500" s="3"/>
      <c r="AR500" s="3"/>
    </row>
    <row r="501" spans="1:44" ht="16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S501" s="3"/>
      <c r="T501" s="3"/>
      <c r="U501" s="3"/>
      <c r="V501" s="3"/>
      <c r="W501" s="3"/>
      <c r="X501" s="3"/>
      <c r="Y501" s="3"/>
      <c r="Z501" s="3"/>
      <c r="AB501" s="3"/>
      <c r="AC501" s="3"/>
      <c r="AD501" s="3"/>
      <c r="AE501" s="3"/>
      <c r="AF501" s="3"/>
      <c r="AG501" s="3"/>
      <c r="AH501" s="3"/>
      <c r="AI501" s="3"/>
      <c r="AK501" s="3"/>
      <c r="AL501" s="3"/>
      <c r="AM501" s="3"/>
      <c r="AN501" s="3"/>
      <c r="AO501" s="3"/>
      <c r="AP501" s="3"/>
      <c r="AQ501" s="3"/>
      <c r="AR501" s="3"/>
    </row>
    <row r="502" spans="1:44" ht="16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S502" s="3"/>
      <c r="T502" s="3"/>
      <c r="U502" s="3"/>
      <c r="V502" s="3"/>
      <c r="W502" s="3"/>
      <c r="X502" s="3"/>
      <c r="Y502" s="3"/>
      <c r="Z502" s="3"/>
      <c r="AB502" s="3"/>
      <c r="AC502" s="3"/>
      <c r="AD502" s="3"/>
      <c r="AE502" s="3"/>
      <c r="AF502" s="3"/>
      <c r="AG502" s="3"/>
      <c r="AH502" s="3"/>
      <c r="AI502" s="3"/>
      <c r="AK502" s="3"/>
      <c r="AL502" s="3"/>
      <c r="AM502" s="3"/>
      <c r="AN502" s="3"/>
      <c r="AO502" s="3"/>
      <c r="AP502" s="3"/>
      <c r="AQ502" s="3"/>
      <c r="AR502" s="3"/>
    </row>
    <row r="503" spans="1:44" ht="16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S503" s="3"/>
      <c r="T503" s="3"/>
      <c r="U503" s="3"/>
      <c r="V503" s="3"/>
      <c r="W503" s="3"/>
      <c r="X503" s="3"/>
      <c r="Y503" s="3"/>
      <c r="Z503" s="3"/>
      <c r="AB503" s="3"/>
      <c r="AC503" s="3"/>
      <c r="AD503" s="3"/>
      <c r="AE503" s="3"/>
      <c r="AF503" s="3"/>
      <c r="AG503" s="3"/>
      <c r="AH503" s="3"/>
      <c r="AI503" s="3"/>
      <c r="AK503" s="3"/>
      <c r="AL503" s="3"/>
      <c r="AM503" s="3"/>
      <c r="AN503" s="3"/>
      <c r="AO503" s="3"/>
      <c r="AP503" s="3"/>
      <c r="AQ503" s="3"/>
      <c r="AR503" s="3"/>
    </row>
    <row r="504" spans="1:44" ht="16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S504" s="3"/>
      <c r="T504" s="3"/>
      <c r="U504" s="3"/>
      <c r="V504" s="3"/>
      <c r="W504" s="3"/>
      <c r="X504" s="3"/>
      <c r="Y504" s="3"/>
      <c r="Z504" s="3"/>
      <c r="AB504" s="3"/>
      <c r="AC504" s="3"/>
      <c r="AD504" s="3"/>
      <c r="AE504" s="3"/>
      <c r="AF504" s="3"/>
      <c r="AG504" s="3"/>
      <c r="AH504" s="3"/>
      <c r="AI504" s="3"/>
      <c r="AK504" s="3"/>
      <c r="AL504" s="3"/>
      <c r="AM504" s="3"/>
      <c r="AN504" s="3"/>
      <c r="AO504" s="3"/>
      <c r="AP504" s="3"/>
      <c r="AQ504" s="3"/>
      <c r="AR504" s="3"/>
    </row>
    <row r="505" spans="1:44" ht="16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S505" s="3"/>
      <c r="T505" s="3"/>
      <c r="U505" s="3"/>
      <c r="V505" s="3"/>
      <c r="W505" s="3"/>
      <c r="X505" s="3"/>
      <c r="Y505" s="3"/>
      <c r="Z505" s="3"/>
      <c r="AB505" s="3"/>
      <c r="AC505" s="3"/>
      <c r="AD505" s="3"/>
      <c r="AE505" s="3"/>
      <c r="AF505" s="3"/>
      <c r="AG505" s="3"/>
      <c r="AH505" s="3"/>
      <c r="AI505" s="3"/>
      <c r="AK505" s="3"/>
      <c r="AL505" s="3"/>
      <c r="AM505" s="3"/>
      <c r="AN505" s="3"/>
      <c r="AO505" s="3"/>
      <c r="AP505" s="3"/>
      <c r="AQ505" s="3"/>
      <c r="AR505" s="3"/>
    </row>
    <row r="506" spans="1:44" ht="16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S506" s="3"/>
      <c r="T506" s="3"/>
      <c r="U506" s="3"/>
      <c r="V506" s="3"/>
      <c r="W506" s="3"/>
      <c r="X506" s="3"/>
      <c r="Y506" s="3"/>
      <c r="Z506" s="3"/>
      <c r="AB506" s="3"/>
      <c r="AC506" s="3"/>
      <c r="AD506" s="3"/>
      <c r="AE506" s="3"/>
      <c r="AF506" s="3"/>
      <c r="AG506" s="3"/>
      <c r="AH506" s="3"/>
      <c r="AI506" s="3"/>
      <c r="AK506" s="3"/>
      <c r="AL506" s="3"/>
      <c r="AM506" s="3"/>
      <c r="AN506" s="3"/>
      <c r="AO506" s="3"/>
      <c r="AP506" s="3"/>
      <c r="AQ506" s="3"/>
      <c r="AR506" s="3"/>
    </row>
    <row r="507" spans="1:44" ht="16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S507" s="3"/>
      <c r="T507" s="3"/>
      <c r="U507" s="3"/>
      <c r="V507" s="3"/>
      <c r="W507" s="3"/>
      <c r="X507" s="3"/>
      <c r="Y507" s="3"/>
      <c r="Z507" s="3"/>
      <c r="AB507" s="3"/>
      <c r="AC507" s="3"/>
      <c r="AD507" s="3"/>
      <c r="AE507" s="3"/>
      <c r="AF507" s="3"/>
      <c r="AG507" s="3"/>
      <c r="AH507" s="3"/>
      <c r="AI507" s="3"/>
      <c r="AK507" s="3"/>
      <c r="AL507" s="3"/>
      <c r="AM507" s="3"/>
      <c r="AN507" s="3"/>
      <c r="AO507" s="3"/>
      <c r="AP507" s="3"/>
      <c r="AQ507" s="3"/>
      <c r="AR507" s="3"/>
    </row>
    <row r="508" spans="1:44" ht="16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S508" s="3"/>
      <c r="T508" s="3"/>
      <c r="U508" s="3"/>
      <c r="V508" s="3"/>
      <c r="W508" s="3"/>
      <c r="X508" s="3"/>
      <c r="Y508" s="3"/>
      <c r="Z508" s="3"/>
      <c r="AB508" s="3"/>
      <c r="AC508" s="3"/>
      <c r="AD508" s="3"/>
      <c r="AE508" s="3"/>
      <c r="AF508" s="3"/>
      <c r="AG508" s="3"/>
      <c r="AH508" s="3"/>
      <c r="AI508" s="3"/>
      <c r="AK508" s="3"/>
      <c r="AL508" s="3"/>
      <c r="AM508" s="3"/>
      <c r="AN508" s="3"/>
      <c r="AO508" s="3"/>
      <c r="AP508" s="3"/>
      <c r="AQ508" s="3"/>
      <c r="AR508" s="3"/>
    </row>
    <row r="509" spans="1:44" ht="16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S509" s="3"/>
      <c r="T509" s="3"/>
      <c r="U509" s="3"/>
      <c r="V509" s="3"/>
      <c r="W509" s="3"/>
      <c r="X509" s="3"/>
      <c r="Y509" s="3"/>
      <c r="Z509" s="3"/>
      <c r="AB509" s="3"/>
      <c r="AC509" s="3"/>
      <c r="AD509" s="3"/>
      <c r="AE509" s="3"/>
      <c r="AF509" s="3"/>
      <c r="AG509" s="3"/>
      <c r="AH509" s="3"/>
      <c r="AI509" s="3"/>
      <c r="AK509" s="3"/>
      <c r="AL509" s="3"/>
      <c r="AM509" s="3"/>
      <c r="AN509" s="3"/>
      <c r="AO509" s="3"/>
      <c r="AP509" s="3"/>
      <c r="AQ509" s="3"/>
      <c r="AR509" s="3"/>
    </row>
    <row r="510" spans="1:44" ht="16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S510" s="3"/>
      <c r="T510" s="3"/>
      <c r="U510" s="3"/>
      <c r="V510" s="3"/>
      <c r="W510" s="3"/>
      <c r="X510" s="3"/>
      <c r="Y510" s="3"/>
      <c r="Z510" s="3"/>
      <c r="AB510" s="3"/>
      <c r="AC510" s="3"/>
      <c r="AD510" s="3"/>
      <c r="AE510" s="3"/>
      <c r="AF510" s="3"/>
      <c r="AG510" s="3"/>
      <c r="AH510" s="3"/>
      <c r="AI510" s="3"/>
      <c r="AK510" s="3"/>
      <c r="AL510" s="3"/>
      <c r="AM510" s="3"/>
      <c r="AN510" s="3"/>
      <c r="AO510" s="3"/>
      <c r="AP510" s="3"/>
      <c r="AQ510" s="3"/>
      <c r="AR510" s="3"/>
    </row>
    <row r="511" spans="1:44" ht="16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S511" s="3"/>
      <c r="T511" s="3"/>
      <c r="U511" s="3"/>
      <c r="V511" s="3"/>
      <c r="W511" s="3"/>
      <c r="X511" s="3"/>
      <c r="Y511" s="3"/>
      <c r="Z511" s="3"/>
      <c r="AB511" s="3"/>
      <c r="AC511" s="3"/>
      <c r="AD511" s="3"/>
      <c r="AE511" s="3"/>
      <c r="AF511" s="3"/>
      <c r="AG511" s="3"/>
      <c r="AH511" s="3"/>
      <c r="AI511" s="3"/>
      <c r="AK511" s="3"/>
      <c r="AL511" s="3"/>
      <c r="AM511" s="3"/>
      <c r="AN511" s="3"/>
      <c r="AO511" s="3"/>
      <c r="AP511" s="3"/>
      <c r="AQ511" s="3"/>
      <c r="AR511" s="3"/>
    </row>
    <row r="512" spans="1:44" ht="16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S512" s="3"/>
      <c r="T512" s="3"/>
      <c r="U512" s="3"/>
      <c r="V512" s="3"/>
      <c r="W512" s="3"/>
      <c r="X512" s="3"/>
      <c r="Y512" s="3"/>
      <c r="Z512" s="3"/>
      <c r="AB512" s="3"/>
      <c r="AC512" s="3"/>
      <c r="AD512" s="3"/>
      <c r="AE512" s="3"/>
      <c r="AF512" s="3"/>
      <c r="AG512" s="3"/>
      <c r="AH512" s="3"/>
      <c r="AI512" s="3"/>
      <c r="AK512" s="3"/>
      <c r="AL512" s="3"/>
      <c r="AM512" s="3"/>
      <c r="AN512" s="3"/>
      <c r="AO512" s="3"/>
      <c r="AP512" s="3"/>
      <c r="AQ512" s="3"/>
      <c r="AR512" s="3"/>
    </row>
    <row r="513" spans="1:44" ht="16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S513" s="3"/>
      <c r="T513" s="3"/>
      <c r="U513" s="3"/>
      <c r="V513" s="3"/>
      <c r="W513" s="3"/>
      <c r="X513" s="3"/>
      <c r="Y513" s="3"/>
      <c r="Z513" s="3"/>
      <c r="AB513" s="3"/>
      <c r="AC513" s="3"/>
      <c r="AD513" s="3"/>
      <c r="AE513" s="3"/>
      <c r="AF513" s="3"/>
      <c r="AG513" s="3"/>
      <c r="AH513" s="3"/>
      <c r="AI513" s="3"/>
      <c r="AK513" s="3"/>
      <c r="AL513" s="3"/>
      <c r="AM513" s="3"/>
      <c r="AN513" s="3"/>
      <c r="AO513" s="3"/>
      <c r="AP513" s="3"/>
      <c r="AQ513" s="3"/>
      <c r="AR513" s="3"/>
    </row>
    <row r="514" spans="1:44" ht="16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S514" s="3"/>
      <c r="T514" s="3"/>
      <c r="U514" s="3"/>
      <c r="V514" s="3"/>
      <c r="W514" s="3"/>
      <c r="X514" s="3"/>
      <c r="Y514" s="3"/>
      <c r="Z514" s="3"/>
      <c r="AB514" s="3"/>
      <c r="AC514" s="3"/>
      <c r="AD514" s="3"/>
      <c r="AE514" s="3"/>
      <c r="AF514" s="3"/>
      <c r="AG514" s="3"/>
      <c r="AH514" s="3"/>
      <c r="AI514" s="3"/>
      <c r="AK514" s="3"/>
      <c r="AL514" s="3"/>
      <c r="AM514" s="3"/>
      <c r="AN514" s="3"/>
      <c r="AO514" s="3"/>
      <c r="AP514" s="3"/>
      <c r="AQ514" s="3"/>
      <c r="AR514" s="3"/>
    </row>
    <row r="515" spans="1:44" ht="16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S515" s="3"/>
      <c r="T515" s="3"/>
      <c r="U515" s="3"/>
      <c r="V515" s="3"/>
      <c r="W515" s="3"/>
      <c r="X515" s="3"/>
      <c r="Y515" s="3"/>
      <c r="Z515" s="3"/>
      <c r="AB515" s="3"/>
      <c r="AC515" s="3"/>
      <c r="AD515" s="3"/>
      <c r="AE515" s="3"/>
      <c r="AF515" s="3"/>
      <c r="AG515" s="3"/>
      <c r="AH515" s="3"/>
      <c r="AI515" s="3"/>
      <c r="AK515" s="3"/>
      <c r="AL515" s="3"/>
      <c r="AM515" s="3"/>
      <c r="AN515" s="3"/>
      <c r="AO515" s="3"/>
      <c r="AP515" s="3"/>
      <c r="AQ515" s="3"/>
      <c r="AR515" s="3"/>
    </row>
    <row r="516" spans="1:44" ht="16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S516" s="3"/>
      <c r="T516" s="3"/>
      <c r="U516" s="3"/>
      <c r="V516" s="3"/>
      <c r="W516" s="3"/>
      <c r="X516" s="3"/>
      <c r="Y516" s="3"/>
      <c r="Z516" s="3"/>
      <c r="AB516" s="3"/>
      <c r="AC516" s="3"/>
      <c r="AD516" s="3"/>
      <c r="AE516" s="3"/>
      <c r="AF516" s="3"/>
      <c r="AG516" s="3"/>
      <c r="AH516" s="3"/>
      <c r="AI516" s="3"/>
      <c r="AK516" s="3"/>
      <c r="AL516" s="3"/>
      <c r="AM516" s="3"/>
      <c r="AN516" s="3"/>
      <c r="AO516" s="3"/>
      <c r="AP516" s="3"/>
      <c r="AQ516" s="3"/>
      <c r="AR516" s="3"/>
    </row>
    <row r="517" spans="1:44" ht="16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S517" s="3"/>
      <c r="T517" s="3"/>
      <c r="U517" s="3"/>
      <c r="V517" s="3"/>
      <c r="W517" s="3"/>
      <c r="X517" s="3"/>
      <c r="Y517" s="3"/>
      <c r="Z517" s="3"/>
      <c r="AB517" s="3"/>
      <c r="AC517" s="3"/>
      <c r="AD517" s="3"/>
      <c r="AE517" s="3"/>
      <c r="AF517" s="3"/>
      <c r="AG517" s="3"/>
      <c r="AH517" s="3"/>
      <c r="AI517" s="3"/>
      <c r="AK517" s="3"/>
      <c r="AL517" s="3"/>
      <c r="AM517" s="3"/>
      <c r="AN517" s="3"/>
      <c r="AO517" s="3"/>
      <c r="AP517" s="3"/>
      <c r="AQ517" s="3"/>
      <c r="AR517" s="3"/>
    </row>
    <row r="518" spans="1:44" ht="16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S518" s="3"/>
      <c r="T518" s="3"/>
      <c r="U518" s="3"/>
      <c r="V518" s="3"/>
      <c r="W518" s="3"/>
      <c r="X518" s="3"/>
      <c r="Y518" s="3"/>
      <c r="Z518" s="3"/>
      <c r="AB518" s="3"/>
      <c r="AC518" s="3"/>
      <c r="AD518" s="3"/>
      <c r="AE518" s="3"/>
      <c r="AF518" s="3"/>
      <c r="AG518" s="3"/>
      <c r="AH518" s="3"/>
      <c r="AI518" s="3"/>
      <c r="AK518" s="3"/>
      <c r="AL518" s="3"/>
      <c r="AM518" s="3"/>
      <c r="AN518" s="3"/>
      <c r="AO518" s="3"/>
      <c r="AP518" s="3"/>
      <c r="AQ518" s="3"/>
      <c r="AR518" s="3"/>
    </row>
    <row r="519" spans="1:44" ht="16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S519" s="3"/>
      <c r="T519" s="3"/>
      <c r="U519" s="3"/>
      <c r="V519" s="3"/>
      <c r="W519" s="3"/>
      <c r="X519" s="3"/>
      <c r="Y519" s="3"/>
      <c r="Z519" s="3"/>
      <c r="AB519" s="3"/>
      <c r="AC519" s="3"/>
      <c r="AD519" s="3"/>
      <c r="AE519" s="3"/>
      <c r="AF519" s="3"/>
      <c r="AG519" s="3"/>
      <c r="AH519" s="3"/>
      <c r="AI519" s="3"/>
      <c r="AK519" s="3"/>
      <c r="AL519" s="3"/>
      <c r="AM519" s="3"/>
      <c r="AN519" s="3"/>
      <c r="AO519" s="3"/>
      <c r="AP519" s="3"/>
      <c r="AQ519" s="3"/>
      <c r="AR519" s="3"/>
    </row>
    <row r="520" spans="1:44" ht="16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S520" s="3"/>
      <c r="T520" s="3"/>
      <c r="U520" s="3"/>
      <c r="V520" s="3"/>
      <c r="W520" s="3"/>
      <c r="X520" s="3"/>
      <c r="Y520" s="3"/>
      <c r="Z520" s="3"/>
      <c r="AB520" s="3"/>
      <c r="AC520" s="3"/>
      <c r="AD520" s="3"/>
      <c r="AE520" s="3"/>
      <c r="AF520" s="3"/>
      <c r="AG520" s="3"/>
      <c r="AH520" s="3"/>
      <c r="AI520" s="3"/>
      <c r="AK520" s="3"/>
      <c r="AL520" s="3"/>
      <c r="AM520" s="3"/>
      <c r="AN520" s="3"/>
      <c r="AO520" s="3"/>
      <c r="AP520" s="3"/>
      <c r="AQ520" s="3"/>
      <c r="AR520" s="3"/>
    </row>
    <row r="521" spans="1:44" ht="16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S521" s="3"/>
      <c r="T521" s="3"/>
      <c r="U521" s="3"/>
      <c r="V521" s="3"/>
      <c r="W521" s="3"/>
      <c r="X521" s="3"/>
      <c r="Y521" s="3"/>
      <c r="Z521" s="3"/>
      <c r="AB521" s="3"/>
      <c r="AC521" s="3"/>
      <c r="AD521" s="3"/>
      <c r="AE521" s="3"/>
      <c r="AF521" s="3"/>
      <c r="AG521" s="3"/>
      <c r="AH521" s="3"/>
      <c r="AI521" s="3"/>
      <c r="AK521" s="3"/>
      <c r="AL521" s="3"/>
      <c r="AM521" s="3"/>
      <c r="AN521" s="3"/>
      <c r="AO521" s="3"/>
      <c r="AP521" s="3"/>
      <c r="AQ521" s="3"/>
      <c r="AR521" s="3"/>
    </row>
    <row r="522" spans="1:44" ht="16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S522" s="3"/>
      <c r="T522" s="3"/>
      <c r="U522" s="3"/>
      <c r="V522" s="3"/>
      <c r="W522" s="3"/>
      <c r="X522" s="3"/>
      <c r="Y522" s="3"/>
      <c r="Z522" s="3"/>
      <c r="AB522" s="3"/>
      <c r="AC522" s="3"/>
      <c r="AD522" s="3"/>
      <c r="AE522" s="3"/>
      <c r="AF522" s="3"/>
      <c r="AG522" s="3"/>
      <c r="AH522" s="3"/>
      <c r="AI522" s="3"/>
      <c r="AK522" s="3"/>
      <c r="AL522" s="3"/>
      <c r="AM522" s="3"/>
      <c r="AN522" s="3"/>
      <c r="AO522" s="3"/>
      <c r="AP522" s="3"/>
      <c r="AQ522" s="3"/>
      <c r="AR522" s="3"/>
    </row>
    <row r="523" spans="1:44" ht="16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S523" s="3"/>
      <c r="T523" s="3"/>
      <c r="U523" s="3"/>
      <c r="V523" s="3"/>
      <c r="W523" s="3"/>
      <c r="X523" s="3"/>
      <c r="Y523" s="3"/>
      <c r="Z523" s="3"/>
      <c r="AB523" s="3"/>
      <c r="AC523" s="3"/>
      <c r="AD523" s="3"/>
      <c r="AE523" s="3"/>
      <c r="AF523" s="3"/>
      <c r="AG523" s="3"/>
      <c r="AH523" s="3"/>
      <c r="AI523" s="3"/>
      <c r="AK523" s="3"/>
      <c r="AL523" s="3"/>
      <c r="AM523" s="3"/>
      <c r="AN523" s="3"/>
      <c r="AO523" s="3"/>
      <c r="AP523" s="3"/>
      <c r="AQ523" s="3"/>
      <c r="AR523" s="3"/>
    </row>
    <row r="524" spans="1:44" ht="16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S524" s="3"/>
      <c r="T524" s="3"/>
      <c r="U524" s="3"/>
      <c r="V524" s="3"/>
      <c r="W524" s="3"/>
      <c r="X524" s="3"/>
      <c r="Y524" s="3"/>
      <c r="Z524" s="3"/>
      <c r="AB524" s="3"/>
      <c r="AC524" s="3"/>
      <c r="AD524" s="3"/>
      <c r="AE524" s="3"/>
      <c r="AF524" s="3"/>
      <c r="AG524" s="3"/>
      <c r="AH524" s="3"/>
      <c r="AI524" s="3"/>
      <c r="AK524" s="3"/>
      <c r="AL524" s="3"/>
      <c r="AM524" s="3"/>
      <c r="AN524" s="3"/>
      <c r="AO524" s="3"/>
      <c r="AP524" s="3"/>
      <c r="AQ524" s="3"/>
      <c r="AR524" s="3"/>
    </row>
    <row r="525" spans="1:44" ht="16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S525" s="3"/>
      <c r="T525" s="3"/>
      <c r="U525" s="3"/>
      <c r="V525" s="3"/>
      <c r="W525" s="3"/>
      <c r="X525" s="3"/>
      <c r="Y525" s="3"/>
      <c r="Z525" s="3"/>
      <c r="AB525" s="3"/>
      <c r="AC525" s="3"/>
      <c r="AD525" s="3"/>
      <c r="AE525" s="3"/>
      <c r="AF525" s="3"/>
      <c r="AG525" s="3"/>
      <c r="AH525" s="3"/>
      <c r="AI525" s="3"/>
      <c r="AK525" s="3"/>
      <c r="AL525" s="3"/>
      <c r="AM525" s="3"/>
      <c r="AN525" s="3"/>
      <c r="AO525" s="3"/>
      <c r="AP525" s="3"/>
      <c r="AQ525" s="3"/>
      <c r="AR525" s="3"/>
    </row>
    <row r="526" spans="1:44" ht="16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S526" s="3"/>
      <c r="T526" s="3"/>
      <c r="U526" s="3"/>
      <c r="V526" s="3"/>
      <c r="W526" s="3"/>
      <c r="X526" s="3"/>
      <c r="Y526" s="3"/>
      <c r="Z526" s="3"/>
      <c r="AB526" s="3"/>
      <c r="AC526" s="3"/>
      <c r="AD526" s="3"/>
      <c r="AE526" s="3"/>
      <c r="AF526" s="3"/>
      <c r="AG526" s="3"/>
      <c r="AH526" s="3"/>
      <c r="AI526" s="3"/>
      <c r="AK526" s="3"/>
      <c r="AL526" s="3"/>
      <c r="AM526" s="3"/>
      <c r="AN526" s="3"/>
      <c r="AO526" s="3"/>
      <c r="AP526" s="3"/>
      <c r="AQ526" s="3"/>
      <c r="AR526" s="3"/>
    </row>
    <row r="527" spans="1:44" ht="16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S527" s="3"/>
      <c r="T527" s="3"/>
      <c r="U527" s="3"/>
      <c r="V527" s="3"/>
      <c r="W527" s="3"/>
      <c r="X527" s="3"/>
      <c r="Y527" s="3"/>
      <c r="Z527" s="3"/>
      <c r="AB527" s="3"/>
      <c r="AC527" s="3"/>
      <c r="AD527" s="3"/>
      <c r="AE527" s="3"/>
      <c r="AF527" s="3"/>
      <c r="AG527" s="3"/>
      <c r="AH527" s="3"/>
      <c r="AI527" s="3"/>
      <c r="AK527" s="3"/>
      <c r="AL527" s="3"/>
      <c r="AM527" s="3"/>
      <c r="AN527" s="3"/>
      <c r="AO527" s="3"/>
      <c r="AP527" s="3"/>
      <c r="AQ527" s="3"/>
      <c r="AR527" s="3"/>
    </row>
    <row r="528" spans="1:44" ht="16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S528" s="3"/>
      <c r="T528" s="3"/>
      <c r="U528" s="3"/>
      <c r="V528" s="3"/>
      <c r="W528" s="3"/>
      <c r="X528" s="3"/>
      <c r="Y528" s="3"/>
      <c r="Z528" s="3"/>
      <c r="AB528" s="3"/>
      <c r="AC528" s="3"/>
      <c r="AD528" s="3"/>
      <c r="AE528" s="3"/>
      <c r="AF528" s="3"/>
      <c r="AG528" s="3"/>
      <c r="AH528" s="3"/>
      <c r="AI528" s="3"/>
      <c r="AK528" s="3"/>
      <c r="AL528" s="3"/>
      <c r="AM528" s="3"/>
      <c r="AN528" s="3"/>
      <c r="AO528" s="3"/>
      <c r="AP528" s="3"/>
      <c r="AQ528" s="3"/>
      <c r="AR528" s="3"/>
    </row>
    <row r="529" spans="1:44" ht="16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S529" s="3"/>
      <c r="T529" s="3"/>
      <c r="U529" s="3"/>
      <c r="V529" s="3"/>
      <c r="W529" s="3"/>
      <c r="X529" s="3"/>
      <c r="Y529" s="3"/>
      <c r="Z529" s="3"/>
      <c r="AB529" s="3"/>
      <c r="AC529" s="3"/>
      <c r="AD529" s="3"/>
      <c r="AE529" s="3"/>
      <c r="AF529" s="3"/>
      <c r="AG529" s="3"/>
      <c r="AH529" s="3"/>
      <c r="AI529" s="3"/>
      <c r="AK529" s="3"/>
      <c r="AL529" s="3"/>
      <c r="AM529" s="3"/>
      <c r="AN529" s="3"/>
      <c r="AO529" s="3"/>
      <c r="AP529" s="3"/>
      <c r="AQ529" s="3"/>
      <c r="AR529" s="3"/>
    </row>
    <row r="530" spans="1:44" ht="16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S530" s="3"/>
      <c r="T530" s="3"/>
      <c r="U530" s="3"/>
      <c r="V530" s="3"/>
      <c r="W530" s="3"/>
      <c r="X530" s="3"/>
      <c r="Y530" s="3"/>
      <c r="Z530" s="3"/>
      <c r="AB530" s="3"/>
      <c r="AC530" s="3"/>
      <c r="AD530" s="3"/>
      <c r="AE530" s="3"/>
      <c r="AF530" s="3"/>
      <c r="AG530" s="3"/>
      <c r="AH530" s="3"/>
      <c r="AI530" s="3"/>
      <c r="AK530" s="3"/>
      <c r="AL530" s="3"/>
      <c r="AM530" s="3"/>
      <c r="AN530" s="3"/>
      <c r="AO530" s="3"/>
      <c r="AP530" s="3"/>
      <c r="AQ530" s="3"/>
      <c r="AR530" s="3"/>
    </row>
    <row r="531" spans="1:44" ht="16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S531" s="3"/>
      <c r="T531" s="3"/>
      <c r="U531" s="3"/>
      <c r="V531" s="3"/>
      <c r="W531" s="3"/>
      <c r="X531" s="3"/>
      <c r="Y531" s="3"/>
      <c r="Z531" s="3"/>
      <c r="AB531" s="3"/>
      <c r="AC531" s="3"/>
      <c r="AD531" s="3"/>
      <c r="AE531" s="3"/>
      <c r="AF531" s="3"/>
      <c r="AG531" s="3"/>
      <c r="AH531" s="3"/>
      <c r="AI531" s="3"/>
      <c r="AK531" s="3"/>
      <c r="AL531" s="3"/>
      <c r="AM531" s="3"/>
      <c r="AN531" s="3"/>
      <c r="AO531" s="3"/>
      <c r="AP531" s="3"/>
      <c r="AQ531" s="3"/>
      <c r="AR531" s="3"/>
    </row>
    <row r="532" spans="1:44" ht="16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S532" s="3"/>
      <c r="T532" s="3"/>
      <c r="U532" s="3"/>
      <c r="V532" s="3"/>
      <c r="W532" s="3"/>
      <c r="X532" s="3"/>
      <c r="Y532" s="3"/>
      <c r="Z532" s="3"/>
      <c r="AB532" s="3"/>
      <c r="AC532" s="3"/>
      <c r="AD532" s="3"/>
      <c r="AE532" s="3"/>
      <c r="AF532" s="3"/>
      <c r="AG532" s="3"/>
      <c r="AH532" s="3"/>
      <c r="AI532" s="3"/>
      <c r="AK532" s="3"/>
      <c r="AL532" s="3"/>
      <c r="AM532" s="3"/>
      <c r="AN532" s="3"/>
      <c r="AO532" s="3"/>
      <c r="AP532" s="3"/>
      <c r="AQ532" s="3"/>
      <c r="AR532" s="3"/>
    </row>
    <row r="533" spans="1:44" ht="16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S533" s="3"/>
      <c r="T533" s="3"/>
      <c r="U533" s="3"/>
      <c r="V533" s="3"/>
      <c r="W533" s="3"/>
      <c r="X533" s="3"/>
      <c r="Y533" s="3"/>
      <c r="Z533" s="3"/>
      <c r="AB533" s="3"/>
      <c r="AC533" s="3"/>
      <c r="AD533" s="3"/>
      <c r="AE533" s="3"/>
      <c r="AF533" s="3"/>
      <c r="AG533" s="3"/>
      <c r="AH533" s="3"/>
      <c r="AI533" s="3"/>
      <c r="AK533" s="3"/>
      <c r="AL533" s="3"/>
      <c r="AM533" s="3"/>
      <c r="AN533" s="3"/>
      <c r="AO533" s="3"/>
      <c r="AP533" s="3"/>
      <c r="AQ533" s="3"/>
      <c r="AR533" s="3"/>
    </row>
    <row r="534" spans="1:44" ht="16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S534" s="3"/>
      <c r="T534" s="3"/>
      <c r="U534" s="3"/>
      <c r="V534" s="3"/>
      <c r="W534" s="3"/>
      <c r="X534" s="3"/>
      <c r="Y534" s="3"/>
      <c r="Z534" s="3"/>
      <c r="AB534" s="3"/>
      <c r="AC534" s="3"/>
      <c r="AD534" s="3"/>
      <c r="AE534" s="3"/>
      <c r="AF534" s="3"/>
      <c r="AG534" s="3"/>
      <c r="AH534" s="3"/>
      <c r="AI534" s="3"/>
      <c r="AK534" s="3"/>
      <c r="AL534" s="3"/>
      <c r="AM534" s="3"/>
      <c r="AN534" s="3"/>
      <c r="AO534" s="3"/>
      <c r="AP534" s="3"/>
      <c r="AQ534" s="3"/>
      <c r="AR534" s="3"/>
    </row>
    <row r="535" spans="1:44" ht="16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S535" s="3"/>
      <c r="T535" s="3"/>
      <c r="U535" s="3"/>
      <c r="V535" s="3"/>
      <c r="W535" s="3"/>
      <c r="X535" s="3"/>
      <c r="Y535" s="3"/>
      <c r="Z535" s="3"/>
      <c r="AB535" s="3"/>
      <c r="AC535" s="3"/>
      <c r="AD535" s="3"/>
      <c r="AE535" s="3"/>
      <c r="AF535" s="3"/>
      <c r="AG535" s="3"/>
      <c r="AH535" s="3"/>
      <c r="AI535" s="3"/>
      <c r="AK535" s="3"/>
      <c r="AL535" s="3"/>
      <c r="AM535" s="3"/>
      <c r="AN535" s="3"/>
      <c r="AO535" s="3"/>
      <c r="AP535" s="3"/>
      <c r="AQ535" s="3"/>
      <c r="AR535" s="3"/>
    </row>
    <row r="536" spans="1:44" ht="16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S536" s="3"/>
      <c r="T536" s="3"/>
      <c r="U536" s="3"/>
      <c r="V536" s="3"/>
      <c r="W536" s="3"/>
      <c r="X536" s="3"/>
      <c r="Y536" s="3"/>
      <c r="Z536" s="3"/>
      <c r="AB536" s="3"/>
      <c r="AC536" s="3"/>
      <c r="AD536" s="3"/>
      <c r="AE536" s="3"/>
      <c r="AF536" s="3"/>
      <c r="AG536" s="3"/>
      <c r="AH536" s="3"/>
      <c r="AI536" s="3"/>
      <c r="AK536" s="3"/>
      <c r="AL536" s="3"/>
      <c r="AM536" s="3"/>
      <c r="AN536" s="3"/>
      <c r="AO536" s="3"/>
      <c r="AP536" s="3"/>
      <c r="AQ536" s="3"/>
      <c r="AR536" s="3"/>
    </row>
    <row r="537" spans="1:44" ht="16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S537" s="3"/>
      <c r="T537" s="3"/>
      <c r="U537" s="3"/>
      <c r="V537" s="3"/>
      <c r="W537" s="3"/>
      <c r="X537" s="3"/>
      <c r="Y537" s="3"/>
      <c r="Z537" s="3"/>
      <c r="AB537" s="3"/>
      <c r="AC537" s="3"/>
      <c r="AD537" s="3"/>
      <c r="AE537" s="3"/>
      <c r="AF537" s="3"/>
      <c r="AG537" s="3"/>
      <c r="AH537" s="3"/>
      <c r="AI537" s="3"/>
      <c r="AK537" s="3"/>
      <c r="AL537" s="3"/>
      <c r="AM537" s="3"/>
      <c r="AN537" s="3"/>
      <c r="AO537" s="3"/>
      <c r="AP537" s="3"/>
      <c r="AQ537" s="3"/>
      <c r="AR537" s="3"/>
    </row>
    <row r="538" spans="1:44" ht="16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S538" s="3"/>
      <c r="T538" s="3"/>
      <c r="U538" s="3"/>
      <c r="V538" s="3"/>
      <c r="W538" s="3"/>
      <c r="X538" s="3"/>
      <c r="Y538" s="3"/>
      <c r="Z538" s="3"/>
      <c r="AB538" s="3"/>
      <c r="AC538" s="3"/>
      <c r="AD538" s="3"/>
      <c r="AE538" s="3"/>
      <c r="AF538" s="3"/>
      <c r="AG538" s="3"/>
      <c r="AH538" s="3"/>
      <c r="AI538" s="3"/>
      <c r="AK538" s="3"/>
      <c r="AL538" s="3"/>
      <c r="AM538" s="3"/>
      <c r="AN538" s="3"/>
      <c r="AO538" s="3"/>
      <c r="AP538" s="3"/>
      <c r="AQ538" s="3"/>
      <c r="AR538" s="3"/>
    </row>
    <row r="539" spans="1:44" ht="16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S539" s="3"/>
      <c r="T539" s="3"/>
      <c r="U539" s="3"/>
      <c r="V539" s="3"/>
      <c r="W539" s="3"/>
      <c r="X539" s="3"/>
      <c r="Y539" s="3"/>
      <c r="Z539" s="3"/>
      <c r="AB539" s="3"/>
      <c r="AC539" s="3"/>
      <c r="AD539" s="3"/>
      <c r="AE539" s="3"/>
      <c r="AF539" s="3"/>
      <c r="AG539" s="3"/>
      <c r="AH539" s="3"/>
      <c r="AI539" s="3"/>
      <c r="AK539" s="3"/>
      <c r="AL539" s="3"/>
      <c r="AM539" s="3"/>
      <c r="AN539" s="3"/>
      <c r="AO539" s="3"/>
      <c r="AP539" s="3"/>
      <c r="AQ539" s="3"/>
      <c r="AR539" s="3"/>
    </row>
    <row r="540" spans="1:44" ht="16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S540" s="3"/>
      <c r="T540" s="3"/>
      <c r="U540" s="3"/>
      <c r="V540" s="3"/>
      <c r="W540" s="3"/>
      <c r="X540" s="3"/>
      <c r="Y540" s="3"/>
      <c r="Z540" s="3"/>
      <c r="AB540" s="3"/>
      <c r="AC540" s="3"/>
      <c r="AD540" s="3"/>
      <c r="AE540" s="3"/>
      <c r="AF540" s="3"/>
      <c r="AG540" s="3"/>
      <c r="AH540" s="3"/>
      <c r="AI540" s="3"/>
      <c r="AK540" s="3"/>
      <c r="AL540" s="3"/>
      <c r="AM540" s="3"/>
      <c r="AN540" s="3"/>
      <c r="AO540" s="3"/>
      <c r="AP540" s="3"/>
      <c r="AQ540" s="3"/>
      <c r="AR540" s="3"/>
    </row>
    <row r="541" spans="1:44" ht="16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S541" s="3"/>
      <c r="T541" s="3"/>
      <c r="U541" s="3"/>
      <c r="V541" s="3"/>
      <c r="W541" s="3"/>
      <c r="X541" s="3"/>
      <c r="Y541" s="3"/>
      <c r="Z541" s="3"/>
      <c r="AB541" s="3"/>
      <c r="AC541" s="3"/>
      <c r="AD541" s="3"/>
      <c r="AE541" s="3"/>
      <c r="AF541" s="3"/>
      <c r="AG541" s="3"/>
      <c r="AH541" s="3"/>
      <c r="AI541" s="3"/>
      <c r="AK541" s="3"/>
      <c r="AL541" s="3"/>
      <c r="AM541" s="3"/>
      <c r="AN541" s="3"/>
      <c r="AO541" s="3"/>
      <c r="AP541" s="3"/>
      <c r="AQ541" s="3"/>
      <c r="AR541" s="3"/>
    </row>
    <row r="542" spans="1:44" ht="16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S542" s="3"/>
      <c r="T542" s="3"/>
      <c r="U542" s="3"/>
      <c r="V542" s="3"/>
      <c r="W542" s="3"/>
      <c r="X542" s="3"/>
      <c r="Y542" s="3"/>
      <c r="Z542" s="3"/>
      <c r="AB542" s="3"/>
      <c r="AC542" s="3"/>
      <c r="AD542" s="3"/>
      <c r="AE542" s="3"/>
      <c r="AF542" s="3"/>
      <c r="AG542" s="3"/>
      <c r="AH542" s="3"/>
      <c r="AI542" s="3"/>
      <c r="AK542" s="3"/>
      <c r="AL542" s="3"/>
      <c r="AM542" s="3"/>
      <c r="AN542" s="3"/>
      <c r="AO542" s="3"/>
      <c r="AP542" s="3"/>
      <c r="AQ542" s="3"/>
      <c r="AR542" s="3"/>
    </row>
    <row r="543" spans="1:44" ht="16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S543" s="3"/>
      <c r="T543" s="3"/>
      <c r="U543" s="3"/>
      <c r="V543" s="3"/>
      <c r="W543" s="3"/>
      <c r="X543" s="3"/>
      <c r="Y543" s="3"/>
      <c r="Z543" s="3"/>
      <c r="AB543" s="3"/>
      <c r="AC543" s="3"/>
      <c r="AD543" s="3"/>
      <c r="AE543" s="3"/>
      <c r="AF543" s="3"/>
      <c r="AG543" s="3"/>
      <c r="AH543" s="3"/>
      <c r="AI543" s="3"/>
      <c r="AK543" s="3"/>
      <c r="AL543" s="3"/>
      <c r="AM543" s="3"/>
      <c r="AN543" s="3"/>
      <c r="AO543" s="3"/>
      <c r="AP543" s="3"/>
      <c r="AQ543" s="3"/>
      <c r="AR543" s="3"/>
    </row>
    <row r="544" spans="1:44" ht="16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S544" s="3"/>
      <c r="T544" s="3"/>
      <c r="U544" s="3"/>
      <c r="V544" s="3"/>
      <c r="W544" s="3"/>
      <c r="X544" s="3"/>
      <c r="Y544" s="3"/>
      <c r="Z544" s="3"/>
      <c r="AB544" s="3"/>
      <c r="AC544" s="3"/>
      <c r="AD544" s="3"/>
      <c r="AE544" s="3"/>
      <c r="AF544" s="3"/>
      <c r="AG544" s="3"/>
      <c r="AH544" s="3"/>
      <c r="AI544" s="3"/>
      <c r="AK544" s="3"/>
      <c r="AL544" s="3"/>
      <c r="AM544" s="3"/>
      <c r="AN544" s="3"/>
      <c r="AO544" s="3"/>
      <c r="AP544" s="3"/>
      <c r="AQ544" s="3"/>
      <c r="AR544" s="3"/>
    </row>
    <row r="545" spans="1:44" ht="16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S545" s="3"/>
      <c r="T545" s="3"/>
      <c r="U545" s="3"/>
      <c r="V545" s="3"/>
      <c r="W545" s="3"/>
      <c r="X545" s="3"/>
      <c r="Y545" s="3"/>
      <c r="Z545" s="3"/>
      <c r="AB545" s="3"/>
      <c r="AC545" s="3"/>
      <c r="AD545" s="3"/>
      <c r="AE545" s="3"/>
      <c r="AF545" s="3"/>
      <c r="AG545" s="3"/>
      <c r="AH545" s="3"/>
      <c r="AI545" s="3"/>
      <c r="AK545" s="3"/>
      <c r="AL545" s="3"/>
      <c r="AM545" s="3"/>
      <c r="AN545" s="3"/>
      <c r="AO545" s="3"/>
      <c r="AP545" s="3"/>
      <c r="AQ545" s="3"/>
      <c r="AR545" s="3"/>
    </row>
    <row r="546" spans="1:44" ht="16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S546" s="3"/>
      <c r="T546" s="3"/>
      <c r="U546" s="3"/>
      <c r="V546" s="3"/>
      <c r="W546" s="3"/>
      <c r="X546" s="3"/>
      <c r="Y546" s="3"/>
      <c r="Z546" s="3"/>
      <c r="AB546" s="3"/>
      <c r="AC546" s="3"/>
      <c r="AD546" s="3"/>
      <c r="AE546" s="3"/>
      <c r="AF546" s="3"/>
      <c r="AG546" s="3"/>
      <c r="AH546" s="3"/>
      <c r="AI546" s="3"/>
      <c r="AK546" s="3"/>
      <c r="AL546" s="3"/>
      <c r="AM546" s="3"/>
      <c r="AN546" s="3"/>
      <c r="AO546" s="3"/>
      <c r="AP546" s="3"/>
      <c r="AQ546" s="3"/>
      <c r="AR546" s="3"/>
    </row>
    <row r="547" spans="1:44" ht="16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S547" s="3"/>
      <c r="T547" s="3"/>
      <c r="U547" s="3"/>
      <c r="V547" s="3"/>
      <c r="W547" s="3"/>
      <c r="X547" s="3"/>
      <c r="Y547" s="3"/>
      <c r="Z547" s="3"/>
      <c r="AB547" s="3"/>
      <c r="AC547" s="3"/>
      <c r="AD547" s="3"/>
      <c r="AE547" s="3"/>
      <c r="AF547" s="3"/>
      <c r="AG547" s="3"/>
      <c r="AH547" s="3"/>
      <c r="AI547" s="3"/>
      <c r="AK547" s="3"/>
      <c r="AL547" s="3"/>
      <c r="AM547" s="3"/>
      <c r="AN547" s="3"/>
      <c r="AO547" s="3"/>
      <c r="AP547" s="3"/>
      <c r="AQ547" s="3"/>
      <c r="AR547" s="3"/>
    </row>
    <row r="548" spans="1:44" ht="16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S548" s="3"/>
      <c r="T548" s="3"/>
      <c r="U548" s="3"/>
      <c r="V548" s="3"/>
      <c r="W548" s="3"/>
      <c r="X548" s="3"/>
      <c r="Y548" s="3"/>
      <c r="Z548" s="3"/>
      <c r="AB548" s="3"/>
      <c r="AC548" s="3"/>
      <c r="AD548" s="3"/>
      <c r="AE548" s="3"/>
      <c r="AF548" s="3"/>
      <c r="AG548" s="3"/>
      <c r="AH548" s="3"/>
      <c r="AI548" s="3"/>
      <c r="AK548" s="3"/>
      <c r="AL548" s="3"/>
      <c r="AM548" s="3"/>
      <c r="AN548" s="3"/>
      <c r="AO548" s="3"/>
      <c r="AP548" s="3"/>
      <c r="AQ548" s="3"/>
      <c r="AR548" s="3"/>
    </row>
    <row r="549" spans="1:44" ht="16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S549" s="3"/>
      <c r="T549" s="3"/>
      <c r="U549" s="3"/>
      <c r="V549" s="3"/>
      <c r="W549" s="3"/>
      <c r="X549" s="3"/>
      <c r="Y549" s="3"/>
      <c r="Z549" s="3"/>
      <c r="AB549" s="3"/>
      <c r="AC549" s="3"/>
      <c r="AD549" s="3"/>
      <c r="AE549" s="3"/>
      <c r="AF549" s="3"/>
      <c r="AG549" s="3"/>
      <c r="AH549" s="3"/>
      <c r="AI549" s="3"/>
      <c r="AK549" s="3"/>
      <c r="AL549" s="3"/>
      <c r="AM549" s="3"/>
      <c r="AN549" s="3"/>
      <c r="AO549" s="3"/>
      <c r="AP549" s="3"/>
      <c r="AQ549" s="3"/>
      <c r="AR549" s="3"/>
    </row>
    <row r="550" spans="1:44" ht="16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S550" s="3"/>
      <c r="T550" s="3"/>
      <c r="U550" s="3"/>
      <c r="V550" s="3"/>
      <c r="W550" s="3"/>
      <c r="X550" s="3"/>
      <c r="Y550" s="3"/>
      <c r="Z550" s="3"/>
      <c r="AB550" s="3"/>
      <c r="AC550" s="3"/>
      <c r="AD550" s="3"/>
      <c r="AE550" s="3"/>
      <c r="AF550" s="3"/>
      <c r="AG550" s="3"/>
      <c r="AH550" s="3"/>
      <c r="AI550" s="3"/>
      <c r="AK550" s="3"/>
      <c r="AL550" s="3"/>
      <c r="AM550" s="3"/>
      <c r="AN550" s="3"/>
      <c r="AO550" s="3"/>
      <c r="AP550" s="3"/>
      <c r="AQ550" s="3"/>
      <c r="AR550" s="3"/>
    </row>
    <row r="551" spans="1:44" ht="16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S551" s="3"/>
      <c r="T551" s="3"/>
      <c r="U551" s="3"/>
      <c r="V551" s="3"/>
      <c r="W551" s="3"/>
      <c r="X551" s="3"/>
      <c r="Y551" s="3"/>
      <c r="Z551" s="3"/>
      <c r="AB551" s="3"/>
      <c r="AC551" s="3"/>
      <c r="AD551" s="3"/>
      <c r="AE551" s="3"/>
      <c r="AF551" s="3"/>
      <c r="AG551" s="3"/>
      <c r="AH551" s="3"/>
      <c r="AI551" s="3"/>
      <c r="AK551" s="3"/>
      <c r="AL551" s="3"/>
      <c r="AM551" s="3"/>
      <c r="AN551" s="3"/>
      <c r="AO551" s="3"/>
      <c r="AP551" s="3"/>
      <c r="AQ551" s="3"/>
      <c r="AR551" s="3"/>
    </row>
    <row r="552" spans="1:44" ht="16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S552" s="3"/>
      <c r="T552" s="3"/>
      <c r="U552" s="3"/>
      <c r="V552" s="3"/>
      <c r="W552" s="3"/>
      <c r="X552" s="3"/>
      <c r="Y552" s="3"/>
      <c r="Z552" s="3"/>
      <c r="AB552" s="3"/>
      <c r="AC552" s="3"/>
      <c r="AD552" s="3"/>
      <c r="AE552" s="3"/>
      <c r="AF552" s="3"/>
      <c r="AG552" s="3"/>
      <c r="AH552" s="3"/>
      <c r="AI552" s="3"/>
      <c r="AK552" s="3"/>
      <c r="AL552" s="3"/>
      <c r="AM552" s="3"/>
      <c r="AN552" s="3"/>
      <c r="AO552" s="3"/>
      <c r="AP552" s="3"/>
      <c r="AQ552" s="3"/>
      <c r="AR552" s="3"/>
    </row>
    <row r="553" spans="1:44" ht="16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S553" s="3"/>
      <c r="T553" s="3"/>
      <c r="U553" s="3"/>
      <c r="V553" s="3"/>
      <c r="W553" s="3"/>
      <c r="X553" s="3"/>
      <c r="Y553" s="3"/>
      <c r="Z553" s="3"/>
      <c r="AB553" s="3"/>
      <c r="AC553" s="3"/>
      <c r="AD553" s="3"/>
      <c r="AE553" s="3"/>
      <c r="AF553" s="3"/>
      <c r="AG553" s="3"/>
      <c r="AH553" s="3"/>
      <c r="AI553" s="3"/>
      <c r="AK553" s="3"/>
      <c r="AL553" s="3"/>
      <c r="AM553" s="3"/>
      <c r="AN553" s="3"/>
      <c r="AO553" s="3"/>
      <c r="AP553" s="3"/>
      <c r="AQ553" s="3"/>
      <c r="AR553" s="3"/>
    </row>
    <row r="554" spans="1:44" ht="16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S554" s="3"/>
      <c r="T554" s="3"/>
      <c r="U554" s="3"/>
      <c r="V554" s="3"/>
      <c r="W554" s="3"/>
      <c r="X554" s="3"/>
      <c r="Y554" s="3"/>
      <c r="Z554" s="3"/>
      <c r="AB554" s="3"/>
      <c r="AC554" s="3"/>
      <c r="AD554" s="3"/>
      <c r="AE554" s="3"/>
      <c r="AF554" s="3"/>
      <c r="AG554" s="3"/>
      <c r="AH554" s="3"/>
      <c r="AI554" s="3"/>
      <c r="AK554" s="3"/>
      <c r="AL554" s="3"/>
      <c r="AM554" s="3"/>
      <c r="AN554" s="3"/>
      <c r="AO554" s="3"/>
      <c r="AP554" s="3"/>
      <c r="AQ554" s="3"/>
      <c r="AR554" s="3"/>
    </row>
    <row r="555" spans="1:44" ht="16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S555" s="3"/>
      <c r="T555" s="3"/>
      <c r="U555" s="3"/>
      <c r="V555" s="3"/>
      <c r="W555" s="3"/>
      <c r="X555" s="3"/>
      <c r="Y555" s="3"/>
      <c r="Z555" s="3"/>
      <c r="AB555" s="3"/>
      <c r="AC555" s="3"/>
      <c r="AD555" s="3"/>
      <c r="AE555" s="3"/>
      <c r="AF555" s="3"/>
      <c r="AG555" s="3"/>
      <c r="AH555" s="3"/>
      <c r="AI555" s="3"/>
      <c r="AK555" s="3"/>
      <c r="AL555" s="3"/>
      <c r="AM555" s="3"/>
      <c r="AN555" s="3"/>
      <c r="AO555" s="3"/>
      <c r="AP555" s="3"/>
      <c r="AQ555" s="3"/>
      <c r="AR555" s="3"/>
    </row>
    <row r="556" spans="1:44" ht="16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S556" s="3"/>
      <c r="T556" s="3"/>
      <c r="U556" s="3"/>
      <c r="V556" s="3"/>
      <c r="W556" s="3"/>
      <c r="X556" s="3"/>
      <c r="Y556" s="3"/>
      <c r="Z556" s="3"/>
      <c r="AB556" s="3"/>
      <c r="AC556" s="3"/>
      <c r="AD556" s="3"/>
      <c r="AE556" s="3"/>
      <c r="AF556" s="3"/>
      <c r="AG556" s="3"/>
      <c r="AH556" s="3"/>
      <c r="AI556" s="3"/>
      <c r="AK556" s="3"/>
      <c r="AL556" s="3"/>
      <c r="AM556" s="3"/>
      <c r="AN556" s="3"/>
      <c r="AO556" s="3"/>
      <c r="AP556" s="3"/>
      <c r="AQ556" s="3"/>
      <c r="AR556" s="3"/>
    </row>
    <row r="557" spans="1:44" ht="16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S557" s="3"/>
      <c r="T557" s="3"/>
      <c r="U557" s="3"/>
      <c r="V557" s="3"/>
      <c r="W557" s="3"/>
      <c r="X557" s="3"/>
      <c r="Y557" s="3"/>
      <c r="Z557" s="3"/>
      <c r="AB557" s="3"/>
      <c r="AC557" s="3"/>
      <c r="AD557" s="3"/>
      <c r="AE557" s="3"/>
      <c r="AF557" s="3"/>
      <c r="AG557" s="3"/>
      <c r="AH557" s="3"/>
      <c r="AI557" s="3"/>
      <c r="AK557" s="3"/>
      <c r="AL557" s="3"/>
      <c r="AM557" s="3"/>
      <c r="AN557" s="3"/>
      <c r="AO557" s="3"/>
      <c r="AP557" s="3"/>
      <c r="AQ557" s="3"/>
      <c r="AR557" s="3"/>
    </row>
    <row r="558" spans="1:44" ht="16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S558" s="3"/>
      <c r="T558" s="3"/>
      <c r="U558" s="3"/>
      <c r="V558" s="3"/>
      <c r="W558" s="3"/>
      <c r="X558" s="3"/>
      <c r="Y558" s="3"/>
      <c r="Z558" s="3"/>
      <c r="AB558" s="3"/>
      <c r="AC558" s="3"/>
      <c r="AD558" s="3"/>
      <c r="AE558" s="3"/>
      <c r="AF558" s="3"/>
      <c r="AG558" s="3"/>
      <c r="AH558" s="3"/>
      <c r="AI558" s="3"/>
      <c r="AK558" s="3"/>
      <c r="AL558" s="3"/>
      <c r="AM558" s="3"/>
      <c r="AN558" s="3"/>
      <c r="AO558" s="3"/>
      <c r="AP558" s="3"/>
      <c r="AQ558" s="3"/>
      <c r="AR558" s="3"/>
    </row>
    <row r="559" spans="1:44" ht="16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S559" s="3"/>
      <c r="T559" s="3"/>
      <c r="U559" s="3"/>
      <c r="V559" s="3"/>
      <c r="W559" s="3"/>
      <c r="X559" s="3"/>
      <c r="Y559" s="3"/>
      <c r="Z559" s="3"/>
      <c r="AB559" s="3"/>
      <c r="AC559" s="3"/>
      <c r="AD559" s="3"/>
      <c r="AE559" s="3"/>
      <c r="AF559" s="3"/>
      <c r="AG559" s="3"/>
      <c r="AH559" s="3"/>
      <c r="AI559" s="3"/>
      <c r="AK559" s="3"/>
      <c r="AL559" s="3"/>
      <c r="AM559" s="3"/>
      <c r="AN559" s="3"/>
      <c r="AO559" s="3"/>
      <c r="AP559" s="3"/>
      <c r="AQ559" s="3"/>
      <c r="AR559" s="3"/>
    </row>
    <row r="560" spans="1:44" ht="16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S560" s="3"/>
      <c r="T560" s="3"/>
      <c r="U560" s="3"/>
      <c r="V560" s="3"/>
      <c r="W560" s="3"/>
      <c r="X560" s="3"/>
      <c r="Y560" s="3"/>
      <c r="Z560" s="3"/>
      <c r="AB560" s="3"/>
      <c r="AC560" s="3"/>
      <c r="AD560" s="3"/>
      <c r="AE560" s="3"/>
      <c r="AF560" s="3"/>
      <c r="AG560" s="3"/>
      <c r="AH560" s="3"/>
      <c r="AI560" s="3"/>
      <c r="AK560" s="3"/>
      <c r="AL560" s="3"/>
      <c r="AM560" s="3"/>
      <c r="AN560" s="3"/>
      <c r="AO560" s="3"/>
      <c r="AP560" s="3"/>
      <c r="AQ560" s="3"/>
      <c r="AR560" s="3"/>
    </row>
    <row r="561" spans="1:44" ht="16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S561" s="3"/>
      <c r="T561" s="3"/>
      <c r="U561" s="3"/>
      <c r="V561" s="3"/>
      <c r="W561" s="3"/>
      <c r="X561" s="3"/>
      <c r="Y561" s="3"/>
      <c r="Z561" s="3"/>
      <c r="AB561" s="3"/>
      <c r="AC561" s="3"/>
      <c r="AD561" s="3"/>
      <c r="AE561" s="3"/>
      <c r="AF561" s="3"/>
      <c r="AG561" s="3"/>
      <c r="AH561" s="3"/>
      <c r="AI561" s="3"/>
      <c r="AK561" s="3"/>
      <c r="AL561" s="3"/>
      <c r="AM561" s="3"/>
      <c r="AN561" s="3"/>
      <c r="AO561" s="3"/>
      <c r="AP561" s="3"/>
      <c r="AQ561" s="3"/>
      <c r="AR561" s="3"/>
    </row>
    <row r="562" spans="1:44" ht="16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S562" s="3"/>
      <c r="T562" s="3"/>
      <c r="U562" s="3"/>
      <c r="V562" s="3"/>
      <c r="W562" s="3"/>
      <c r="X562" s="3"/>
      <c r="Y562" s="3"/>
      <c r="Z562" s="3"/>
      <c r="AB562" s="3"/>
      <c r="AC562" s="3"/>
      <c r="AD562" s="3"/>
      <c r="AE562" s="3"/>
      <c r="AF562" s="3"/>
      <c r="AG562" s="3"/>
      <c r="AH562" s="3"/>
      <c r="AI562" s="3"/>
      <c r="AK562" s="3"/>
      <c r="AL562" s="3"/>
      <c r="AM562" s="3"/>
      <c r="AN562" s="3"/>
      <c r="AO562" s="3"/>
      <c r="AP562" s="3"/>
      <c r="AQ562" s="3"/>
      <c r="AR562" s="3"/>
    </row>
    <row r="563" spans="1:44" ht="16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S563" s="3"/>
      <c r="T563" s="3"/>
      <c r="U563" s="3"/>
      <c r="V563" s="3"/>
      <c r="W563" s="3"/>
      <c r="X563" s="3"/>
      <c r="Y563" s="3"/>
      <c r="Z563" s="3"/>
      <c r="AB563" s="3"/>
      <c r="AC563" s="3"/>
      <c r="AD563" s="3"/>
      <c r="AE563" s="3"/>
      <c r="AF563" s="3"/>
      <c r="AG563" s="3"/>
      <c r="AH563" s="3"/>
      <c r="AI563" s="3"/>
      <c r="AK563" s="3"/>
      <c r="AL563" s="3"/>
      <c r="AM563" s="3"/>
      <c r="AN563" s="3"/>
      <c r="AO563" s="3"/>
      <c r="AP563" s="3"/>
      <c r="AQ563" s="3"/>
      <c r="AR563" s="3"/>
    </row>
    <row r="564" spans="1:44" ht="16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S564" s="3"/>
      <c r="T564" s="3"/>
      <c r="U564" s="3"/>
      <c r="V564" s="3"/>
      <c r="W564" s="3"/>
      <c r="X564" s="3"/>
      <c r="Y564" s="3"/>
      <c r="Z564" s="3"/>
      <c r="AB564" s="3"/>
      <c r="AC564" s="3"/>
      <c r="AD564" s="3"/>
      <c r="AE564" s="3"/>
      <c r="AF564" s="3"/>
      <c r="AG564" s="3"/>
      <c r="AH564" s="3"/>
      <c r="AI564" s="3"/>
      <c r="AK564" s="3"/>
      <c r="AL564" s="3"/>
      <c r="AM564" s="3"/>
      <c r="AN564" s="3"/>
      <c r="AO564" s="3"/>
      <c r="AP564" s="3"/>
      <c r="AQ564" s="3"/>
      <c r="AR564" s="3"/>
    </row>
    <row r="565" spans="1:44" ht="16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S565" s="3"/>
      <c r="T565" s="3"/>
      <c r="U565" s="3"/>
      <c r="V565" s="3"/>
      <c r="W565" s="3"/>
      <c r="X565" s="3"/>
      <c r="Y565" s="3"/>
      <c r="Z565" s="3"/>
      <c r="AB565" s="3"/>
      <c r="AC565" s="3"/>
      <c r="AD565" s="3"/>
      <c r="AE565" s="3"/>
      <c r="AF565" s="3"/>
      <c r="AG565" s="3"/>
      <c r="AH565" s="3"/>
      <c r="AI565" s="3"/>
      <c r="AK565" s="3"/>
      <c r="AL565" s="3"/>
      <c r="AM565" s="3"/>
      <c r="AN565" s="3"/>
      <c r="AO565" s="3"/>
      <c r="AP565" s="3"/>
      <c r="AQ565" s="3"/>
      <c r="AR565" s="3"/>
    </row>
    <row r="566" spans="1:44" ht="16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S566" s="3"/>
      <c r="T566" s="3"/>
      <c r="U566" s="3"/>
      <c r="V566" s="3"/>
      <c r="W566" s="3"/>
      <c r="X566" s="3"/>
      <c r="Y566" s="3"/>
      <c r="Z566" s="3"/>
      <c r="AB566" s="3"/>
      <c r="AC566" s="3"/>
      <c r="AD566" s="3"/>
      <c r="AE566" s="3"/>
      <c r="AF566" s="3"/>
      <c r="AG566" s="3"/>
      <c r="AH566" s="3"/>
      <c r="AI566" s="3"/>
      <c r="AK566" s="3"/>
      <c r="AL566" s="3"/>
      <c r="AM566" s="3"/>
      <c r="AN566" s="3"/>
      <c r="AO566" s="3"/>
      <c r="AP566" s="3"/>
      <c r="AQ566" s="3"/>
      <c r="AR566" s="3"/>
    </row>
    <row r="567" spans="1:44" ht="16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S567" s="3"/>
      <c r="T567" s="3"/>
      <c r="U567" s="3"/>
      <c r="V567" s="3"/>
      <c r="W567" s="3"/>
      <c r="X567" s="3"/>
      <c r="Y567" s="3"/>
      <c r="Z567" s="3"/>
      <c r="AB567" s="3"/>
      <c r="AC567" s="3"/>
      <c r="AD567" s="3"/>
      <c r="AE567" s="3"/>
      <c r="AF567" s="3"/>
      <c r="AG567" s="3"/>
      <c r="AH567" s="3"/>
      <c r="AI567" s="3"/>
      <c r="AK567" s="3"/>
      <c r="AL567" s="3"/>
      <c r="AM567" s="3"/>
      <c r="AN567" s="3"/>
      <c r="AO567" s="3"/>
      <c r="AP567" s="3"/>
      <c r="AQ567" s="3"/>
      <c r="AR567" s="3"/>
    </row>
    <row r="568" spans="1:44" ht="16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S568" s="3"/>
      <c r="T568" s="3"/>
      <c r="U568" s="3"/>
      <c r="V568" s="3"/>
      <c r="W568" s="3"/>
      <c r="X568" s="3"/>
      <c r="Y568" s="3"/>
      <c r="Z568" s="3"/>
      <c r="AB568" s="3"/>
      <c r="AC568" s="3"/>
      <c r="AD568" s="3"/>
      <c r="AE568" s="3"/>
      <c r="AF568" s="3"/>
      <c r="AG568" s="3"/>
      <c r="AH568" s="3"/>
      <c r="AI568" s="3"/>
      <c r="AK568" s="3"/>
      <c r="AL568" s="3"/>
      <c r="AM568" s="3"/>
      <c r="AN568" s="3"/>
      <c r="AO568" s="3"/>
      <c r="AP568" s="3"/>
      <c r="AQ568" s="3"/>
      <c r="AR568" s="3"/>
    </row>
    <row r="569" spans="1:44" ht="16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S569" s="3"/>
      <c r="T569" s="3"/>
      <c r="U569" s="3"/>
      <c r="V569" s="3"/>
      <c r="W569" s="3"/>
      <c r="X569" s="3"/>
      <c r="Y569" s="3"/>
      <c r="Z569" s="3"/>
      <c r="AB569" s="3"/>
      <c r="AC569" s="3"/>
      <c r="AD569" s="3"/>
      <c r="AE569" s="3"/>
      <c r="AF569" s="3"/>
      <c r="AG569" s="3"/>
      <c r="AH569" s="3"/>
      <c r="AI569" s="3"/>
      <c r="AK569" s="3"/>
      <c r="AL569" s="3"/>
      <c r="AM569" s="3"/>
      <c r="AN569" s="3"/>
      <c r="AO569" s="3"/>
      <c r="AP569" s="3"/>
      <c r="AQ569" s="3"/>
      <c r="AR569" s="3"/>
    </row>
    <row r="570" spans="1:44" ht="16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S570" s="3"/>
      <c r="T570" s="3"/>
      <c r="U570" s="3"/>
      <c r="V570" s="3"/>
      <c r="W570" s="3"/>
      <c r="X570" s="3"/>
      <c r="Y570" s="3"/>
      <c r="Z570" s="3"/>
      <c r="AB570" s="3"/>
      <c r="AC570" s="3"/>
      <c r="AD570" s="3"/>
      <c r="AE570" s="3"/>
      <c r="AF570" s="3"/>
      <c r="AG570" s="3"/>
      <c r="AH570" s="3"/>
      <c r="AI570" s="3"/>
      <c r="AK570" s="3"/>
      <c r="AL570" s="3"/>
      <c r="AM570" s="3"/>
      <c r="AN570" s="3"/>
      <c r="AO570" s="3"/>
      <c r="AP570" s="3"/>
      <c r="AQ570" s="3"/>
      <c r="AR570" s="3"/>
    </row>
    <row r="571" spans="1:44" ht="16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S571" s="3"/>
      <c r="T571" s="3"/>
      <c r="U571" s="3"/>
      <c r="V571" s="3"/>
      <c r="W571" s="3"/>
      <c r="X571" s="3"/>
      <c r="Y571" s="3"/>
      <c r="Z571" s="3"/>
      <c r="AB571" s="3"/>
      <c r="AC571" s="3"/>
      <c r="AD571" s="3"/>
      <c r="AE571" s="3"/>
      <c r="AF571" s="3"/>
      <c r="AG571" s="3"/>
      <c r="AH571" s="3"/>
      <c r="AI571" s="3"/>
      <c r="AK571" s="3"/>
      <c r="AL571" s="3"/>
      <c r="AM571" s="3"/>
      <c r="AN571" s="3"/>
      <c r="AO571" s="3"/>
      <c r="AP571" s="3"/>
      <c r="AQ571" s="3"/>
      <c r="AR571" s="3"/>
    </row>
    <row r="572" spans="1:44" ht="16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S572" s="3"/>
      <c r="T572" s="3"/>
      <c r="U572" s="3"/>
      <c r="V572" s="3"/>
      <c r="W572" s="3"/>
      <c r="X572" s="3"/>
      <c r="Y572" s="3"/>
      <c r="Z572" s="3"/>
      <c r="AB572" s="3"/>
      <c r="AC572" s="3"/>
      <c r="AD572" s="3"/>
      <c r="AE572" s="3"/>
      <c r="AF572" s="3"/>
      <c r="AG572" s="3"/>
      <c r="AH572" s="3"/>
      <c r="AI572" s="3"/>
      <c r="AK572" s="3"/>
      <c r="AL572" s="3"/>
      <c r="AM572" s="3"/>
      <c r="AN572" s="3"/>
      <c r="AO572" s="3"/>
      <c r="AP572" s="3"/>
      <c r="AQ572" s="3"/>
      <c r="AR572" s="3"/>
    </row>
    <row r="573" spans="1:44" ht="16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S573" s="3"/>
      <c r="T573" s="3"/>
      <c r="U573" s="3"/>
      <c r="V573" s="3"/>
      <c r="W573" s="3"/>
      <c r="X573" s="3"/>
      <c r="Y573" s="3"/>
      <c r="Z573" s="3"/>
      <c r="AB573" s="3"/>
      <c r="AC573" s="3"/>
      <c r="AD573" s="3"/>
      <c r="AE573" s="3"/>
      <c r="AF573" s="3"/>
      <c r="AG573" s="3"/>
      <c r="AH573" s="3"/>
      <c r="AI573" s="3"/>
      <c r="AK573" s="3"/>
      <c r="AL573" s="3"/>
      <c r="AM573" s="3"/>
      <c r="AN573" s="3"/>
      <c r="AO573" s="3"/>
      <c r="AP573" s="3"/>
      <c r="AQ573" s="3"/>
      <c r="AR573" s="3"/>
    </row>
    <row r="574" spans="1:44" ht="16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S574" s="3"/>
      <c r="T574" s="3"/>
      <c r="U574" s="3"/>
      <c r="V574" s="3"/>
      <c r="W574" s="3"/>
      <c r="X574" s="3"/>
      <c r="Y574" s="3"/>
      <c r="Z574" s="3"/>
      <c r="AB574" s="3"/>
      <c r="AC574" s="3"/>
      <c r="AD574" s="3"/>
      <c r="AE574" s="3"/>
      <c r="AF574" s="3"/>
      <c r="AG574" s="3"/>
      <c r="AH574" s="3"/>
      <c r="AI574" s="3"/>
      <c r="AK574" s="3"/>
      <c r="AL574" s="3"/>
      <c r="AM574" s="3"/>
      <c r="AN574" s="3"/>
      <c r="AO574" s="3"/>
      <c r="AP574" s="3"/>
      <c r="AQ574" s="3"/>
      <c r="AR574" s="3"/>
    </row>
    <row r="575" spans="1:44" ht="16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S575" s="3"/>
      <c r="T575" s="3"/>
      <c r="U575" s="3"/>
      <c r="V575" s="3"/>
      <c r="W575" s="3"/>
      <c r="X575" s="3"/>
      <c r="Y575" s="3"/>
      <c r="Z575" s="3"/>
      <c r="AB575" s="3"/>
      <c r="AC575" s="3"/>
      <c r="AD575" s="3"/>
      <c r="AE575" s="3"/>
      <c r="AF575" s="3"/>
      <c r="AG575" s="3"/>
      <c r="AH575" s="3"/>
      <c r="AI575" s="3"/>
      <c r="AK575" s="3"/>
      <c r="AL575" s="3"/>
      <c r="AM575" s="3"/>
      <c r="AN575" s="3"/>
      <c r="AO575" s="3"/>
      <c r="AP575" s="3"/>
      <c r="AQ575" s="3"/>
      <c r="AR575" s="3"/>
    </row>
    <row r="576" spans="1:44" ht="16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S576" s="3"/>
      <c r="T576" s="3"/>
      <c r="U576" s="3"/>
      <c r="V576" s="3"/>
      <c r="W576" s="3"/>
      <c r="X576" s="3"/>
      <c r="Y576" s="3"/>
      <c r="Z576" s="3"/>
      <c r="AB576" s="3"/>
      <c r="AC576" s="3"/>
      <c r="AD576" s="3"/>
      <c r="AE576" s="3"/>
      <c r="AF576" s="3"/>
      <c r="AG576" s="3"/>
      <c r="AH576" s="3"/>
      <c r="AI576" s="3"/>
      <c r="AK576" s="3"/>
      <c r="AL576" s="3"/>
      <c r="AM576" s="3"/>
      <c r="AN576" s="3"/>
      <c r="AO576" s="3"/>
      <c r="AP576" s="3"/>
      <c r="AQ576" s="3"/>
      <c r="AR576" s="3"/>
    </row>
    <row r="577" spans="1:44" ht="16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S577" s="3"/>
      <c r="T577" s="3"/>
      <c r="U577" s="3"/>
      <c r="V577" s="3"/>
      <c r="W577" s="3"/>
      <c r="X577" s="3"/>
      <c r="Y577" s="3"/>
      <c r="Z577" s="3"/>
      <c r="AB577" s="3"/>
      <c r="AC577" s="3"/>
      <c r="AD577" s="3"/>
      <c r="AE577" s="3"/>
      <c r="AF577" s="3"/>
      <c r="AG577" s="3"/>
      <c r="AH577" s="3"/>
      <c r="AI577" s="3"/>
      <c r="AK577" s="3"/>
      <c r="AL577" s="3"/>
      <c r="AM577" s="3"/>
      <c r="AN577" s="3"/>
      <c r="AO577" s="3"/>
      <c r="AP577" s="3"/>
      <c r="AQ577" s="3"/>
      <c r="AR577" s="3"/>
    </row>
    <row r="578" spans="1:44" ht="16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S578" s="3"/>
      <c r="T578" s="3"/>
      <c r="U578" s="3"/>
      <c r="V578" s="3"/>
      <c r="W578" s="3"/>
      <c r="X578" s="3"/>
      <c r="Y578" s="3"/>
      <c r="Z578" s="3"/>
      <c r="AB578" s="3"/>
      <c r="AC578" s="3"/>
      <c r="AD578" s="3"/>
      <c r="AE578" s="3"/>
      <c r="AF578" s="3"/>
      <c r="AG578" s="3"/>
      <c r="AH578" s="3"/>
      <c r="AI578" s="3"/>
      <c r="AK578" s="3"/>
      <c r="AL578" s="3"/>
      <c r="AM578" s="3"/>
      <c r="AN578" s="3"/>
      <c r="AO578" s="3"/>
      <c r="AP578" s="3"/>
      <c r="AQ578" s="3"/>
      <c r="AR578" s="3"/>
    </row>
    <row r="579" spans="1:44" ht="16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S579" s="3"/>
      <c r="T579" s="3"/>
      <c r="U579" s="3"/>
      <c r="V579" s="3"/>
      <c r="W579" s="3"/>
      <c r="X579" s="3"/>
      <c r="Y579" s="3"/>
      <c r="Z579" s="3"/>
      <c r="AB579" s="3"/>
      <c r="AC579" s="3"/>
      <c r="AD579" s="3"/>
      <c r="AE579" s="3"/>
      <c r="AF579" s="3"/>
      <c r="AG579" s="3"/>
      <c r="AH579" s="3"/>
      <c r="AI579" s="3"/>
      <c r="AK579" s="3"/>
      <c r="AL579" s="3"/>
      <c r="AM579" s="3"/>
      <c r="AN579" s="3"/>
      <c r="AO579" s="3"/>
      <c r="AP579" s="3"/>
      <c r="AQ579" s="3"/>
      <c r="AR579" s="3"/>
    </row>
    <row r="580" spans="1:44" ht="16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S580" s="3"/>
      <c r="T580" s="3"/>
      <c r="U580" s="3"/>
      <c r="V580" s="3"/>
      <c r="W580" s="3"/>
      <c r="X580" s="3"/>
      <c r="Y580" s="3"/>
      <c r="Z580" s="3"/>
      <c r="AB580" s="3"/>
      <c r="AC580" s="3"/>
      <c r="AD580" s="3"/>
      <c r="AE580" s="3"/>
      <c r="AF580" s="3"/>
      <c r="AG580" s="3"/>
      <c r="AH580" s="3"/>
      <c r="AI580" s="3"/>
      <c r="AK580" s="3"/>
      <c r="AL580" s="3"/>
      <c r="AM580" s="3"/>
      <c r="AN580" s="3"/>
      <c r="AO580" s="3"/>
      <c r="AP580" s="3"/>
      <c r="AQ580" s="3"/>
      <c r="AR580" s="3"/>
    </row>
    <row r="581" spans="1:44" ht="16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S581" s="3"/>
      <c r="T581" s="3"/>
      <c r="U581" s="3"/>
      <c r="V581" s="3"/>
      <c r="W581" s="3"/>
      <c r="X581" s="3"/>
      <c r="Y581" s="3"/>
      <c r="Z581" s="3"/>
      <c r="AB581" s="3"/>
      <c r="AC581" s="3"/>
      <c r="AD581" s="3"/>
      <c r="AE581" s="3"/>
      <c r="AF581" s="3"/>
      <c r="AG581" s="3"/>
      <c r="AH581" s="3"/>
      <c r="AI581" s="3"/>
      <c r="AK581" s="3"/>
      <c r="AL581" s="3"/>
      <c r="AM581" s="3"/>
      <c r="AN581" s="3"/>
      <c r="AO581" s="3"/>
      <c r="AP581" s="3"/>
      <c r="AQ581" s="3"/>
      <c r="AR581" s="3"/>
    </row>
    <row r="582" spans="1:44" ht="16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S582" s="3"/>
      <c r="T582" s="3"/>
      <c r="U582" s="3"/>
      <c r="V582" s="3"/>
      <c r="W582" s="3"/>
      <c r="X582" s="3"/>
      <c r="Y582" s="3"/>
      <c r="Z582" s="3"/>
      <c r="AB582" s="3"/>
      <c r="AC582" s="3"/>
      <c r="AD582" s="3"/>
      <c r="AE582" s="3"/>
      <c r="AF582" s="3"/>
      <c r="AG582" s="3"/>
      <c r="AH582" s="3"/>
      <c r="AI582" s="3"/>
      <c r="AK582" s="3"/>
      <c r="AL582" s="3"/>
      <c r="AM582" s="3"/>
      <c r="AN582" s="3"/>
      <c r="AO582" s="3"/>
      <c r="AP582" s="3"/>
      <c r="AQ582" s="3"/>
      <c r="AR582" s="3"/>
    </row>
    <row r="583" spans="1:44" ht="16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S583" s="3"/>
      <c r="T583" s="3"/>
      <c r="U583" s="3"/>
      <c r="V583" s="3"/>
      <c r="W583" s="3"/>
      <c r="X583" s="3"/>
      <c r="Y583" s="3"/>
      <c r="Z583" s="3"/>
      <c r="AB583" s="3"/>
      <c r="AC583" s="3"/>
      <c r="AD583" s="3"/>
      <c r="AE583" s="3"/>
      <c r="AF583" s="3"/>
      <c r="AG583" s="3"/>
      <c r="AH583" s="3"/>
      <c r="AI583" s="3"/>
      <c r="AK583" s="3"/>
      <c r="AL583" s="3"/>
      <c r="AM583" s="3"/>
      <c r="AN583" s="3"/>
      <c r="AO583" s="3"/>
      <c r="AP583" s="3"/>
      <c r="AQ583" s="3"/>
      <c r="AR583" s="3"/>
    </row>
    <row r="584" spans="1:44" ht="16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S584" s="3"/>
      <c r="T584" s="3"/>
      <c r="U584" s="3"/>
      <c r="V584" s="3"/>
      <c r="W584" s="3"/>
      <c r="X584" s="3"/>
      <c r="Y584" s="3"/>
      <c r="Z584" s="3"/>
      <c r="AB584" s="3"/>
      <c r="AC584" s="3"/>
      <c r="AD584" s="3"/>
      <c r="AE584" s="3"/>
      <c r="AF584" s="3"/>
      <c r="AG584" s="3"/>
      <c r="AH584" s="3"/>
      <c r="AI584" s="3"/>
      <c r="AK584" s="3"/>
      <c r="AL584" s="3"/>
      <c r="AM584" s="3"/>
      <c r="AN584" s="3"/>
      <c r="AO584" s="3"/>
      <c r="AP584" s="3"/>
      <c r="AQ584" s="3"/>
      <c r="AR584" s="3"/>
    </row>
    <row r="585" spans="1:44" ht="16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S585" s="3"/>
      <c r="T585" s="3"/>
      <c r="U585" s="3"/>
      <c r="V585" s="3"/>
      <c r="W585" s="3"/>
      <c r="X585" s="3"/>
      <c r="Y585" s="3"/>
      <c r="Z585" s="3"/>
      <c r="AB585" s="3"/>
      <c r="AC585" s="3"/>
      <c r="AD585" s="3"/>
      <c r="AE585" s="3"/>
      <c r="AF585" s="3"/>
      <c r="AG585" s="3"/>
      <c r="AH585" s="3"/>
      <c r="AI585" s="3"/>
      <c r="AK585" s="3"/>
      <c r="AL585" s="3"/>
      <c r="AM585" s="3"/>
      <c r="AN585" s="3"/>
      <c r="AO585" s="3"/>
      <c r="AP585" s="3"/>
      <c r="AQ585" s="3"/>
      <c r="AR585" s="3"/>
    </row>
    <row r="586" spans="1:44" ht="16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S586" s="3"/>
      <c r="T586" s="3"/>
      <c r="U586" s="3"/>
      <c r="V586" s="3"/>
      <c r="W586" s="3"/>
      <c r="X586" s="3"/>
      <c r="Y586" s="3"/>
      <c r="Z586" s="3"/>
      <c r="AB586" s="3"/>
      <c r="AC586" s="3"/>
      <c r="AD586" s="3"/>
      <c r="AE586" s="3"/>
      <c r="AF586" s="3"/>
      <c r="AG586" s="3"/>
      <c r="AH586" s="3"/>
      <c r="AI586" s="3"/>
      <c r="AK586" s="3"/>
      <c r="AL586" s="3"/>
      <c r="AM586" s="3"/>
      <c r="AN586" s="3"/>
      <c r="AO586" s="3"/>
      <c r="AP586" s="3"/>
      <c r="AQ586" s="3"/>
      <c r="AR586" s="3"/>
    </row>
    <row r="587" spans="1:44" ht="16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S587" s="3"/>
      <c r="T587" s="3"/>
      <c r="U587" s="3"/>
      <c r="V587" s="3"/>
      <c r="W587" s="3"/>
      <c r="X587" s="3"/>
      <c r="Y587" s="3"/>
      <c r="Z587" s="3"/>
      <c r="AB587" s="3"/>
      <c r="AC587" s="3"/>
      <c r="AD587" s="3"/>
      <c r="AE587" s="3"/>
      <c r="AF587" s="3"/>
      <c r="AG587" s="3"/>
      <c r="AH587" s="3"/>
      <c r="AI587" s="3"/>
      <c r="AK587" s="3"/>
      <c r="AL587" s="3"/>
      <c r="AM587" s="3"/>
      <c r="AN587" s="3"/>
      <c r="AO587" s="3"/>
      <c r="AP587" s="3"/>
      <c r="AQ587" s="3"/>
      <c r="AR587" s="3"/>
    </row>
    <row r="588" spans="1:44" ht="16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S588" s="3"/>
      <c r="T588" s="3"/>
      <c r="U588" s="3"/>
      <c r="V588" s="3"/>
      <c r="W588" s="3"/>
      <c r="X588" s="3"/>
      <c r="Y588" s="3"/>
      <c r="Z588" s="3"/>
      <c r="AB588" s="3"/>
      <c r="AC588" s="3"/>
      <c r="AD588" s="3"/>
      <c r="AE588" s="3"/>
      <c r="AF588" s="3"/>
      <c r="AG588" s="3"/>
      <c r="AH588" s="3"/>
      <c r="AI588" s="3"/>
      <c r="AK588" s="3"/>
      <c r="AL588" s="3"/>
      <c r="AM588" s="3"/>
      <c r="AN588" s="3"/>
      <c r="AO588" s="3"/>
      <c r="AP588" s="3"/>
      <c r="AQ588" s="3"/>
      <c r="AR588" s="3"/>
    </row>
    <row r="589" spans="1:44" ht="16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S589" s="3"/>
      <c r="T589" s="3"/>
      <c r="U589" s="3"/>
      <c r="V589" s="3"/>
      <c r="W589" s="3"/>
      <c r="X589" s="3"/>
      <c r="Y589" s="3"/>
      <c r="Z589" s="3"/>
      <c r="AB589" s="3"/>
      <c r="AC589" s="3"/>
      <c r="AD589" s="3"/>
      <c r="AE589" s="3"/>
      <c r="AF589" s="3"/>
      <c r="AG589" s="3"/>
      <c r="AH589" s="3"/>
      <c r="AI589" s="3"/>
      <c r="AK589" s="3"/>
      <c r="AL589" s="3"/>
      <c r="AM589" s="3"/>
      <c r="AN589" s="3"/>
      <c r="AO589" s="3"/>
      <c r="AP589" s="3"/>
      <c r="AQ589" s="3"/>
      <c r="AR589" s="3"/>
    </row>
    <row r="590" spans="1:44" ht="16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S590" s="3"/>
      <c r="T590" s="3"/>
      <c r="U590" s="3"/>
      <c r="V590" s="3"/>
      <c r="W590" s="3"/>
      <c r="X590" s="3"/>
      <c r="Y590" s="3"/>
      <c r="Z590" s="3"/>
      <c r="AB590" s="3"/>
      <c r="AC590" s="3"/>
      <c r="AD590" s="3"/>
      <c r="AE590" s="3"/>
      <c r="AF590" s="3"/>
      <c r="AG590" s="3"/>
      <c r="AH590" s="3"/>
      <c r="AI590" s="3"/>
      <c r="AK590" s="3"/>
      <c r="AL590" s="3"/>
      <c r="AM590" s="3"/>
      <c r="AN590" s="3"/>
      <c r="AO590" s="3"/>
      <c r="AP590" s="3"/>
      <c r="AQ590" s="3"/>
      <c r="AR590" s="3"/>
    </row>
    <row r="591" spans="1:44" ht="16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S591" s="3"/>
      <c r="T591" s="3"/>
      <c r="U591" s="3"/>
      <c r="V591" s="3"/>
      <c r="W591" s="3"/>
      <c r="X591" s="3"/>
      <c r="Y591" s="3"/>
      <c r="Z591" s="3"/>
      <c r="AB591" s="3"/>
      <c r="AC591" s="3"/>
      <c r="AD591" s="3"/>
      <c r="AE591" s="3"/>
      <c r="AF591" s="3"/>
      <c r="AG591" s="3"/>
      <c r="AH591" s="3"/>
      <c r="AI591" s="3"/>
      <c r="AK591" s="3"/>
      <c r="AL591" s="3"/>
      <c r="AM591" s="3"/>
      <c r="AN591" s="3"/>
      <c r="AO591" s="3"/>
      <c r="AP591" s="3"/>
      <c r="AQ591" s="3"/>
      <c r="AR591" s="3"/>
    </row>
    <row r="592" spans="1:44" ht="16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S592" s="3"/>
      <c r="T592" s="3"/>
      <c r="U592" s="3"/>
      <c r="V592" s="3"/>
      <c r="W592" s="3"/>
      <c r="X592" s="3"/>
      <c r="Y592" s="3"/>
      <c r="Z592" s="3"/>
      <c r="AB592" s="3"/>
      <c r="AC592" s="3"/>
      <c r="AD592" s="3"/>
      <c r="AE592" s="3"/>
      <c r="AF592" s="3"/>
      <c r="AG592" s="3"/>
      <c r="AH592" s="3"/>
      <c r="AI592" s="3"/>
      <c r="AK592" s="3"/>
      <c r="AL592" s="3"/>
      <c r="AM592" s="3"/>
      <c r="AN592" s="3"/>
      <c r="AO592" s="3"/>
      <c r="AP592" s="3"/>
      <c r="AQ592" s="3"/>
      <c r="AR592" s="3"/>
    </row>
    <row r="593" spans="1:44" ht="16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S593" s="3"/>
      <c r="T593" s="3"/>
      <c r="U593" s="3"/>
      <c r="V593" s="3"/>
      <c r="W593" s="3"/>
      <c r="X593" s="3"/>
      <c r="Y593" s="3"/>
      <c r="Z593" s="3"/>
      <c r="AB593" s="3"/>
      <c r="AC593" s="3"/>
      <c r="AD593" s="3"/>
      <c r="AE593" s="3"/>
      <c r="AF593" s="3"/>
      <c r="AG593" s="3"/>
      <c r="AH593" s="3"/>
      <c r="AI593" s="3"/>
      <c r="AK593" s="3"/>
      <c r="AL593" s="3"/>
      <c r="AM593" s="3"/>
      <c r="AN593" s="3"/>
      <c r="AO593" s="3"/>
      <c r="AP593" s="3"/>
      <c r="AQ593" s="3"/>
      <c r="AR593" s="3"/>
    </row>
    <row r="594" spans="1:44" ht="16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S594" s="3"/>
      <c r="T594" s="3"/>
      <c r="U594" s="3"/>
      <c r="V594" s="3"/>
      <c r="W594" s="3"/>
      <c r="X594" s="3"/>
      <c r="Y594" s="3"/>
      <c r="Z594" s="3"/>
      <c r="AB594" s="3"/>
      <c r="AC594" s="3"/>
      <c r="AD594" s="3"/>
      <c r="AE594" s="3"/>
      <c r="AF594" s="3"/>
      <c r="AG594" s="3"/>
      <c r="AH594" s="3"/>
      <c r="AI594" s="3"/>
      <c r="AK594" s="3"/>
      <c r="AL594" s="3"/>
      <c r="AM594" s="3"/>
      <c r="AN594" s="3"/>
      <c r="AO594" s="3"/>
      <c r="AP594" s="3"/>
      <c r="AQ594" s="3"/>
      <c r="AR594" s="3"/>
    </row>
    <row r="595" spans="1:44" ht="16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S595" s="3"/>
      <c r="T595" s="3"/>
      <c r="U595" s="3"/>
      <c r="V595" s="3"/>
      <c r="W595" s="3"/>
      <c r="X595" s="3"/>
      <c r="Y595" s="3"/>
      <c r="Z595" s="3"/>
      <c r="AB595" s="3"/>
      <c r="AC595" s="3"/>
      <c r="AD595" s="3"/>
      <c r="AE595" s="3"/>
      <c r="AF595" s="3"/>
      <c r="AG595" s="3"/>
      <c r="AH595" s="3"/>
      <c r="AI595" s="3"/>
      <c r="AK595" s="3"/>
      <c r="AL595" s="3"/>
      <c r="AM595" s="3"/>
      <c r="AN595" s="3"/>
      <c r="AO595" s="3"/>
      <c r="AP595" s="3"/>
      <c r="AQ595" s="3"/>
      <c r="AR595" s="3"/>
    </row>
    <row r="596" spans="1:44" ht="16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S596" s="3"/>
      <c r="T596" s="3"/>
      <c r="U596" s="3"/>
      <c r="V596" s="3"/>
      <c r="W596" s="3"/>
      <c r="X596" s="3"/>
      <c r="Y596" s="3"/>
      <c r="Z596" s="3"/>
      <c r="AB596" s="3"/>
      <c r="AC596" s="3"/>
      <c r="AD596" s="3"/>
      <c r="AE596" s="3"/>
      <c r="AF596" s="3"/>
      <c r="AG596" s="3"/>
      <c r="AH596" s="3"/>
      <c r="AI596" s="3"/>
      <c r="AK596" s="3"/>
      <c r="AL596" s="3"/>
      <c r="AM596" s="3"/>
      <c r="AN596" s="3"/>
      <c r="AO596" s="3"/>
      <c r="AP596" s="3"/>
      <c r="AQ596" s="3"/>
      <c r="AR596" s="3"/>
    </row>
    <row r="597" spans="1:44" ht="16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S597" s="3"/>
      <c r="T597" s="3"/>
      <c r="U597" s="3"/>
      <c r="V597" s="3"/>
      <c r="W597" s="3"/>
      <c r="X597" s="3"/>
      <c r="Y597" s="3"/>
      <c r="Z597" s="3"/>
      <c r="AB597" s="3"/>
      <c r="AC597" s="3"/>
      <c r="AD597" s="3"/>
      <c r="AE597" s="3"/>
      <c r="AF597" s="3"/>
      <c r="AG597" s="3"/>
      <c r="AH597" s="3"/>
      <c r="AI597" s="3"/>
      <c r="AK597" s="3"/>
      <c r="AL597" s="3"/>
      <c r="AM597" s="3"/>
      <c r="AN597" s="3"/>
      <c r="AO597" s="3"/>
      <c r="AP597" s="3"/>
      <c r="AQ597" s="3"/>
      <c r="AR597" s="3"/>
    </row>
    <row r="598" spans="1:44" ht="16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S598" s="3"/>
      <c r="T598" s="3"/>
      <c r="U598" s="3"/>
      <c r="V598" s="3"/>
      <c r="W598" s="3"/>
      <c r="X598" s="3"/>
      <c r="Y598" s="3"/>
      <c r="Z598" s="3"/>
      <c r="AB598" s="3"/>
      <c r="AC598" s="3"/>
      <c r="AD598" s="3"/>
      <c r="AE598" s="3"/>
      <c r="AF598" s="3"/>
      <c r="AG598" s="3"/>
      <c r="AH598" s="3"/>
      <c r="AI598" s="3"/>
      <c r="AK598" s="3"/>
      <c r="AL598" s="3"/>
      <c r="AM598" s="3"/>
      <c r="AN598" s="3"/>
      <c r="AO598" s="3"/>
      <c r="AP598" s="3"/>
      <c r="AQ598" s="3"/>
      <c r="AR598" s="3"/>
    </row>
    <row r="599" spans="1:44" ht="16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S599" s="3"/>
      <c r="T599" s="3"/>
      <c r="U599" s="3"/>
      <c r="V599" s="3"/>
      <c r="W599" s="3"/>
      <c r="X599" s="3"/>
      <c r="Y599" s="3"/>
      <c r="Z599" s="3"/>
      <c r="AB599" s="3"/>
      <c r="AC599" s="3"/>
      <c r="AD599" s="3"/>
      <c r="AE599" s="3"/>
      <c r="AF599" s="3"/>
      <c r="AG599" s="3"/>
      <c r="AH599" s="3"/>
      <c r="AI599" s="3"/>
      <c r="AK599" s="3"/>
      <c r="AL599" s="3"/>
      <c r="AM599" s="3"/>
      <c r="AN599" s="3"/>
      <c r="AO599" s="3"/>
      <c r="AP599" s="3"/>
      <c r="AQ599" s="3"/>
      <c r="AR599" s="3"/>
    </row>
    <row r="600" spans="1:44" ht="16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S600" s="3"/>
      <c r="T600" s="3"/>
      <c r="U600" s="3"/>
      <c r="V600" s="3"/>
      <c r="W600" s="3"/>
      <c r="X600" s="3"/>
      <c r="Y600" s="3"/>
      <c r="Z600" s="3"/>
      <c r="AB600" s="3"/>
      <c r="AC600" s="3"/>
      <c r="AD600" s="3"/>
      <c r="AE600" s="3"/>
      <c r="AF600" s="3"/>
      <c r="AG600" s="3"/>
      <c r="AH600" s="3"/>
      <c r="AI600" s="3"/>
      <c r="AK600" s="3"/>
      <c r="AL600" s="3"/>
      <c r="AM600" s="3"/>
      <c r="AN600" s="3"/>
      <c r="AO600" s="3"/>
      <c r="AP600" s="3"/>
      <c r="AQ600" s="3"/>
      <c r="AR600" s="3"/>
    </row>
    <row r="601" spans="1:44" ht="16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S601" s="3"/>
      <c r="T601" s="3"/>
      <c r="U601" s="3"/>
      <c r="V601" s="3"/>
      <c r="W601" s="3"/>
      <c r="X601" s="3"/>
      <c r="Y601" s="3"/>
      <c r="Z601" s="3"/>
      <c r="AB601" s="3"/>
      <c r="AC601" s="3"/>
      <c r="AD601" s="3"/>
      <c r="AE601" s="3"/>
      <c r="AF601" s="3"/>
      <c r="AG601" s="3"/>
      <c r="AH601" s="3"/>
      <c r="AI601" s="3"/>
      <c r="AK601" s="3"/>
      <c r="AL601" s="3"/>
      <c r="AM601" s="3"/>
      <c r="AN601" s="3"/>
      <c r="AO601" s="3"/>
      <c r="AP601" s="3"/>
      <c r="AQ601" s="3"/>
      <c r="AR601" s="3"/>
    </row>
    <row r="602" spans="1:44" ht="16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S602" s="3"/>
      <c r="T602" s="3"/>
      <c r="U602" s="3"/>
      <c r="V602" s="3"/>
      <c r="W602" s="3"/>
      <c r="X602" s="3"/>
      <c r="Y602" s="3"/>
      <c r="Z602" s="3"/>
      <c r="AB602" s="3"/>
      <c r="AC602" s="3"/>
      <c r="AD602" s="3"/>
      <c r="AE602" s="3"/>
      <c r="AF602" s="3"/>
      <c r="AG602" s="3"/>
      <c r="AH602" s="3"/>
      <c r="AI602" s="3"/>
      <c r="AK602" s="3"/>
      <c r="AL602" s="3"/>
      <c r="AM602" s="3"/>
      <c r="AN602" s="3"/>
      <c r="AO602" s="3"/>
      <c r="AP602" s="3"/>
      <c r="AQ602" s="3"/>
      <c r="AR602" s="3"/>
    </row>
    <row r="603" spans="1:44" ht="16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S603" s="3"/>
      <c r="T603" s="3"/>
      <c r="U603" s="3"/>
      <c r="V603" s="3"/>
      <c r="W603" s="3"/>
      <c r="X603" s="3"/>
      <c r="Y603" s="3"/>
      <c r="Z603" s="3"/>
      <c r="AB603" s="3"/>
      <c r="AC603" s="3"/>
      <c r="AD603" s="3"/>
      <c r="AE603" s="3"/>
      <c r="AF603" s="3"/>
      <c r="AG603" s="3"/>
      <c r="AH603" s="3"/>
      <c r="AI603" s="3"/>
      <c r="AK603" s="3"/>
      <c r="AL603" s="3"/>
      <c r="AM603" s="3"/>
      <c r="AN603" s="3"/>
      <c r="AO603" s="3"/>
      <c r="AP603" s="3"/>
      <c r="AQ603" s="3"/>
      <c r="AR603" s="3"/>
    </row>
    <row r="604" spans="1:44" ht="16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S604" s="3"/>
      <c r="T604" s="3"/>
      <c r="U604" s="3"/>
      <c r="V604" s="3"/>
      <c r="W604" s="3"/>
      <c r="X604" s="3"/>
      <c r="Y604" s="3"/>
      <c r="Z604" s="3"/>
      <c r="AB604" s="3"/>
      <c r="AC604" s="3"/>
      <c r="AD604" s="3"/>
      <c r="AE604" s="3"/>
      <c r="AF604" s="3"/>
      <c r="AG604" s="3"/>
      <c r="AH604" s="3"/>
      <c r="AI604" s="3"/>
      <c r="AK604" s="3"/>
      <c r="AL604" s="3"/>
      <c r="AM604" s="3"/>
      <c r="AN604" s="3"/>
      <c r="AO604" s="3"/>
      <c r="AP604" s="3"/>
      <c r="AQ604" s="3"/>
      <c r="AR604" s="3"/>
    </row>
    <row r="605" spans="1:44" ht="16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S605" s="3"/>
      <c r="T605" s="3"/>
      <c r="U605" s="3"/>
      <c r="V605" s="3"/>
      <c r="W605" s="3"/>
      <c r="X605" s="3"/>
      <c r="Y605" s="3"/>
      <c r="Z605" s="3"/>
      <c r="AB605" s="3"/>
      <c r="AC605" s="3"/>
      <c r="AD605" s="3"/>
      <c r="AE605" s="3"/>
      <c r="AF605" s="3"/>
      <c r="AG605" s="3"/>
      <c r="AH605" s="3"/>
      <c r="AI605" s="3"/>
      <c r="AK605" s="3"/>
      <c r="AL605" s="3"/>
      <c r="AM605" s="3"/>
      <c r="AN605" s="3"/>
      <c r="AO605" s="3"/>
      <c r="AP605" s="3"/>
      <c r="AQ605" s="3"/>
      <c r="AR605" s="3"/>
    </row>
    <row r="606" spans="1:44" ht="16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S606" s="3"/>
      <c r="T606" s="3"/>
      <c r="U606" s="3"/>
      <c r="V606" s="3"/>
      <c r="W606" s="3"/>
      <c r="X606" s="3"/>
      <c r="Y606" s="3"/>
      <c r="Z606" s="3"/>
      <c r="AB606" s="3"/>
      <c r="AC606" s="3"/>
      <c r="AD606" s="3"/>
      <c r="AE606" s="3"/>
      <c r="AF606" s="3"/>
      <c r="AG606" s="3"/>
      <c r="AH606" s="3"/>
      <c r="AI606" s="3"/>
      <c r="AK606" s="3"/>
      <c r="AL606" s="3"/>
      <c r="AM606" s="3"/>
      <c r="AN606" s="3"/>
      <c r="AO606" s="3"/>
      <c r="AP606" s="3"/>
      <c r="AQ606" s="3"/>
      <c r="AR606" s="3"/>
    </row>
    <row r="607" spans="1:44" ht="16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S607" s="3"/>
      <c r="T607" s="3"/>
      <c r="U607" s="3"/>
      <c r="V607" s="3"/>
      <c r="W607" s="3"/>
      <c r="X607" s="3"/>
      <c r="Y607" s="3"/>
      <c r="Z607" s="3"/>
      <c r="AB607" s="3"/>
      <c r="AC607" s="3"/>
      <c r="AD607" s="3"/>
      <c r="AE607" s="3"/>
      <c r="AF607" s="3"/>
      <c r="AG607" s="3"/>
      <c r="AH607" s="3"/>
      <c r="AI607" s="3"/>
      <c r="AK607" s="3"/>
      <c r="AL607" s="3"/>
      <c r="AM607" s="3"/>
      <c r="AN607" s="3"/>
      <c r="AO607" s="3"/>
      <c r="AP607" s="3"/>
      <c r="AQ607" s="3"/>
      <c r="AR607" s="3"/>
    </row>
    <row r="608" spans="1:44" ht="16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S608" s="3"/>
      <c r="T608" s="3"/>
      <c r="U608" s="3"/>
      <c r="V608" s="3"/>
      <c r="W608" s="3"/>
      <c r="X608" s="3"/>
      <c r="Y608" s="3"/>
      <c r="Z608" s="3"/>
      <c r="AB608" s="3"/>
      <c r="AC608" s="3"/>
      <c r="AD608" s="3"/>
      <c r="AE608" s="3"/>
      <c r="AF608" s="3"/>
      <c r="AG608" s="3"/>
      <c r="AH608" s="3"/>
      <c r="AI608" s="3"/>
      <c r="AK608" s="3"/>
      <c r="AL608" s="3"/>
      <c r="AM608" s="3"/>
      <c r="AN608" s="3"/>
      <c r="AO608" s="3"/>
      <c r="AP608" s="3"/>
      <c r="AQ608" s="3"/>
      <c r="AR608" s="3"/>
    </row>
    <row r="609" spans="1:44" ht="16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S609" s="3"/>
      <c r="T609" s="3"/>
      <c r="U609" s="3"/>
      <c r="V609" s="3"/>
      <c r="W609" s="3"/>
      <c r="X609" s="3"/>
      <c r="Y609" s="3"/>
      <c r="Z609" s="3"/>
      <c r="AB609" s="3"/>
      <c r="AC609" s="3"/>
      <c r="AD609" s="3"/>
      <c r="AE609" s="3"/>
      <c r="AF609" s="3"/>
      <c r="AG609" s="3"/>
      <c r="AH609" s="3"/>
      <c r="AI609" s="3"/>
      <c r="AK609" s="3"/>
      <c r="AL609" s="3"/>
      <c r="AM609" s="3"/>
      <c r="AN609" s="3"/>
      <c r="AO609" s="3"/>
      <c r="AP609" s="3"/>
      <c r="AQ609" s="3"/>
      <c r="AR609" s="3"/>
    </row>
    <row r="610" spans="1:44" ht="16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S610" s="3"/>
      <c r="T610" s="3"/>
      <c r="U610" s="3"/>
      <c r="V610" s="3"/>
      <c r="W610" s="3"/>
      <c r="X610" s="3"/>
      <c r="Y610" s="3"/>
      <c r="Z610" s="3"/>
      <c r="AB610" s="3"/>
      <c r="AC610" s="3"/>
      <c r="AD610" s="3"/>
      <c r="AE610" s="3"/>
      <c r="AF610" s="3"/>
      <c r="AG610" s="3"/>
      <c r="AH610" s="3"/>
      <c r="AI610" s="3"/>
      <c r="AK610" s="3"/>
      <c r="AL610" s="3"/>
      <c r="AM610" s="3"/>
      <c r="AN610" s="3"/>
      <c r="AO610" s="3"/>
      <c r="AP610" s="3"/>
      <c r="AQ610" s="3"/>
      <c r="AR610" s="3"/>
    </row>
    <row r="611" spans="1:44" ht="16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S611" s="3"/>
      <c r="T611" s="3"/>
      <c r="U611" s="3"/>
      <c r="V611" s="3"/>
      <c r="W611" s="3"/>
      <c r="X611" s="3"/>
      <c r="Y611" s="3"/>
      <c r="Z611" s="3"/>
      <c r="AB611" s="3"/>
      <c r="AC611" s="3"/>
      <c r="AD611" s="3"/>
      <c r="AE611" s="3"/>
      <c r="AF611" s="3"/>
      <c r="AG611" s="3"/>
      <c r="AH611" s="3"/>
      <c r="AI611" s="3"/>
      <c r="AK611" s="3"/>
      <c r="AL611" s="3"/>
      <c r="AM611" s="3"/>
      <c r="AN611" s="3"/>
      <c r="AO611" s="3"/>
      <c r="AP611" s="3"/>
      <c r="AQ611" s="3"/>
      <c r="AR611" s="3"/>
    </row>
    <row r="612" spans="1:44" ht="16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S612" s="3"/>
      <c r="T612" s="3"/>
      <c r="U612" s="3"/>
      <c r="V612" s="3"/>
      <c r="W612" s="3"/>
      <c r="X612" s="3"/>
      <c r="Y612" s="3"/>
      <c r="Z612" s="3"/>
      <c r="AB612" s="3"/>
      <c r="AC612" s="3"/>
      <c r="AD612" s="3"/>
      <c r="AE612" s="3"/>
      <c r="AF612" s="3"/>
      <c r="AG612" s="3"/>
      <c r="AH612" s="3"/>
      <c r="AI612" s="3"/>
      <c r="AK612" s="3"/>
      <c r="AL612" s="3"/>
      <c r="AM612" s="3"/>
      <c r="AN612" s="3"/>
      <c r="AO612" s="3"/>
      <c r="AP612" s="3"/>
      <c r="AQ612" s="3"/>
      <c r="AR612" s="3"/>
    </row>
    <row r="613" spans="1:44" ht="16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S613" s="3"/>
      <c r="T613" s="3"/>
      <c r="U613" s="3"/>
      <c r="V613" s="3"/>
      <c r="W613" s="3"/>
      <c r="X613" s="3"/>
      <c r="Y613" s="3"/>
      <c r="Z613" s="3"/>
      <c r="AB613" s="3"/>
      <c r="AC613" s="3"/>
      <c r="AD613" s="3"/>
      <c r="AE613" s="3"/>
      <c r="AF613" s="3"/>
      <c r="AG613" s="3"/>
      <c r="AH613" s="3"/>
      <c r="AI613" s="3"/>
      <c r="AK613" s="3"/>
      <c r="AL613" s="3"/>
      <c r="AM613" s="3"/>
      <c r="AN613" s="3"/>
      <c r="AO613" s="3"/>
      <c r="AP613" s="3"/>
      <c r="AQ613" s="3"/>
      <c r="AR613" s="3"/>
    </row>
    <row r="614" spans="1:44" ht="16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S614" s="3"/>
      <c r="T614" s="3"/>
      <c r="U614" s="3"/>
      <c r="V614" s="3"/>
      <c r="W614" s="3"/>
      <c r="X614" s="3"/>
      <c r="Y614" s="3"/>
      <c r="Z614" s="3"/>
      <c r="AB614" s="3"/>
      <c r="AC614" s="3"/>
      <c r="AD614" s="3"/>
      <c r="AE614" s="3"/>
      <c r="AF614" s="3"/>
      <c r="AG614" s="3"/>
      <c r="AH614" s="3"/>
      <c r="AI614" s="3"/>
      <c r="AK614" s="3"/>
      <c r="AL614" s="3"/>
      <c r="AM614" s="3"/>
      <c r="AN614" s="3"/>
      <c r="AO614" s="3"/>
      <c r="AP614" s="3"/>
      <c r="AQ614" s="3"/>
      <c r="AR614" s="3"/>
    </row>
    <row r="615" spans="1:44" ht="16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S615" s="3"/>
      <c r="T615" s="3"/>
      <c r="U615" s="3"/>
      <c r="V615" s="3"/>
      <c r="W615" s="3"/>
      <c r="X615" s="3"/>
      <c r="Y615" s="3"/>
      <c r="Z615" s="3"/>
      <c r="AB615" s="3"/>
      <c r="AC615" s="3"/>
      <c r="AD615" s="3"/>
      <c r="AE615" s="3"/>
      <c r="AF615" s="3"/>
      <c r="AG615" s="3"/>
      <c r="AH615" s="3"/>
      <c r="AI615" s="3"/>
      <c r="AK615" s="3"/>
      <c r="AL615" s="3"/>
      <c r="AM615" s="3"/>
      <c r="AN615" s="3"/>
      <c r="AO615" s="3"/>
      <c r="AP615" s="3"/>
      <c r="AQ615" s="3"/>
      <c r="AR615" s="3"/>
    </row>
    <row r="616" spans="1:44" ht="16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S616" s="3"/>
      <c r="T616" s="3"/>
      <c r="U616" s="3"/>
      <c r="V616" s="3"/>
      <c r="W616" s="3"/>
      <c r="X616" s="3"/>
      <c r="Y616" s="3"/>
      <c r="Z616" s="3"/>
      <c r="AB616" s="3"/>
      <c r="AC616" s="3"/>
      <c r="AD616" s="3"/>
      <c r="AE616" s="3"/>
      <c r="AF616" s="3"/>
      <c r="AG616" s="3"/>
      <c r="AH616" s="3"/>
      <c r="AI616" s="3"/>
      <c r="AK616" s="3"/>
      <c r="AL616" s="3"/>
      <c r="AM616" s="3"/>
      <c r="AN616" s="3"/>
      <c r="AO616" s="3"/>
      <c r="AP616" s="3"/>
      <c r="AQ616" s="3"/>
      <c r="AR616" s="3"/>
    </row>
    <row r="617" spans="1:44" ht="16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S617" s="3"/>
      <c r="T617" s="3"/>
      <c r="U617" s="3"/>
      <c r="V617" s="3"/>
      <c r="W617" s="3"/>
      <c r="X617" s="3"/>
      <c r="Y617" s="3"/>
      <c r="Z617" s="3"/>
      <c r="AB617" s="3"/>
      <c r="AC617" s="3"/>
      <c r="AD617" s="3"/>
      <c r="AE617" s="3"/>
      <c r="AF617" s="3"/>
      <c r="AG617" s="3"/>
      <c r="AH617" s="3"/>
      <c r="AI617" s="3"/>
      <c r="AK617" s="3"/>
      <c r="AL617" s="3"/>
      <c r="AM617" s="3"/>
      <c r="AN617" s="3"/>
      <c r="AO617" s="3"/>
      <c r="AP617" s="3"/>
      <c r="AQ617" s="3"/>
      <c r="AR617" s="3"/>
    </row>
    <row r="618" spans="1:44" ht="16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S618" s="3"/>
      <c r="T618" s="3"/>
      <c r="U618" s="3"/>
      <c r="V618" s="3"/>
      <c r="W618" s="3"/>
      <c r="X618" s="3"/>
      <c r="Y618" s="3"/>
      <c r="Z618" s="3"/>
      <c r="AB618" s="3"/>
      <c r="AC618" s="3"/>
      <c r="AD618" s="3"/>
      <c r="AE618" s="3"/>
      <c r="AF618" s="3"/>
      <c r="AG618" s="3"/>
      <c r="AH618" s="3"/>
      <c r="AI618" s="3"/>
      <c r="AK618" s="3"/>
      <c r="AL618" s="3"/>
      <c r="AM618" s="3"/>
      <c r="AN618" s="3"/>
      <c r="AO618" s="3"/>
      <c r="AP618" s="3"/>
      <c r="AQ618" s="3"/>
      <c r="AR618" s="3"/>
    </row>
    <row r="619" spans="1:44" ht="16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S619" s="3"/>
      <c r="T619" s="3"/>
      <c r="U619" s="3"/>
      <c r="V619" s="3"/>
      <c r="W619" s="3"/>
      <c r="X619" s="3"/>
      <c r="Y619" s="3"/>
      <c r="Z619" s="3"/>
      <c r="AB619" s="3"/>
      <c r="AC619" s="3"/>
      <c r="AD619" s="3"/>
      <c r="AE619" s="3"/>
      <c r="AF619" s="3"/>
      <c r="AG619" s="3"/>
      <c r="AH619" s="3"/>
      <c r="AI619" s="3"/>
      <c r="AK619" s="3"/>
      <c r="AL619" s="3"/>
      <c r="AM619" s="3"/>
      <c r="AN619" s="3"/>
      <c r="AO619" s="3"/>
      <c r="AP619" s="3"/>
      <c r="AQ619" s="3"/>
      <c r="AR619" s="3"/>
    </row>
    <row r="620" spans="1:44" ht="16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S620" s="3"/>
      <c r="T620" s="3"/>
      <c r="U620" s="3"/>
      <c r="V620" s="3"/>
      <c r="W620" s="3"/>
      <c r="X620" s="3"/>
      <c r="Y620" s="3"/>
      <c r="Z620" s="3"/>
      <c r="AB620" s="3"/>
      <c r="AC620" s="3"/>
      <c r="AD620" s="3"/>
      <c r="AE620" s="3"/>
      <c r="AF620" s="3"/>
      <c r="AG620" s="3"/>
      <c r="AH620" s="3"/>
      <c r="AI620" s="3"/>
      <c r="AK620" s="3"/>
      <c r="AL620" s="3"/>
      <c r="AM620" s="3"/>
      <c r="AN620" s="3"/>
      <c r="AO620" s="3"/>
      <c r="AP620" s="3"/>
      <c r="AQ620" s="3"/>
      <c r="AR620" s="3"/>
    </row>
    <row r="621" spans="1:44" ht="16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S621" s="3"/>
      <c r="T621" s="3"/>
      <c r="U621" s="3"/>
      <c r="V621" s="3"/>
      <c r="W621" s="3"/>
      <c r="X621" s="3"/>
      <c r="Y621" s="3"/>
      <c r="Z621" s="3"/>
      <c r="AB621" s="3"/>
      <c r="AC621" s="3"/>
      <c r="AD621" s="3"/>
      <c r="AE621" s="3"/>
      <c r="AF621" s="3"/>
      <c r="AG621" s="3"/>
      <c r="AH621" s="3"/>
      <c r="AI621" s="3"/>
      <c r="AK621" s="3"/>
      <c r="AL621" s="3"/>
      <c r="AM621" s="3"/>
      <c r="AN621" s="3"/>
      <c r="AO621" s="3"/>
      <c r="AP621" s="3"/>
      <c r="AQ621" s="3"/>
      <c r="AR621" s="3"/>
    </row>
    <row r="622" spans="1:44" ht="16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S622" s="3"/>
      <c r="T622" s="3"/>
      <c r="U622" s="3"/>
      <c r="V622" s="3"/>
      <c r="W622" s="3"/>
      <c r="X622" s="3"/>
      <c r="Y622" s="3"/>
      <c r="Z622" s="3"/>
      <c r="AB622" s="3"/>
      <c r="AC622" s="3"/>
      <c r="AD622" s="3"/>
      <c r="AE622" s="3"/>
      <c r="AF622" s="3"/>
      <c r="AG622" s="3"/>
      <c r="AH622" s="3"/>
      <c r="AI622" s="3"/>
      <c r="AK622" s="3"/>
      <c r="AL622" s="3"/>
      <c r="AM622" s="3"/>
      <c r="AN622" s="3"/>
      <c r="AO622" s="3"/>
      <c r="AP622" s="3"/>
      <c r="AQ622" s="3"/>
      <c r="AR622" s="3"/>
    </row>
    <row r="623" spans="1:44" ht="16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S623" s="3"/>
      <c r="T623" s="3"/>
      <c r="U623" s="3"/>
      <c r="V623" s="3"/>
      <c r="W623" s="3"/>
      <c r="X623" s="3"/>
      <c r="Y623" s="3"/>
      <c r="Z623" s="3"/>
      <c r="AB623" s="3"/>
      <c r="AC623" s="3"/>
      <c r="AD623" s="3"/>
      <c r="AE623" s="3"/>
      <c r="AF623" s="3"/>
      <c r="AG623" s="3"/>
      <c r="AH623" s="3"/>
      <c r="AI623" s="3"/>
      <c r="AK623" s="3"/>
      <c r="AL623" s="3"/>
      <c r="AM623" s="3"/>
      <c r="AN623" s="3"/>
      <c r="AO623" s="3"/>
      <c r="AP623" s="3"/>
      <c r="AQ623" s="3"/>
      <c r="AR623" s="3"/>
    </row>
    <row r="624" spans="1:44" ht="16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S624" s="3"/>
      <c r="T624" s="3"/>
      <c r="U624" s="3"/>
      <c r="V624" s="3"/>
      <c r="W624" s="3"/>
      <c r="X624" s="3"/>
      <c r="Y624" s="3"/>
      <c r="Z624" s="3"/>
      <c r="AB624" s="3"/>
      <c r="AC624" s="3"/>
      <c r="AD624" s="3"/>
      <c r="AE624" s="3"/>
      <c r="AF624" s="3"/>
      <c r="AG624" s="3"/>
      <c r="AH624" s="3"/>
      <c r="AI624" s="3"/>
      <c r="AK624" s="3"/>
      <c r="AL624" s="3"/>
      <c r="AM624" s="3"/>
      <c r="AN624" s="3"/>
      <c r="AO624" s="3"/>
      <c r="AP624" s="3"/>
      <c r="AQ624" s="3"/>
      <c r="AR624" s="3"/>
    </row>
    <row r="625" spans="1:44" ht="16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S625" s="3"/>
      <c r="T625" s="3"/>
      <c r="U625" s="3"/>
      <c r="V625" s="3"/>
      <c r="W625" s="3"/>
      <c r="X625" s="3"/>
      <c r="Y625" s="3"/>
      <c r="Z625" s="3"/>
      <c r="AB625" s="3"/>
      <c r="AC625" s="3"/>
      <c r="AD625" s="3"/>
      <c r="AE625" s="3"/>
      <c r="AF625" s="3"/>
      <c r="AG625" s="3"/>
      <c r="AH625" s="3"/>
      <c r="AI625" s="3"/>
      <c r="AK625" s="3"/>
      <c r="AL625" s="3"/>
      <c r="AM625" s="3"/>
      <c r="AN625" s="3"/>
      <c r="AO625" s="3"/>
      <c r="AP625" s="3"/>
      <c r="AQ625" s="3"/>
      <c r="AR625" s="3"/>
    </row>
    <row r="626" spans="1:44" ht="16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S626" s="3"/>
      <c r="T626" s="3"/>
      <c r="U626" s="3"/>
      <c r="V626" s="3"/>
      <c r="W626" s="3"/>
      <c r="X626" s="3"/>
      <c r="Y626" s="3"/>
      <c r="Z626" s="3"/>
      <c r="AB626" s="3"/>
      <c r="AC626" s="3"/>
      <c r="AD626" s="3"/>
      <c r="AE626" s="3"/>
      <c r="AF626" s="3"/>
      <c r="AG626" s="3"/>
      <c r="AH626" s="3"/>
      <c r="AI626" s="3"/>
      <c r="AK626" s="3"/>
      <c r="AL626" s="3"/>
      <c r="AM626" s="3"/>
      <c r="AN626" s="3"/>
      <c r="AO626" s="3"/>
      <c r="AP626" s="3"/>
      <c r="AQ626" s="3"/>
      <c r="AR626" s="3"/>
    </row>
    <row r="627" spans="1:44" ht="16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S627" s="3"/>
      <c r="T627" s="3"/>
      <c r="U627" s="3"/>
      <c r="V627" s="3"/>
      <c r="W627" s="3"/>
      <c r="X627" s="3"/>
      <c r="Y627" s="3"/>
      <c r="Z627" s="3"/>
      <c r="AB627" s="3"/>
      <c r="AC627" s="3"/>
      <c r="AD627" s="3"/>
      <c r="AE627" s="3"/>
      <c r="AF627" s="3"/>
      <c r="AG627" s="3"/>
      <c r="AH627" s="3"/>
      <c r="AI627" s="3"/>
      <c r="AK627" s="3"/>
      <c r="AL627" s="3"/>
      <c r="AM627" s="3"/>
      <c r="AN627" s="3"/>
      <c r="AO627" s="3"/>
      <c r="AP627" s="3"/>
      <c r="AQ627" s="3"/>
      <c r="AR627" s="3"/>
    </row>
    <row r="628" spans="1:44" ht="16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S628" s="3"/>
      <c r="T628" s="3"/>
      <c r="U628" s="3"/>
      <c r="V628" s="3"/>
      <c r="W628" s="3"/>
      <c r="X628" s="3"/>
      <c r="Y628" s="3"/>
      <c r="Z628" s="3"/>
      <c r="AB628" s="3"/>
      <c r="AC628" s="3"/>
      <c r="AD628" s="3"/>
      <c r="AE628" s="3"/>
      <c r="AF628" s="3"/>
      <c r="AG628" s="3"/>
      <c r="AH628" s="3"/>
      <c r="AI628" s="3"/>
      <c r="AK628" s="3"/>
      <c r="AL628" s="3"/>
      <c r="AM628" s="3"/>
      <c r="AN628" s="3"/>
      <c r="AO628" s="3"/>
      <c r="AP628" s="3"/>
      <c r="AQ628" s="3"/>
      <c r="AR628" s="3"/>
    </row>
    <row r="629" spans="1:44" ht="16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S629" s="3"/>
      <c r="T629" s="3"/>
      <c r="U629" s="3"/>
      <c r="V629" s="3"/>
      <c r="W629" s="3"/>
      <c r="X629" s="3"/>
      <c r="Y629" s="3"/>
      <c r="Z629" s="3"/>
      <c r="AB629" s="3"/>
      <c r="AC629" s="3"/>
      <c r="AD629" s="3"/>
      <c r="AE629" s="3"/>
      <c r="AF629" s="3"/>
      <c r="AG629" s="3"/>
      <c r="AH629" s="3"/>
      <c r="AI629" s="3"/>
      <c r="AK629" s="3"/>
      <c r="AL629" s="3"/>
      <c r="AM629" s="3"/>
      <c r="AN629" s="3"/>
      <c r="AO629" s="3"/>
      <c r="AP629" s="3"/>
      <c r="AQ629" s="3"/>
      <c r="AR629" s="3"/>
    </row>
    <row r="630" spans="1:44" ht="16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S630" s="3"/>
      <c r="T630" s="3"/>
      <c r="U630" s="3"/>
      <c r="V630" s="3"/>
      <c r="W630" s="3"/>
      <c r="X630" s="3"/>
      <c r="Y630" s="3"/>
      <c r="Z630" s="3"/>
      <c r="AB630" s="3"/>
      <c r="AC630" s="3"/>
      <c r="AD630" s="3"/>
      <c r="AE630" s="3"/>
      <c r="AF630" s="3"/>
      <c r="AG630" s="3"/>
      <c r="AH630" s="3"/>
      <c r="AI630" s="3"/>
      <c r="AK630" s="3"/>
      <c r="AL630" s="3"/>
      <c r="AM630" s="3"/>
      <c r="AN630" s="3"/>
      <c r="AO630" s="3"/>
      <c r="AP630" s="3"/>
      <c r="AQ630" s="3"/>
      <c r="AR630" s="3"/>
    </row>
    <row r="631" spans="1:44" ht="16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S631" s="3"/>
      <c r="T631" s="3"/>
      <c r="U631" s="3"/>
      <c r="V631" s="3"/>
      <c r="W631" s="3"/>
      <c r="X631" s="3"/>
      <c r="Y631" s="3"/>
      <c r="Z631" s="3"/>
      <c r="AB631" s="3"/>
      <c r="AC631" s="3"/>
      <c r="AD631" s="3"/>
      <c r="AE631" s="3"/>
      <c r="AF631" s="3"/>
      <c r="AG631" s="3"/>
      <c r="AH631" s="3"/>
      <c r="AI631" s="3"/>
      <c r="AK631" s="3"/>
      <c r="AL631" s="3"/>
      <c r="AM631" s="3"/>
      <c r="AN631" s="3"/>
      <c r="AO631" s="3"/>
      <c r="AP631" s="3"/>
      <c r="AQ631" s="3"/>
      <c r="AR631" s="3"/>
    </row>
    <row r="632" spans="1:44" ht="16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S632" s="3"/>
      <c r="T632" s="3"/>
      <c r="U632" s="3"/>
      <c r="V632" s="3"/>
      <c r="W632" s="3"/>
      <c r="X632" s="3"/>
      <c r="Y632" s="3"/>
      <c r="Z632" s="3"/>
      <c r="AB632" s="3"/>
      <c r="AC632" s="3"/>
      <c r="AD632" s="3"/>
      <c r="AE632" s="3"/>
      <c r="AF632" s="3"/>
      <c r="AG632" s="3"/>
      <c r="AH632" s="3"/>
      <c r="AI632" s="3"/>
      <c r="AK632" s="3"/>
      <c r="AL632" s="3"/>
      <c r="AM632" s="3"/>
      <c r="AN632" s="3"/>
      <c r="AO632" s="3"/>
      <c r="AP632" s="3"/>
      <c r="AQ632" s="3"/>
      <c r="AR632" s="3"/>
    </row>
    <row r="633" spans="1:44" ht="16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S633" s="3"/>
      <c r="T633" s="3"/>
      <c r="U633" s="3"/>
      <c r="V633" s="3"/>
      <c r="W633" s="3"/>
      <c r="X633" s="3"/>
      <c r="Y633" s="3"/>
      <c r="Z633" s="3"/>
      <c r="AB633" s="3"/>
      <c r="AC633" s="3"/>
      <c r="AD633" s="3"/>
      <c r="AE633" s="3"/>
      <c r="AF633" s="3"/>
      <c r="AG633" s="3"/>
      <c r="AH633" s="3"/>
      <c r="AI633" s="3"/>
      <c r="AK633" s="3"/>
      <c r="AL633" s="3"/>
      <c r="AM633" s="3"/>
      <c r="AN633" s="3"/>
      <c r="AO633" s="3"/>
      <c r="AP633" s="3"/>
      <c r="AQ633" s="3"/>
      <c r="AR633" s="3"/>
    </row>
    <row r="634" spans="1:44" ht="16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S634" s="3"/>
      <c r="T634" s="3"/>
      <c r="U634" s="3"/>
      <c r="V634" s="3"/>
      <c r="W634" s="3"/>
      <c r="X634" s="3"/>
      <c r="Y634" s="3"/>
      <c r="Z634" s="3"/>
      <c r="AB634" s="3"/>
      <c r="AC634" s="3"/>
      <c r="AD634" s="3"/>
      <c r="AE634" s="3"/>
      <c r="AF634" s="3"/>
      <c r="AG634" s="3"/>
      <c r="AH634" s="3"/>
      <c r="AI634" s="3"/>
      <c r="AK634" s="3"/>
      <c r="AL634" s="3"/>
      <c r="AM634" s="3"/>
      <c r="AN634" s="3"/>
      <c r="AO634" s="3"/>
      <c r="AP634" s="3"/>
      <c r="AQ634" s="3"/>
      <c r="AR634" s="3"/>
    </row>
    <row r="635" spans="1:44" ht="16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S635" s="3"/>
      <c r="T635" s="3"/>
      <c r="U635" s="3"/>
      <c r="V635" s="3"/>
      <c r="W635" s="3"/>
      <c r="X635" s="3"/>
      <c r="Y635" s="3"/>
      <c r="Z635" s="3"/>
      <c r="AB635" s="3"/>
      <c r="AC635" s="3"/>
      <c r="AD635" s="3"/>
      <c r="AE635" s="3"/>
      <c r="AF635" s="3"/>
      <c r="AG635" s="3"/>
      <c r="AH635" s="3"/>
      <c r="AI635" s="3"/>
      <c r="AK635" s="3"/>
      <c r="AL635" s="3"/>
      <c r="AM635" s="3"/>
      <c r="AN635" s="3"/>
      <c r="AO635" s="3"/>
      <c r="AP635" s="3"/>
      <c r="AQ635" s="3"/>
      <c r="AR635" s="3"/>
    </row>
    <row r="636" spans="1:44" ht="16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S636" s="3"/>
      <c r="T636" s="3"/>
      <c r="U636" s="3"/>
      <c r="V636" s="3"/>
      <c r="W636" s="3"/>
      <c r="X636" s="3"/>
      <c r="Y636" s="3"/>
      <c r="Z636" s="3"/>
      <c r="AB636" s="3"/>
      <c r="AC636" s="3"/>
      <c r="AD636" s="3"/>
      <c r="AE636" s="3"/>
      <c r="AF636" s="3"/>
      <c r="AG636" s="3"/>
      <c r="AH636" s="3"/>
      <c r="AI636" s="3"/>
      <c r="AK636" s="3"/>
      <c r="AL636" s="3"/>
      <c r="AM636" s="3"/>
      <c r="AN636" s="3"/>
      <c r="AO636" s="3"/>
      <c r="AP636" s="3"/>
      <c r="AQ636" s="3"/>
      <c r="AR636" s="3"/>
    </row>
    <row r="637" spans="1:44" ht="16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S637" s="3"/>
      <c r="T637" s="3"/>
      <c r="U637" s="3"/>
      <c r="V637" s="3"/>
      <c r="W637" s="3"/>
      <c r="X637" s="3"/>
      <c r="Y637" s="3"/>
      <c r="Z637" s="3"/>
      <c r="AB637" s="3"/>
      <c r="AC637" s="3"/>
      <c r="AD637" s="3"/>
      <c r="AE637" s="3"/>
      <c r="AF637" s="3"/>
      <c r="AG637" s="3"/>
      <c r="AH637" s="3"/>
      <c r="AI637" s="3"/>
      <c r="AK637" s="3"/>
      <c r="AL637" s="3"/>
      <c r="AM637" s="3"/>
      <c r="AN637" s="3"/>
      <c r="AO637" s="3"/>
      <c r="AP637" s="3"/>
      <c r="AQ637" s="3"/>
      <c r="AR637" s="3"/>
    </row>
    <row r="638" spans="1:44" ht="16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S638" s="3"/>
      <c r="T638" s="3"/>
      <c r="U638" s="3"/>
      <c r="V638" s="3"/>
      <c r="W638" s="3"/>
      <c r="X638" s="3"/>
      <c r="Y638" s="3"/>
      <c r="Z638" s="3"/>
      <c r="AB638" s="3"/>
      <c r="AC638" s="3"/>
      <c r="AD638" s="3"/>
      <c r="AE638" s="3"/>
      <c r="AF638" s="3"/>
      <c r="AG638" s="3"/>
      <c r="AH638" s="3"/>
      <c r="AI638" s="3"/>
      <c r="AK638" s="3"/>
      <c r="AL638" s="3"/>
      <c r="AM638" s="3"/>
      <c r="AN638" s="3"/>
      <c r="AO638" s="3"/>
      <c r="AP638" s="3"/>
      <c r="AQ638" s="3"/>
      <c r="AR638" s="3"/>
    </row>
    <row r="639" spans="1:44" ht="16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S639" s="3"/>
      <c r="T639" s="3"/>
      <c r="U639" s="3"/>
      <c r="V639" s="3"/>
      <c r="W639" s="3"/>
      <c r="X639" s="3"/>
      <c r="Y639" s="3"/>
      <c r="Z639" s="3"/>
      <c r="AB639" s="3"/>
      <c r="AC639" s="3"/>
      <c r="AD639" s="3"/>
      <c r="AE639" s="3"/>
      <c r="AF639" s="3"/>
      <c r="AG639" s="3"/>
      <c r="AH639" s="3"/>
      <c r="AI639" s="3"/>
      <c r="AK639" s="3"/>
      <c r="AL639" s="3"/>
      <c r="AM639" s="3"/>
      <c r="AN639" s="3"/>
      <c r="AO639" s="3"/>
      <c r="AP639" s="3"/>
      <c r="AQ639" s="3"/>
      <c r="AR639" s="3"/>
    </row>
    <row r="640" spans="1:44" ht="16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S640" s="3"/>
      <c r="T640" s="3"/>
      <c r="U640" s="3"/>
      <c r="V640" s="3"/>
      <c r="W640" s="3"/>
      <c r="X640" s="3"/>
      <c r="Y640" s="3"/>
      <c r="Z640" s="3"/>
      <c r="AB640" s="3"/>
      <c r="AC640" s="3"/>
      <c r="AD640" s="3"/>
      <c r="AE640" s="3"/>
      <c r="AF640" s="3"/>
      <c r="AG640" s="3"/>
      <c r="AH640" s="3"/>
      <c r="AI640" s="3"/>
      <c r="AK640" s="3"/>
      <c r="AL640" s="3"/>
      <c r="AM640" s="3"/>
      <c r="AN640" s="3"/>
      <c r="AO640" s="3"/>
      <c r="AP640" s="3"/>
      <c r="AQ640" s="3"/>
      <c r="AR640" s="3"/>
    </row>
    <row r="641" spans="1:44" ht="16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S641" s="3"/>
      <c r="T641" s="3"/>
      <c r="U641" s="3"/>
      <c r="V641" s="3"/>
      <c r="W641" s="3"/>
      <c r="X641" s="3"/>
      <c r="Y641" s="3"/>
      <c r="Z641" s="3"/>
      <c r="AB641" s="3"/>
      <c r="AC641" s="3"/>
      <c r="AD641" s="3"/>
      <c r="AE641" s="3"/>
      <c r="AF641" s="3"/>
      <c r="AG641" s="3"/>
      <c r="AH641" s="3"/>
      <c r="AI641" s="3"/>
      <c r="AK641" s="3"/>
      <c r="AL641" s="3"/>
      <c r="AM641" s="3"/>
      <c r="AN641" s="3"/>
      <c r="AO641" s="3"/>
      <c r="AP641" s="3"/>
      <c r="AQ641" s="3"/>
      <c r="AR641" s="3"/>
    </row>
    <row r="642" spans="1:44" ht="16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S642" s="3"/>
      <c r="T642" s="3"/>
      <c r="U642" s="3"/>
      <c r="V642" s="3"/>
      <c r="W642" s="3"/>
      <c r="X642" s="3"/>
      <c r="Y642" s="3"/>
      <c r="Z642" s="3"/>
      <c r="AB642" s="3"/>
      <c r="AC642" s="3"/>
      <c r="AD642" s="3"/>
      <c r="AE642" s="3"/>
      <c r="AF642" s="3"/>
      <c r="AG642" s="3"/>
      <c r="AH642" s="3"/>
      <c r="AI642" s="3"/>
      <c r="AK642" s="3"/>
      <c r="AL642" s="3"/>
      <c r="AM642" s="3"/>
      <c r="AN642" s="3"/>
      <c r="AO642" s="3"/>
      <c r="AP642" s="3"/>
      <c r="AQ642" s="3"/>
      <c r="AR642" s="3"/>
    </row>
    <row r="643" spans="1:44" ht="16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S643" s="3"/>
      <c r="T643" s="3"/>
      <c r="U643" s="3"/>
      <c r="V643" s="3"/>
      <c r="W643" s="3"/>
      <c r="X643" s="3"/>
      <c r="Y643" s="3"/>
      <c r="Z643" s="3"/>
      <c r="AB643" s="3"/>
      <c r="AC643" s="3"/>
      <c r="AD643" s="3"/>
      <c r="AE643" s="3"/>
      <c r="AF643" s="3"/>
      <c r="AG643" s="3"/>
      <c r="AH643" s="3"/>
      <c r="AI643" s="3"/>
      <c r="AK643" s="3"/>
      <c r="AL643" s="3"/>
      <c r="AM643" s="3"/>
      <c r="AN643" s="3"/>
      <c r="AO643" s="3"/>
      <c r="AP643" s="3"/>
      <c r="AQ643" s="3"/>
      <c r="AR643" s="3"/>
    </row>
    <row r="644" spans="1:44" ht="16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S644" s="3"/>
      <c r="T644" s="3"/>
      <c r="U644" s="3"/>
      <c r="V644" s="3"/>
      <c r="W644" s="3"/>
      <c r="X644" s="3"/>
      <c r="Y644" s="3"/>
      <c r="Z644" s="3"/>
      <c r="AB644" s="3"/>
      <c r="AC644" s="3"/>
      <c r="AD644" s="3"/>
      <c r="AE644" s="3"/>
      <c r="AF644" s="3"/>
      <c r="AG644" s="3"/>
      <c r="AH644" s="3"/>
      <c r="AI644" s="3"/>
      <c r="AK644" s="3"/>
      <c r="AL644" s="3"/>
      <c r="AM644" s="3"/>
      <c r="AN644" s="3"/>
      <c r="AO644" s="3"/>
      <c r="AP644" s="3"/>
      <c r="AQ644" s="3"/>
      <c r="AR644" s="3"/>
    </row>
    <row r="645" spans="1:44" ht="16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S645" s="3"/>
      <c r="T645" s="3"/>
      <c r="U645" s="3"/>
      <c r="V645" s="3"/>
      <c r="W645" s="3"/>
      <c r="X645" s="3"/>
      <c r="Y645" s="3"/>
      <c r="Z645" s="3"/>
      <c r="AB645" s="3"/>
      <c r="AC645" s="3"/>
      <c r="AD645" s="3"/>
      <c r="AE645" s="3"/>
      <c r="AF645" s="3"/>
      <c r="AG645" s="3"/>
      <c r="AH645" s="3"/>
      <c r="AI645" s="3"/>
      <c r="AK645" s="3"/>
      <c r="AL645" s="3"/>
      <c r="AM645" s="3"/>
      <c r="AN645" s="3"/>
      <c r="AO645" s="3"/>
      <c r="AP645" s="3"/>
      <c r="AQ645" s="3"/>
      <c r="AR645" s="3"/>
    </row>
    <row r="646" spans="1:44" ht="16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S646" s="3"/>
      <c r="T646" s="3"/>
      <c r="U646" s="3"/>
      <c r="V646" s="3"/>
      <c r="W646" s="3"/>
      <c r="X646" s="3"/>
      <c r="Y646" s="3"/>
      <c r="Z646" s="3"/>
      <c r="AB646" s="3"/>
      <c r="AC646" s="3"/>
      <c r="AD646" s="3"/>
      <c r="AE646" s="3"/>
      <c r="AF646" s="3"/>
      <c r="AG646" s="3"/>
      <c r="AH646" s="3"/>
      <c r="AI646" s="3"/>
      <c r="AK646" s="3"/>
      <c r="AL646" s="3"/>
      <c r="AM646" s="3"/>
      <c r="AN646" s="3"/>
      <c r="AO646" s="3"/>
      <c r="AP646" s="3"/>
      <c r="AQ646" s="3"/>
      <c r="AR646" s="3"/>
    </row>
    <row r="647" spans="1:44" ht="16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S647" s="3"/>
      <c r="T647" s="3"/>
      <c r="U647" s="3"/>
      <c r="V647" s="3"/>
      <c r="W647" s="3"/>
      <c r="X647" s="3"/>
      <c r="Y647" s="3"/>
      <c r="Z647" s="3"/>
      <c r="AB647" s="3"/>
      <c r="AC647" s="3"/>
      <c r="AD647" s="3"/>
      <c r="AE647" s="3"/>
      <c r="AF647" s="3"/>
      <c r="AG647" s="3"/>
      <c r="AH647" s="3"/>
      <c r="AI647" s="3"/>
      <c r="AK647" s="3"/>
      <c r="AL647" s="3"/>
      <c r="AM647" s="3"/>
      <c r="AN647" s="3"/>
      <c r="AO647" s="3"/>
      <c r="AP647" s="3"/>
      <c r="AQ647" s="3"/>
      <c r="AR647" s="3"/>
    </row>
    <row r="648" spans="1:44" ht="16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S648" s="3"/>
      <c r="T648" s="3"/>
      <c r="U648" s="3"/>
      <c r="V648" s="3"/>
      <c r="W648" s="3"/>
      <c r="X648" s="3"/>
      <c r="Y648" s="3"/>
      <c r="Z648" s="3"/>
      <c r="AB648" s="3"/>
      <c r="AC648" s="3"/>
      <c r="AD648" s="3"/>
      <c r="AE648" s="3"/>
      <c r="AF648" s="3"/>
      <c r="AG648" s="3"/>
      <c r="AH648" s="3"/>
      <c r="AI648" s="3"/>
      <c r="AK648" s="3"/>
      <c r="AL648" s="3"/>
      <c r="AM648" s="3"/>
      <c r="AN648" s="3"/>
      <c r="AO648" s="3"/>
      <c r="AP648" s="3"/>
      <c r="AQ648" s="3"/>
      <c r="AR648" s="3"/>
    </row>
    <row r="649" spans="1:44" ht="16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S649" s="3"/>
      <c r="T649" s="3"/>
      <c r="U649" s="3"/>
      <c r="V649" s="3"/>
      <c r="W649" s="3"/>
      <c r="X649" s="3"/>
      <c r="Y649" s="3"/>
      <c r="Z649" s="3"/>
      <c r="AB649" s="3"/>
      <c r="AC649" s="3"/>
      <c r="AD649" s="3"/>
      <c r="AE649" s="3"/>
      <c r="AF649" s="3"/>
      <c r="AG649" s="3"/>
      <c r="AH649" s="3"/>
      <c r="AI649" s="3"/>
      <c r="AK649" s="3"/>
      <c r="AL649" s="3"/>
      <c r="AM649" s="3"/>
      <c r="AN649" s="3"/>
      <c r="AO649" s="3"/>
      <c r="AP649" s="3"/>
      <c r="AQ649" s="3"/>
      <c r="AR649" s="3"/>
    </row>
    <row r="650" spans="1:44" ht="16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S650" s="3"/>
      <c r="T650" s="3"/>
      <c r="U650" s="3"/>
      <c r="V650" s="3"/>
      <c r="W650" s="3"/>
      <c r="X650" s="3"/>
      <c r="Y650" s="3"/>
      <c r="Z650" s="3"/>
      <c r="AB650" s="3"/>
      <c r="AC650" s="3"/>
      <c r="AD650" s="3"/>
      <c r="AE650" s="3"/>
      <c r="AF650" s="3"/>
      <c r="AG650" s="3"/>
      <c r="AH650" s="3"/>
      <c r="AI650" s="3"/>
      <c r="AK650" s="3"/>
      <c r="AL650" s="3"/>
      <c r="AM650" s="3"/>
      <c r="AN650" s="3"/>
      <c r="AO650" s="3"/>
      <c r="AP650" s="3"/>
      <c r="AQ650" s="3"/>
      <c r="AR650" s="3"/>
    </row>
    <row r="651" spans="1:44" ht="16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S651" s="3"/>
      <c r="T651" s="3"/>
      <c r="U651" s="3"/>
      <c r="V651" s="3"/>
      <c r="W651" s="3"/>
      <c r="X651" s="3"/>
      <c r="Y651" s="3"/>
      <c r="Z651" s="3"/>
      <c r="AB651" s="3"/>
      <c r="AC651" s="3"/>
      <c r="AD651" s="3"/>
      <c r="AE651" s="3"/>
      <c r="AF651" s="3"/>
      <c r="AG651" s="3"/>
      <c r="AH651" s="3"/>
      <c r="AI651" s="3"/>
      <c r="AK651" s="3"/>
      <c r="AL651" s="3"/>
      <c r="AM651" s="3"/>
      <c r="AN651" s="3"/>
      <c r="AO651" s="3"/>
      <c r="AP651" s="3"/>
      <c r="AQ651" s="3"/>
      <c r="AR651" s="3"/>
    </row>
    <row r="652" spans="1:44" ht="16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S652" s="3"/>
      <c r="T652" s="3"/>
      <c r="U652" s="3"/>
      <c r="V652" s="3"/>
      <c r="W652" s="3"/>
      <c r="X652" s="3"/>
      <c r="Y652" s="3"/>
      <c r="Z652" s="3"/>
      <c r="AB652" s="3"/>
      <c r="AC652" s="3"/>
      <c r="AD652" s="3"/>
      <c r="AE652" s="3"/>
      <c r="AF652" s="3"/>
      <c r="AG652" s="3"/>
      <c r="AH652" s="3"/>
      <c r="AI652" s="3"/>
      <c r="AK652" s="3"/>
      <c r="AL652" s="3"/>
      <c r="AM652" s="3"/>
      <c r="AN652" s="3"/>
      <c r="AO652" s="3"/>
      <c r="AP652" s="3"/>
      <c r="AQ652" s="3"/>
      <c r="AR652" s="3"/>
    </row>
    <row r="653" spans="1:44" ht="16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S653" s="3"/>
      <c r="T653" s="3"/>
      <c r="U653" s="3"/>
      <c r="V653" s="3"/>
      <c r="W653" s="3"/>
      <c r="X653" s="3"/>
      <c r="Y653" s="3"/>
      <c r="Z653" s="3"/>
      <c r="AB653" s="3"/>
      <c r="AC653" s="3"/>
      <c r="AD653" s="3"/>
      <c r="AE653" s="3"/>
      <c r="AF653" s="3"/>
      <c r="AG653" s="3"/>
      <c r="AH653" s="3"/>
      <c r="AI653" s="3"/>
      <c r="AK653" s="3"/>
      <c r="AL653" s="3"/>
      <c r="AM653" s="3"/>
      <c r="AN653" s="3"/>
      <c r="AO653" s="3"/>
      <c r="AP653" s="3"/>
      <c r="AQ653" s="3"/>
      <c r="AR653" s="3"/>
    </row>
    <row r="654" spans="1:44" ht="16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S654" s="3"/>
      <c r="T654" s="3"/>
      <c r="U654" s="3"/>
      <c r="V654" s="3"/>
      <c r="W654" s="3"/>
      <c r="X654" s="3"/>
      <c r="Y654" s="3"/>
      <c r="Z654" s="3"/>
      <c r="AB654" s="3"/>
      <c r="AC654" s="3"/>
      <c r="AD654" s="3"/>
      <c r="AE654" s="3"/>
      <c r="AF654" s="3"/>
      <c r="AG654" s="3"/>
      <c r="AH654" s="3"/>
      <c r="AI654" s="3"/>
      <c r="AK654" s="3"/>
      <c r="AL654" s="3"/>
      <c r="AM654" s="3"/>
      <c r="AN654" s="3"/>
      <c r="AO654" s="3"/>
      <c r="AP654" s="3"/>
      <c r="AQ654" s="3"/>
      <c r="AR654" s="3"/>
    </row>
    <row r="655" spans="1:44" ht="16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S655" s="3"/>
      <c r="T655" s="3"/>
      <c r="U655" s="3"/>
      <c r="V655" s="3"/>
      <c r="W655" s="3"/>
      <c r="X655" s="3"/>
      <c r="Y655" s="3"/>
      <c r="Z655" s="3"/>
      <c r="AB655" s="3"/>
      <c r="AC655" s="3"/>
      <c r="AD655" s="3"/>
      <c r="AE655" s="3"/>
      <c r="AF655" s="3"/>
      <c r="AG655" s="3"/>
      <c r="AH655" s="3"/>
      <c r="AI655" s="3"/>
      <c r="AK655" s="3"/>
      <c r="AL655" s="3"/>
      <c r="AM655" s="3"/>
      <c r="AN655" s="3"/>
      <c r="AO655" s="3"/>
      <c r="AP655" s="3"/>
      <c r="AQ655" s="3"/>
      <c r="AR655" s="3"/>
    </row>
    <row r="656" spans="1:44" ht="16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S656" s="3"/>
      <c r="T656" s="3"/>
      <c r="U656" s="3"/>
      <c r="V656" s="3"/>
      <c r="W656" s="3"/>
      <c r="X656" s="3"/>
      <c r="Y656" s="3"/>
      <c r="Z656" s="3"/>
      <c r="AB656" s="3"/>
      <c r="AC656" s="3"/>
      <c r="AD656" s="3"/>
      <c r="AE656" s="3"/>
      <c r="AF656" s="3"/>
      <c r="AG656" s="3"/>
      <c r="AH656" s="3"/>
      <c r="AI656" s="3"/>
      <c r="AK656" s="3"/>
      <c r="AL656" s="3"/>
      <c r="AM656" s="3"/>
      <c r="AN656" s="3"/>
      <c r="AO656" s="3"/>
      <c r="AP656" s="3"/>
      <c r="AQ656" s="3"/>
      <c r="AR656" s="3"/>
    </row>
    <row r="657" spans="1:44" ht="16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S657" s="3"/>
      <c r="T657" s="3"/>
      <c r="U657" s="3"/>
      <c r="V657" s="3"/>
      <c r="W657" s="3"/>
      <c r="X657" s="3"/>
      <c r="Y657" s="3"/>
      <c r="Z657" s="3"/>
      <c r="AB657" s="3"/>
      <c r="AC657" s="3"/>
      <c r="AD657" s="3"/>
      <c r="AE657" s="3"/>
      <c r="AF657" s="3"/>
      <c r="AG657" s="3"/>
      <c r="AH657" s="3"/>
      <c r="AI657" s="3"/>
      <c r="AK657" s="3"/>
      <c r="AL657" s="3"/>
      <c r="AM657" s="3"/>
      <c r="AN657" s="3"/>
      <c r="AO657" s="3"/>
      <c r="AP657" s="3"/>
      <c r="AQ657" s="3"/>
      <c r="AR657" s="3"/>
    </row>
    <row r="658" spans="1:44" ht="16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S658" s="3"/>
      <c r="T658" s="3"/>
      <c r="U658" s="3"/>
      <c r="V658" s="3"/>
      <c r="W658" s="3"/>
      <c r="X658" s="3"/>
      <c r="Y658" s="3"/>
      <c r="Z658" s="3"/>
      <c r="AB658" s="3"/>
      <c r="AC658" s="3"/>
      <c r="AD658" s="3"/>
      <c r="AE658" s="3"/>
      <c r="AF658" s="3"/>
      <c r="AG658" s="3"/>
      <c r="AH658" s="3"/>
      <c r="AI658" s="3"/>
      <c r="AK658" s="3"/>
      <c r="AL658" s="3"/>
      <c r="AM658" s="3"/>
      <c r="AN658" s="3"/>
      <c r="AO658" s="3"/>
      <c r="AP658" s="3"/>
      <c r="AQ658" s="3"/>
      <c r="AR658" s="3"/>
    </row>
    <row r="659" spans="1:44" ht="16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S659" s="3"/>
      <c r="T659" s="3"/>
      <c r="U659" s="3"/>
      <c r="V659" s="3"/>
      <c r="W659" s="3"/>
      <c r="X659" s="3"/>
      <c r="Y659" s="3"/>
      <c r="Z659" s="3"/>
      <c r="AB659" s="3"/>
      <c r="AC659" s="3"/>
      <c r="AD659" s="3"/>
      <c r="AE659" s="3"/>
      <c r="AF659" s="3"/>
      <c r="AG659" s="3"/>
      <c r="AH659" s="3"/>
      <c r="AI659" s="3"/>
      <c r="AK659" s="3"/>
      <c r="AL659" s="3"/>
      <c r="AM659" s="3"/>
      <c r="AN659" s="3"/>
      <c r="AO659" s="3"/>
      <c r="AP659" s="3"/>
      <c r="AQ659" s="3"/>
      <c r="AR659" s="3"/>
    </row>
    <row r="660" spans="1:44" ht="16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S660" s="3"/>
      <c r="T660" s="3"/>
      <c r="U660" s="3"/>
      <c r="V660" s="3"/>
      <c r="W660" s="3"/>
      <c r="X660" s="3"/>
      <c r="Y660" s="3"/>
      <c r="Z660" s="3"/>
      <c r="AB660" s="3"/>
      <c r="AC660" s="3"/>
      <c r="AD660" s="3"/>
      <c r="AE660" s="3"/>
      <c r="AF660" s="3"/>
      <c r="AG660" s="3"/>
      <c r="AH660" s="3"/>
      <c r="AI660" s="3"/>
      <c r="AK660" s="3"/>
      <c r="AL660" s="3"/>
      <c r="AM660" s="3"/>
      <c r="AN660" s="3"/>
      <c r="AO660" s="3"/>
      <c r="AP660" s="3"/>
      <c r="AQ660" s="3"/>
      <c r="AR660" s="3"/>
    </row>
    <row r="661" spans="1:44" ht="16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S661" s="3"/>
      <c r="T661" s="3"/>
      <c r="U661" s="3"/>
      <c r="V661" s="3"/>
      <c r="W661" s="3"/>
      <c r="X661" s="3"/>
      <c r="Y661" s="3"/>
      <c r="Z661" s="3"/>
      <c r="AB661" s="3"/>
      <c r="AC661" s="3"/>
      <c r="AD661" s="3"/>
      <c r="AE661" s="3"/>
      <c r="AF661" s="3"/>
      <c r="AG661" s="3"/>
      <c r="AH661" s="3"/>
      <c r="AI661" s="3"/>
      <c r="AK661" s="3"/>
      <c r="AL661" s="3"/>
      <c r="AM661" s="3"/>
      <c r="AN661" s="3"/>
      <c r="AO661" s="3"/>
      <c r="AP661" s="3"/>
      <c r="AQ661" s="3"/>
      <c r="AR661" s="3"/>
    </row>
    <row r="662" spans="1:44" ht="16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S662" s="3"/>
      <c r="T662" s="3"/>
      <c r="U662" s="3"/>
      <c r="V662" s="3"/>
      <c r="W662" s="3"/>
      <c r="X662" s="3"/>
      <c r="Y662" s="3"/>
      <c r="Z662" s="3"/>
      <c r="AB662" s="3"/>
      <c r="AC662" s="3"/>
      <c r="AD662" s="3"/>
      <c r="AE662" s="3"/>
      <c r="AF662" s="3"/>
      <c r="AG662" s="3"/>
      <c r="AH662" s="3"/>
      <c r="AI662" s="3"/>
      <c r="AK662" s="3"/>
      <c r="AL662" s="3"/>
      <c r="AM662" s="3"/>
      <c r="AN662" s="3"/>
      <c r="AO662" s="3"/>
      <c r="AP662" s="3"/>
      <c r="AQ662" s="3"/>
      <c r="AR662" s="3"/>
    </row>
    <row r="663" spans="1:44" ht="16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S663" s="3"/>
      <c r="T663" s="3"/>
      <c r="U663" s="3"/>
      <c r="V663" s="3"/>
      <c r="W663" s="3"/>
      <c r="X663" s="3"/>
      <c r="Y663" s="3"/>
      <c r="Z663" s="3"/>
      <c r="AB663" s="3"/>
      <c r="AC663" s="3"/>
      <c r="AD663" s="3"/>
      <c r="AE663" s="3"/>
      <c r="AF663" s="3"/>
      <c r="AG663" s="3"/>
      <c r="AH663" s="3"/>
      <c r="AI663" s="3"/>
      <c r="AK663" s="3"/>
      <c r="AL663" s="3"/>
      <c r="AM663" s="3"/>
      <c r="AN663" s="3"/>
      <c r="AO663" s="3"/>
      <c r="AP663" s="3"/>
      <c r="AQ663" s="3"/>
      <c r="AR663" s="3"/>
    </row>
    <row r="664" spans="1:44" ht="16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S664" s="3"/>
      <c r="T664" s="3"/>
      <c r="U664" s="3"/>
      <c r="V664" s="3"/>
      <c r="W664" s="3"/>
      <c r="X664" s="3"/>
      <c r="Y664" s="3"/>
      <c r="Z664" s="3"/>
      <c r="AB664" s="3"/>
      <c r="AC664" s="3"/>
      <c r="AD664" s="3"/>
      <c r="AE664" s="3"/>
      <c r="AF664" s="3"/>
      <c r="AG664" s="3"/>
      <c r="AH664" s="3"/>
      <c r="AI664" s="3"/>
      <c r="AK664" s="3"/>
      <c r="AL664" s="3"/>
      <c r="AM664" s="3"/>
      <c r="AN664" s="3"/>
      <c r="AO664" s="3"/>
      <c r="AP664" s="3"/>
      <c r="AQ664" s="3"/>
      <c r="AR664" s="3"/>
    </row>
    <row r="665" spans="1:44" ht="16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S665" s="3"/>
      <c r="T665" s="3"/>
      <c r="U665" s="3"/>
      <c r="V665" s="3"/>
      <c r="W665" s="3"/>
      <c r="X665" s="3"/>
      <c r="Y665" s="3"/>
      <c r="Z665" s="3"/>
      <c r="AB665" s="3"/>
      <c r="AC665" s="3"/>
      <c r="AD665" s="3"/>
      <c r="AE665" s="3"/>
      <c r="AF665" s="3"/>
      <c r="AG665" s="3"/>
      <c r="AH665" s="3"/>
      <c r="AI665" s="3"/>
      <c r="AK665" s="3"/>
      <c r="AL665" s="3"/>
      <c r="AM665" s="3"/>
      <c r="AN665" s="3"/>
      <c r="AO665" s="3"/>
      <c r="AP665" s="3"/>
      <c r="AQ665" s="3"/>
      <c r="AR665" s="3"/>
    </row>
    <row r="666" spans="1:44" ht="16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S666" s="3"/>
      <c r="T666" s="3"/>
      <c r="U666" s="3"/>
      <c r="V666" s="3"/>
      <c r="W666" s="3"/>
      <c r="X666" s="3"/>
      <c r="Y666" s="3"/>
      <c r="Z666" s="3"/>
      <c r="AB666" s="3"/>
      <c r="AC666" s="3"/>
      <c r="AD666" s="3"/>
      <c r="AE666" s="3"/>
      <c r="AF666" s="3"/>
      <c r="AG666" s="3"/>
      <c r="AH666" s="3"/>
      <c r="AI666" s="3"/>
      <c r="AK666" s="3"/>
      <c r="AL666" s="3"/>
      <c r="AM666" s="3"/>
      <c r="AN666" s="3"/>
      <c r="AO666" s="3"/>
      <c r="AP666" s="3"/>
      <c r="AQ666" s="3"/>
      <c r="AR666" s="3"/>
    </row>
    <row r="667" spans="1:44" ht="16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S667" s="3"/>
      <c r="T667" s="3"/>
      <c r="U667" s="3"/>
      <c r="V667" s="3"/>
      <c r="W667" s="3"/>
      <c r="X667" s="3"/>
      <c r="Y667" s="3"/>
      <c r="Z667" s="3"/>
      <c r="AB667" s="3"/>
      <c r="AC667" s="3"/>
      <c r="AD667" s="3"/>
      <c r="AE667" s="3"/>
      <c r="AF667" s="3"/>
      <c r="AG667" s="3"/>
      <c r="AH667" s="3"/>
      <c r="AI667" s="3"/>
      <c r="AK667" s="3"/>
      <c r="AL667" s="3"/>
      <c r="AM667" s="3"/>
      <c r="AN667" s="3"/>
      <c r="AO667" s="3"/>
      <c r="AP667" s="3"/>
      <c r="AQ667" s="3"/>
      <c r="AR667" s="3"/>
    </row>
    <row r="668" spans="1:44" ht="16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S668" s="3"/>
      <c r="T668" s="3"/>
      <c r="U668" s="3"/>
      <c r="V668" s="3"/>
      <c r="W668" s="3"/>
      <c r="X668" s="3"/>
      <c r="Y668" s="3"/>
      <c r="Z668" s="3"/>
      <c r="AB668" s="3"/>
      <c r="AC668" s="3"/>
      <c r="AD668" s="3"/>
      <c r="AE668" s="3"/>
      <c r="AF668" s="3"/>
      <c r="AG668" s="3"/>
      <c r="AH668" s="3"/>
      <c r="AI668" s="3"/>
      <c r="AK668" s="3"/>
      <c r="AL668" s="3"/>
      <c r="AM668" s="3"/>
      <c r="AN668" s="3"/>
      <c r="AO668" s="3"/>
      <c r="AP668" s="3"/>
      <c r="AQ668" s="3"/>
      <c r="AR668" s="3"/>
    </row>
    <row r="669" spans="1:44" ht="16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S669" s="3"/>
      <c r="T669" s="3"/>
      <c r="U669" s="3"/>
      <c r="V669" s="3"/>
      <c r="W669" s="3"/>
      <c r="X669" s="3"/>
      <c r="Y669" s="3"/>
      <c r="Z669" s="3"/>
      <c r="AB669" s="3"/>
      <c r="AC669" s="3"/>
      <c r="AD669" s="3"/>
      <c r="AE669" s="3"/>
      <c r="AF669" s="3"/>
      <c r="AG669" s="3"/>
      <c r="AH669" s="3"/>
      <c r="AI669" s="3"/>
      <c r="AK669" s="3"/>
      <c r="AL669" s="3"/>
      <c r="AM669" s="3"/>
      <c r="AN669" s="3"/>
      <c r="AO669" s="3"/>
      <c r="AP669" s="3"/>
      <c r="AQ669" s="3"/>
      <c r="AR669" s="3"/>
    </row>
    <row r="670" spans="1:44" ht="16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S670" s="3"/>
      <c r="T670" s="3"/>
      <c r="U670" s="3"/>
      <c r="V670" s="3"/>
      <c r="W670" s="3"/>
      <c r="X670" s="3"/>
      <c r="Y670" s="3"/>
      <c r="Z670" s="3"/>
      <c r="AB670" s="3"/>
      <c r="AC670" s="3"/>
      <c r="AD670" s="3"/>
      <c r="AE670" s="3"/>
      <c r="AF670" s="3"/>
      <c r="AG670" s="3"/>
      <c r="AH670" s="3"/>
      <c r="AI670" s="3"/>
      <c r="AK670" s="3"/>
      <c r="AL670" s="3"/>
      <c r="AM670" s="3"/>
      <c r="AN670" s="3"/>
      <c r="AO670" s="3"/>
      <c r="AP670" s="3"/>
      <c r="AQ670" s="3"/>
      <c r="AR670" s="3"/>
    </row>
    <row r="671" spans="1:44" ht="16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S671" s="3"/>
      <c r="T671" s="3"/>
      <c r="U671" s="3"/>
      <c r="V671" s="3"/>
      <c r="W671" s="3"/>
      <c r="X671" s="3"/>
      <c r="Y671" s="3"/>
      <c r="Z671" s="3"/>
      <c r="AB671" s="3"/>
      <c r="AC671" s="3"/>
      <c r="AD671" s="3"/>
      <c r="AE671" s="3"/>
      <c r="AF671" s="3"/>
      <c r="AG671" s="3"/>
      <c r="AH671" s="3"/>
      <c r="AI671" s="3"/>
      <c r="AK671" s="3"/>
      <c r="AL671" s="3"/>
      <c r="AM671" s="3"/>
      <c r="AN671" s="3"/>
      <c r="AO671" s="3"/>
      <c r="AP671" s="3"/>
      <c r="AQ671" s="3"/>
      <c r="AR671" s="3"/>
    </row>
    <row r="672" spans="1:44" ht="16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S672" s="3"/>
      <c r="T672" s="3"/>
      <c r="U672" s="3"/>
      <c r="V672" s="3"/>
      <c r="W672" s="3"/>
      <c r="X672" s="3"/>
      <c r="Y672" s="3"/>
      <c r="Z672" s="3"/>
      <c r="AB672" s="3"/>
      <c r="AC672" s="3"/>
      <c r="AD672" s="3"/>
      <c r="AE672" s="3"/>
      <c r="AF672" s="3"/>
      <c r="AG672" s="3"/>
      <c r="AH672" s="3"/>
      <c r="AI672" s="3"/>
      <c r="AK672" s="3"/>
      <c r="AL672" s="3"/>
      <c r="AM672" s="3"/>
      <c r="AN672" s="3"/>
      <c r="AO672" s="3"/>
      <c r="AP672" s="3"/>
      <c r="AQ672" s="3"/>
      <c r="AR672" s="3"/>
    </row>
    <row r="673" spans="1:44" ht="16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S673" s="3"/>
      <c r="T673" s="3"/>
      <c r="U673" s="3"/>
      <c r="V673" s="3"/>
      <c r="W673" s="3"/>
      <c r="X673" s="3"/>
      <c r="Y673" s="3"/>
      <c r="Z673" s="3"/>
      <c r="AB673" s="3"/>
      <c r="AC673" s="3"/>
      <c r="AD673" s="3"/>
      <c r="AE673" s="3"/>
      <c r="AF673" s="3"/>
      <c r="AG673" s="3"/>
      <c r="AH673" s="3"/>
      <c r="AI673" s="3"/>
      <c r="AK673" s="3"/>
      <c r="AL673" s="3"/>
      <c r="AM673" s="3"/>
      <c r="AN673" s="3"/>
      <c r="AO673" s="3"/>
      <c r="AP673" s="3"/>
      <c r="AQ673" s="3"/>
      <c r="AR673" s="3"/>
    </row>
    <row r="674" spans="1:44" ht="16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S674" s="3"/>
      <c r="T674" s="3"/>
      <c r="U674" s="3"/>
      <c r="V674" s="3"/>
      <c r="W674" s="3"/>
      <c r="X674" s="3"/>
      <c r="Y674" s="3"/>
      <c r="Z674" s="3"/>
      <c r="AB674" s="3"/>
      <c r="AC674" s="3"/>
      <c r="AD674" s="3"/>
      <c r="AE674" s="3"/>
      <c r="AF674" s="3"/>
      <c r="AG674" s="3"/>
      <c r="AH674" s="3"/>
      <c r="AI674" s="3"/>
      <c r="AK674" s="3"/>
      <c r="AL674" s="3"/>
      <c r="AM674" s="3"/>
      <c r="AN674" s="3"/>
      <c r="AO674" s="3"/>
      <c r="AP674" s="3"/>
      <c r="AQ674" s="3"/>
      <c r="AR674" s="3"/>
    </row>
    <row r="675" spans="1:44" ht="16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S675" s="3"/>
      <c r="T675" s="3"/>
      <c r="U675" s="3"/>
      <c r="V675" s="3"/>
      <c r="W675" s="3"/>
      <c r="X675" s="3"/>
      <c r="Y675" s="3"/>
      <c r="Z675" s="3"/>
      <c r="AB675" s="3"/>
      <c r="AC675" s="3"/>
      <c r="AD675" s="3"/>
      <c r="AE675" s="3"/>
      <c r="AF675" s="3"/>
      <c r="AG675" s="3"/>
      <c r="AH675" s="3"/>
      <c r="AI675" s="3"/>
      <c r="AK675" s="3"/>
      <c r="AL675" s="3"/>
      <c r="AM675" s="3"/>
      <c r="AN675" s="3"/>
      <c r="AO675" s="3"/>
      <c r="AP675" s="3"/>
      <c r="AQ675" s="3"/>
      <c r="AR675" s="3"/>
    </row>
    <row r="676" spans="1:44" ht="16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S676" s="3"/>
      <c r="T676" s="3"/>
      <c r="U676" s="3"/>
      <c r="V676" s="3"/>
      <c r="W676" s="3"/>
      <c r="X676" s="3"/>
      <c r="Y676" s="3"/>
      <c r="Z676" s="3"/>
      <c r="AB676" s="3"/>
      <c r="AC676" s="3"/>
      <c r="AD676" s="3"/>
      <c r="AE676" s="3"/>
      <c r="AF676" s="3"/>
      <c r="AG676" s="3"/>
      <c r="AH676" s="3"/>
      <c r="AI676" s="3"/>
      <c r="AK676" s="3"/>
      <c r="AL676" s="3"/>
      <c r="AM676" s="3"/>
      <c r="AN676" s="3"/>
      <c r="AO676" s="3"/>
      <c r="AP676" s="3"/>
      <c r="AQ676" s="3"/>
      <c r="AR676" s="3"/>
    </row>
    <row r="677" spans="1:44" ht="16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S677" s="3"/>
      <c r="T677" s="3"/>
      <c r="U677" s="3"/>
      <c r="V677" s="3"/>
      <c r="W677" s="3"/>
      <c r="X677" s="3"/>
      <c r="Y677" s="3"/>
      <c r="Z677" s="3"/>
      <c r="AB677" s="3"/>
      <c r="AC677" s="3"/>
      <c r="AD677" s="3"/>
      <c r="AE677" s="3"/>
      <c r="AF677" s="3"/>
      <c r="AG677" s="3"/>
      <c r="AH677" s="3"/>
      <c r="AI677" s="3"/>
      <c r="AK677" s="3"/>
      <c r="AL677" s="3"/>
      <c r="AM677" s="3"/>
      <c r="AN677" s="3"/>
      <c r="AO677" s="3"/>
      <c r="AP677" s="3"/>
      <c r="AQ677" s="3"/>
      <c r="AR677" s="3"/>
    </row>
    <row r="678" spans="1:44" ht="16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S678" s="3"/>
      <c r="T678" s="3"/>
      <c r="U678" s="3"/>
      <c r="V678" s="3"/>
      <c r="W678" s="3"/>
      <c r="X678" s="3"/>
      <c r="Y678" s="3"/>
      <c r="Z678" s="3"/>
      <c r="AB678" s="3"/>
      <c r="AC678" s="3"/>
      <c r="AD678" s="3"/>
      <c r="AE678" s="3"/>
      <c r="AF678" s="3"/>
      <c r="AG678" s="3"/>
      <c r="AH678" s="3"/>
      <c r="AI678" s="3"/>
      <c r="AK678" s="3"/>
      <c r="AL678" s="3"/>
      <c r="AM678" s="3"/>
      <c r="AN678" s="3"/>
      <c r="AO678" s="3"/>
      <c r="AP678" s="3"/>
      <c r="AQ678" s="3"/>
      <c r="AR678" s="3"/>
    </row>
    <row r="679" spans="1:44" ht="16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S679" s="3"/>
      <c r="T679" s="3"/>
      <c r="U679" s="3"/>
      <c r="V679" s="3"/>
      <c r="W679" s="3"/>
      <c r="X679" s="3"/>
      <c r="Y679" s="3"/>
      <c r="Z679" s="3"/>
      <c r="AB679" s="3"/>
      <c r="AC679" s="3"/>
      <c r="AD679" s="3"/>
      <c r="AE679" s="3"/>
      <c r="AF679" s="3"/>
      <c r="AG679" s="3"/>
      <c r="AH679" s="3"/>
      <c r="AI679" s="3"/>
      <c r="AK679" s="3"/>
      <c r="AL679" s="3"/>
      <c r="AM679" s="3"/>
      <c r="AN679" s="3"/>
      <c r="AO679" s="3"/>
      <c r="AP679" s="3"/>
      <c r="AQ679" s="3"/>
      <c r="AR679" s="3"/>
    </row>
    <row r="680" spans="1:44" ht="16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S680" s="3"/>
      <c r="T680" s="3"/>
      <c r="U680" s="3"/>
      <c r="V680" s="3"/>
      <c r="W680" s="3"/>
      <c r="X680" s="3"/>
      <c r="Y680" s="3"/>
      <c r="Z680" s="3"/>
      <c r="AB680" s="3"/>
      <c r="AC680" s="3"/>
      <c r="AD680" s="3"/>
      <c r="AE680" s="3"/>
      <c r="AF680" s="3"/>
      <c r="AG680" s="3"/>
      <c r="AH680" s="3"/>
      <c r="AI680" s="3"/>
      <c r="AK680" s="3"/>
      <c r="AL680" s="3"/>
      <c r="AM680" s="3"/>
      <c r="AN680" s="3"/>
      <c r="AO680" s="3"/>
      <c r="AP680" s="3"/>
      <c r="AQ680" s="3"/>
      <c r="AR680" s="3"/>
    </row>
    <row r="681" spans="1:44" ht="16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S681" s="3"/>
      <c r="T681" s="3"/>
      <c r="U681" s="3"/>
      <c r="V681" s="3"/>
      <c r="W681" s="3"/>
      <c r="X681" s="3"/>
      <c r="Y681" s="3"/>
      <c r="Z681" s="3"/>
      <c r="AB681" s="3"/>
      <c r="AC681" s="3"/>
      <c r="AD681" s="3"/>
      <c r="AE681" s="3"/>
      <c r="AF681" s="3"/>
      <c r="AG681" s="3"/>
      <c r="AH681" s="3"/>
      <c r="AI681" s="3"/>
      <c r="AK681" s="3"/>
      <c r="AL681" s="3"/>
      <c r="AM681" s="3"/>
      <c r="AN681" s="3"/>
      <c r="AO681" s="3"/>
      <c r="AP681" s="3"/>
      <c r="AQ681" s="3"/>
      <c r="AR681" s="3"/>
    </row>
    <row r="682" spans="1:44" ht="16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S682" s="3"/>
      <c r="T682" s="3"/>
      <c r="U682" s="3"/>
      <c r="V682" s="3"/>
      <c r="W682" s="3"/>
      <c r="X682" s="3"/>
      <c r="Y682" s="3"/>
      <c r="Z682" s="3"/>
      <c r="AB682" s="3"/>
      <c r="AC682" s="3"/>
      <c r="AD682" s="3"/>
      <c r="AE682" s="3"/>
      <c r="AF682" s="3"/>
      <c r="AG682" s="3"/>
      <c r="AH682" s="3"/>
      <c r="AI682" s="3"/>
      <c r="AK682" s="3"/>
      <c r="AL682" s="3"/>
      <c r="AM682" s="3"/>
      <c r="AN682" s="3"/>
      <c r="AO682" s="3"/>
      <c r="AP682" s="3"/>
      <c r="AQ682" s="3"/>
      <c r="AR682" s="3"/>
    </row>
    <row r="683" spans="1:44" ht="16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S683" s="3"/>
      <c r="T683" s="3"/>
      <c r="U683" s="3"/>
      <c r="V683" s="3"/>
      <c r="W683" s="3"/>
      <c r="X683" s="3"/>
      <c r="Y683" s="3"/>
      <c r="Z683" s="3"/>
      <c r="AB683" s="3"/>
      <c r="AC683" s="3"/>
      <c r="AD683" s="3"/>
      <c r="AE683" s="3"/>
      <c r="AF683" s="3"/>
      <c r="AG683" s="3"/>
      <c r="AH683" s="3"/>
      <c r="AI683" s="3"/>
      <c r="AK683" s="3"/>
      <c r="AL683" s="3"/>
      <c r="AM683" s="3"/>
      <c r="AN683" s="3"/>
      <c r="AO683" s="3"/>
      <c r="AP683" s="3"/>
      <c r="AQ683" s="3"/>
      <c r="AR683" s="3"/>
    </row>
    <row r="684" spans="1:44" ht="16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S684" s="3"/>
      <c r="T684" s="3"/>
      <c r="U684" s="3"/>
      <c r="V684" s="3"/>
      <c r="W684" s="3"/>
      <c r="X684" s="3"/>
      <c r="Y684" s="3"/>
      <c r="Z684" s="3"/>
      <c r="AB684" s="3"/>
      <c r="AC684" s="3"/>
      <c r="AD684" s="3"/>
      <c r="AE684" s="3"/>
      <c r="AF684" s="3"/>
      <c r="AG684" s="3"/>
      <c r="AH684" s="3"/>
      <c r="AI684" s="3"/>
      <c r="AK684" s="3"/>
      <c r="AL684" s="3"/>
      <c r="AM684" s="3"/>
      <c r="AN684" s="3"/>
      <c r="AO684" s="3"/>
      <c r="AP684" s="3"/>
      <c r="AQ684" s="3"/>
      <c r="AR684" s="3"/>
    </row>
    <row r="685" spans="1:44" ht="16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S685" s="3"/>
      <c r="T685" s="3"/>
      <c r="U685" s="3"/>
      <c r="V685" s="3"/>
      <c r="W685" s="3"/>
      <c r="X685" s="3"/>
      <c r="Y685" s="3"/>
      <c r="Z685" s="3"/>
      <c r="AB685" s="3"/>
      <c r="AC685" s="3"/>
      <c r="AD685" s="3"/>
      <c r="AE685" s="3"/>
      <c r="AF685" s="3"/>
      <c r="AG685" s="3"/>
      <c r="AH685" s="3"/>
      <c r="AI685" s="3"/>
      <c r="AK685" s="3"/>
      <c r="AL685" s="3"/>
      <c r="AM685" s="3"/>
      <c r="AN685" s="3"/>
      <c r="AO685" s="3"/>
      <c r="AP685" s="3"/>
      <c r="AQ685" s="3"/>
      <c r="AR685" s="3"/>
    </row>
    <row r="686" spans="1:44" ht="16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S686" s="3"/>
      <c r="T686" s="3"/>
      <c r="U686" s="3"/>
      <c r="V686" s="3"/>
      <c r="W686" s="3"/>
      <c r="X686" s="3"/>
      <c r="Y686" s="3"/>
      <c r="Z686" s="3"/>
      <c r="AB686" s="3"/>
      <c r="AC686" s="3"/>
      <c r="AD686" s="3"/>
      <c r="AE686" s="3"/>
      <c r="AF686" s="3"/>
      <c r="AG686" s="3"/>
      <c r="AH686" s="3"/>
      <c r="AI686" s="3"/>
      <c r="AK686" s="3"/>
      <c r="AL686" s="3"/>
      <c r="AM686" s="3"/>
      <c r="AN686" s="3"/>
      <c r="AO686" s="3"/>
      <c r="AP686" s="3"/>
      <c r="AQ686" s="3"/>
      <c r="AR686" s="3"/>
    </row>
    <row r="687" spans="1:44" ht="16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S687" s="3"/>
      <c r="T687" s="3"/>
      <c r="U687" s="3"/>
      <c r="V687" s="3"/>
      <c r="W687" s="3"/>
      <c r="X687" s="3"/>
      <c r="Y687" s="3"/>
      <c r="Z687" s="3"/>
      <c r="AB687" s="3"/>
      <c r="AC687" s="3"/>
      <c r="AD687" s="3"/>
      <c r="AE687" s="3"/>
      <c r="AF687" s="3"/>
      <c r="AG687" s="3"/>
      <c r="AH687" s="3"/>
      <c r="AI687" s="3"/>
      <c r="AK687" s="3"/>
      <c r="AL687" s="3"/>
      <c r="AM687" s="3"/>
      <c r="AN687" s="3"/>
      <c r="AO687" s="3"/>
      <c r="AP687" s="3"/>
      <c r="AQ687" s="3"/>
      <c r="AR687" s="3"/>
    </row>
    <row r="688" spans="1:44" ht="16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S688" s="3"/>
      <c r="T688" s="3"/>
      <c r="U688" s="3"/>
      <c r="V688" s="3"/>
      <c r="W688" s="3"/>
      <c r="X688" s="3"/>
      <c r="Y688" s="3"/>
      <c r="Z688" s="3"/>
      <c r="AB688" s="3"/>
      <c r="AC688" s="3"/>
      <c r="AD688" s="3"/>
      <c r="AE688" s="3"/>
      <c r="AF688" s="3"/>
      <c r="AG688" s="3"/>
      <c r="AH688" s="3"/>
      <c r="AI688" s="3"/>
      <c r="AK688" s="3"/>
      <c r="AL688" s="3"/>
      <c r="AM688" s="3"/>
      <c r="AN688" s="3"/>
      <c r="AO688" s="3"/>
      <c r="AP688" s="3"/>
      <c r="AQ688" s="3"/>
      <c r="AR688" s="3"/>
    </row>
    <row r="689" spans="1:44" ht="16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S689" s="3"/>
      <c r="T689" s="3"/>
      <c r="U689" s="3"/>
      <c r="V689" s="3"/>
      <c r="W689" s="3"/>
      <c r="X689" s="3"/>
      <c r="Y689" s="3"/>
      <c r="Z689" s="3"/>
      <c r="AB689" s="3"/>
      <c r="AC689" s="3"/>
      <c r="AD689" s="3"/>
      <c r="AE689" s="3"/>
      <c r="AF689" s="3"/>
      <c r="AG689" s="3"/>
      <c r="AH689" s="3"/>
      <c r="AI689" s="3"/>
      <c r="AK689" s="3"/>
      <c r="AL689" s="3"/>
      <c r="AM689" s="3"/>
      <c r="AN689" s="3"/>
      <c r="AO689" s="3"/>
      <c r="AP689" s="3"/>
      <c r="AQ689" s="3"/>
      <c r="AR689" s="3"/>
    </row>
    <row r="690" spans="1:44" ht="16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S690" s="3"/>
      <c r="T690" s="3"/>
      <c r="U690" s="3"/>
      <c r="V690" s="3"/>
      <c r="W690" s="3"/>
      <c r="X690" s="3"/>
      <c r="Y690" s="3"/>
      <c r="Z690" s="3"/>
      <c r="AB690" s="3"/>
      <c r="AC690" s="3"/>
      <c r="AD690" s="3"/>
      <c r="AE690" s="3"/>
      <c r="AF690" s="3"/>
      <c r="AG690" s="3"/>
      <c r="AH690" s="3"/>
      <c r="AI690" s="3"/>
      <c r="AK690" s="3"/>
      <c r="AL690" s="3"/>
      <c r="AM690" s="3"/>
      <c r="AN690" s="3"/>
      <c r="AO690" s="3"/>
      <c r="AP690" s="3"/>
      <c r="AQ690" s="3"/>
      <c r="AR690" s="3"/>
    </row>
    <row r="691" spans="1:44" ht="16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S691" s="3"/>
      <c r="T691" s="3"/>
      <c r="U691" s="3"/>
      <c r="V691" s="3"/>
      <c r="W691" s="3"/>
      <c r="X691" s="3"/>
      <c r="Y691" s="3"/>
      <c r="Z691" s="3"/>
      <c r="AB691" s="3"/>
      <c r="AC691" s="3"/>
      <c r="AD691" s="3"/>
      <c r="AE691" s="3"/>
      <c r="AF691" s="3"/>
      <c r="AG691" s="3"/>
      <c r="AH691" s="3"/>
      <c r="AI691" s="3"/>
      <c r="AK691" s="3"/>
      <c r="AL691" s="3"/>
      <c r="AM691" s="3"/>
      <c r="AN691" s="3"/>
      <c r="AO691" s="3"/>
      <c r="AP691" s="3"/>
      <c r="AQ691" s="3"/>
      <c r="AR691" s="3"/>
    </row>
    <row r="692" spans="1:44" ht="16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S692" s="3"/>
      <c r="T692" s="3"/>
      <c r="U692" s="3"/>
      <c r="V692" s="3"/>
      <c r="W692" s="3"/>
      <c r="X692" s="3"/>
      <c r="Y692" s="3"/>
      <c r="Z692" s="3"/>
      <c r="AB692" s="3"/>
      <c r="AC692" s="3"/>
      <c r="AD692" s="3"/>
      <c r="AE692" s="3"/>
      <c r="AF692" s="3"/>
      <c r="AG692" s="3"/>
      <c r="AH692" s="3"/>
      <c r="AI692" s="3"/>
      <c r="AK692" s="3"/>
      <c r="AL692" s="3"/>
      <c r="AM692" s="3"/>
      <c r="AN692" s="3"/>
      <c r="AO692" s="3"/>
      <c r="AP692" s="3"/>
      <c r="AQ692" s="3"/>
      <c r="AR692" s="3"/>
    </row>
    <row r="693" spans="1:44" ht="16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S693" s="3"/>
      <c r="T693" s="3"/>
      <c r="U693" s="3"/>
      <c r="V693" s="3"/>
      <c r="W693" s="3"/>
      <c r="X693" s="3"/>
      <c r="Y693" s="3"/>
      <c r="Z693" s="3"/>
      <c r="AB693" s="3"/>
      <c r="AC693" s="3"/>
      <c r="AD693" s="3"/>
      <c r="AE693" s="3"/>
      <c r="AF693" s="3"/>
      <c r="AG693" s="3"/>
      <c r="AH693" s="3"/>
      <c r="AI693" s="3"/>
      <c r="AK693" s="3"/>
      <c r="AL693" s="3"/>
      <c r="AM693" s="3"/>
      <c r="AN693" s="3"/>
      <c r="AO693" s="3"/>
      <c r="AP693" s="3"/>
      <c r="AQ693" s="3"/>
      <c r="AR693" s="3"/>
    </row>
    <row r="694" spans="1:44" ht="16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S694" s="3"/>
      <c r="T694" s="3"/>
      <c r="U694" s="3"/>
      <c r="V694" s="3"/>
      <c r="W694" s="3"/>
      <c r="X694" s="3"/>
      <c r="Y694" s="3"/>
      <c r="Z694" s="3"/>
      <c r="AB694" s="3"/>
      <c r="AC694" s="3"/>
      <c r="AD694" s="3"/>
      <c r="AE694" s="3"/>
      <c r="AF694" s="3"/>
      <c r="AG694" s="3"/>
      <c r="AH694" s="3"/>
      <c r="AI694" s="3"/>
      <c r="AK694" s="3"/>
      <c r="AL694" s="3"/>
      <c r="AM694" s="3"/>
      <c r="AN694" s="3"/>
      <c r="AO694" s="3"/>
      <c r="AP694" s="3"/>
      <c r="AQ694" s="3"/>
      <c r="AR694" s="3"/>
    </row>
    <row r="695" spans="1:44" ht="16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S695" s="3"/>
      <c r="T695" s="3"/>
      <c r="U695" s="3"/>
      <c r="V695" s="3"/>
      <c r="W695" s="3"/>
      <c r="X695" s="3"/>
      <c r="Y695" s="3"/>
      <c r="Z695" s="3"/>
      <c r="AB695" s="3"/>
      <c r="AC695" s="3"/>
      <c r="AD695" s="3"/>
      <c r="AE695" s="3"/>
      <c r="AF695" s="3"/>
      <c r="AG695" s="3"/>
      <c r="AH695" s="3"/>
      <c r="AI695" s="3"/>
      <c r="AK695" s="3"/>
      <c r="AL695" s="3"/>
      <c r="AM695" s="3"/>
      <c r="AN695" s="3"/>
      <c r="AO695" s="3"/>
      <c r="AP695" s="3"/>
      <c r="AQ695" s="3"/>
      <c r="AR695" s="3"/>
    </row>
    <row r="696" spans="1:44" ht="16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S696" s="3"/>
      <c r="T696" s="3"/>
      <c r="U696" s="3"/>
      <c r="V696" s="3"/>
      <c r="W696" s="3"/>
      <c r="X696" s="3"/>
      <c r="Y696" s="3"/>
      <c r="Z696" s="3"/>
      <c r="AB696" s="3"/>
      <c r="AC696" s="3"/>
      <c r="AD696" s="3"/>
      <c r="AE696" s="3"/>
      <c r="AF696" s="3"/>
      <c r="AG696" s="3"/>
      <c r="AH696" s="3"/>
      <c r="AI696" s="3"/>
      <c r="AK696" s="3"/>
      <c r="AL696" s="3"/>
      <c r="AM696" s="3"/>
      <c r="AN696" s="3"/>
      <c r="AO696" s="3"/>
      <c r="AP696" s="3"/>
      <c r="AQ696" s="3"/>
      <c r="AR696" s="3"/>
    </row>
    <row r="697" spans="1:44" ht="16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S697" s="3"/>
      <c r="T697" s="3"/>
      <c r="U697" s="3"/>
      <c r="V697" s="3"/>
      <c r="W697" s="3"/>
      <c r="X697" s="3"/>
      <c r="Y697" s="3"/>
      <c r="Z697" s="3"/>
      <c r="AB697" s="3"/>
      <c r="AC697" s="3"/>
      <c r="AD697" s="3"/>
      <c r="AE697" s="3"/>
      <c r="AF697" s="3"/>
      <c r="AG697" s="3"/>
      <c r="AH697" s="3"/>
      <c r="AI697" s="3"/>
      <c r="AK697" s="3"/>
      <c r="AL697" s="3"/>
      <c r="AM697" s="3"/>
      <c r="AN697" s="3"/>
      <c r="AO697" s="3"/>
      <c r="AP697" s="3"/>
      <c r="AQ697" s="3"/>
      <c r="AR697" s="3"/>
    </row>
    <row r="698" spans="1:44" ht="16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S698" s="3"/>
      <c r="T698" s="3"/>
      <c r="U698" s="3"/>
      <c r="V698" s="3"/>
      <c r="W698" s="3"/>
      <c r="X698" s="3"/>
      <c r="Y698" s="3"/>
      <c r="Z698" s="3"/>
      <c r="AB698" s="3"/>
      <c r="AC698" s="3"/>
      <c r="AD698" s="3"/>
      <c r="AE698" s="3"/>
      <c r="AF698" s="3"/>
      <c r="AG698" s="3"/>
      <c r="AH698" s="3"/>
      <c r="AI698" s="3"/>
      <c r="AK698" s="3"/>
      <c r="AL698" s="3"/>
      <c r="AM698" s="3"/>
      <c r="AN698" s="3"/>
      <c r="AO698" s="3"/>
      <c r="AP698" s="3"/>
      <c r="AQ698" s="3"/>
      <c r="AR698" s="3"/>
    </row>
    <row r="699" spans="1:44" ht="16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S699" s="3"/>
      <c r="T699" s="3"/>
      <c r="U699" s="3"/>
      <c r="V699" s="3"/>
      <c r="W699" s="3"/>
      <c r="X699" s="3"/>
      <c r="Y699" s="3"/>
      <c r="Z699" s="3"/>
      <c r="AB699" s="3"/>
      <c r="AC699" s="3"/>
      <c r="AD699" s="3"/>
      <c r="AE699" s="3"/>
      <c r="AF699" s="3"/>
      <c r="AG699" s="3"/>
      <c r="AH699" s="3"/>
      <c r="AI699" s="3"/>
      <c r="AK699" s="3"/>
      <c r="AL699" s="3"/>
      <c r="AM699" s="3"/>
      <c r="AN699" s="3"/>
      <c r="AO699" s="3"/>
      <c r="AP699" s="3"/>
      <c r="AQ699" s="3"/>
      <c r="AR699" s="3"/>
    </row>
    <row r="700" spans="1:44" ht="16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S700" s="3"/>
      <c r="T700" s="3"/>
      <c r="U700" s="3"/>
      <c r="V700" s="3"/>
      <c r="W700" s="3"/>
      <c r="X700" s="3"/>
      <c r="Y700" s="3"/>
      <c r="Z700" s="3"/>
      <c r="AB700" s="3"/>
      <c r="AC700" s="3"/>
      <c r="AD700" s="3"/>
      <c r="AE700" s="3"/>
      <c r="AF700" s="3"/>
      <c r="AG700" s="3"/>
      <c r="AH700" s="3"/>
      <c r="AI700" s="3"/>
      <c r="AK700" s="3"/>
      <c r="AL700" s="3"/>
      <c r="AM700" s="3"/>
      <c r="AN700" s="3"/>
      <c r="AO700" s="3"/>
      <c r="AP700" s="3"/>
      <c r="AQ700" s="3"/>
      <c r="AR700" s="3"/>
    </row>
    <row r="701" spans="1:44" ht="16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S701" s="3"/>
      <c r="T701" s="3"/>
      <c r="U701" s="3"/>
      <c r="V701" s="3"/>
      <c r="W701" s="3"/>
      <c r="X701" s="3"/>
      <c r="Y701" s="3"/>
      <c r="Z701" s="3"/>
      <c r="AB701" s="3"/>
      <c r="AC701" s="3"/>
      <c r="AD701" s="3"/>
      <c r="AE701" s="3"/>
      <c r="AF701" s="3"/>
      <c r="AG701" s="3"/>
      <c r="AH701" s="3"/>
      <c r="AI701" s="3"/>
      <c r="AK701" s="3"/>
      <c r="AL701" s="3"/>
      <c r="AM701" s="3"/>
      <c r="AN701" s="3"/>
      <c r="AO701" s="3"/>
      <c r="AP701" s="3"/>
      <c r="AQ701" s="3"/>
      <c r="AR701" s="3"/>
    </row>
    <row r="702" spans="1:44" ht="16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S702" s="3"/>
      <c r="T702" s="3"/>
      <c r="U702" s="3"/>
      <c r="V702" s="3"/>
      <c r="W702" s="3"/>
      <c r="X702" s="3"/>
      <c r="Y702" s="3"/>
      <c r="Z702" s="3"/>
      <c r="AB702" s="3"/>
      <c r="AC702" s="3"/>
      <c r="AD702" s="3"/>
      <c r="AE702" s="3"/>
      <c r="AF702" s="3"/>
      <c r="AG702" s="3"/>
      <c r="AH702" s="3"/>
      <c r="AI702" s="3"/>
      <c r="AK702" s="3"/>
      <c r="AL702" s="3"/>
      <c r="AM702" s="3"/>
      <c r="AN702" s="3"/>
      <c r="AO702" s="3"/>
      <c r="AP702" s="3"/>
      <c r="AQ702" s="3"/>
      <c r="AR702" s="3"/>
    </row>
    <row r="703" spans="1:44" ht="16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S703" s="3"/>
      <c r="T703" s="3"/>
      <c r="U703" s="3"/>
      <c r="V703" s="3"/>
      <c r="W703" s="3"/>
      <c r="X703" s="3"/>
      <c r="Y703" s="3"/>
      <c r="Z703" s="3"/>
      <c r="AB703" s="3"/>
      <c r="AC703" s="3"/>
      <c r="AD703" s="3"/>
      <c r="AE703" s="3"/>
      <c r="AF703" s="3"/>
      <c r="AG703" s="3"/>
      <c r="AH703" s="3"/>
      <c r="AI703" s="3"/>
      <c r="AK703" s="3"/>
      <c r="AL703" s="3"/>
      <c r="AM703" s="3"/>
      <c r="AN703" s="3"/>
      <c r="AO703" s="3"/>
      <c r="AP703" s="3"/>
      <c r="AQ703" s="3"/>
      <c r="AR703" s="3"/>
    </row>
    <row r="704" spans="1:44" ht="16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S704" s="3"/>
      <c r="T704" s="3"/>
      <c r="U704" s="3"/>
      <c r="V704" s="3"/>
      <c r="W704" s="3"/>
      <c r="X704" s="3"/>
      <c r="Y704" s="3"/>
      <c r="Z704" s="3"/>
      <c r="AB704" s="3"/>
      <c r="AC704" s="3"/>
      <c r="AD704" s="3"/>
      <c r="AE704" s="3"/>
      <c r="AF704" s="3"/>
      <c r="AG704" s="3"/>
      <c r="AH704" s="3"/>
      <c r="AI704" s="3"/>
      <c r="AK704" s="3"/>
      <c r="AL704" s="3"/>
      <c r="AM704" s="3"/>
      <c r="AN704" s="3"/>
      <c r="AO704" s="3"/>
      <c r="AP704" s="3"/>
      <c r="AQ704" s="3"/>
      <c r="AR704" s="3"/>
    </row>
    <row r="705" spans="1:44" ht="16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S705" s="3"/>
      <c r="T705" s="3"/>
      <c r="U705" s="3"/>
      <c r="V705" s="3"/>
      <c r="W705" s="3"/>
      <c r="X705" s="3"/>
      <c r="Y705" s="3"/>
      <c r="Z705" s="3"/>
      <c r="AB705" s="3"/>
      <c r="AC705" s="3"/>
      <c r="AD705" s="3"/>
      <c r="AE705" s="3"/>
      <c r="AF705" s="3"/>
      <c r="AG705" s="3"/>
      <c r="AH705" s="3"/>
      <c r="AI705" s="3"/>
      <c r="AK705" s="3"/>
      <c r="AL705" s="3"/>
      <c r="AM705" s="3"/>
      <c r="AN705" s="3"/>
      <c r="AO705" s="3"/>
      <c r="AP705" s="3"/>
      <c r="AQ705" s="3"/>
      <c r="AR705" s="3"/>
    </row>
    <row r="706" spans="1:44" ht="16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S706" s="3"/>
      <c r="T706" s="3"/>
      <c r="U706" s="3"/>
      <c r="V706" s="3"/>
      <c r="W706" s="3"/>
      <c r="X706" s="3"/>
      <c r="Y706" s="3"/>
      <c r="Z706" s="3"/>
      <c r="AB706" s="3"/>
      <c r="AC706" s="3"/>
      <c r="AD706" s="3"/>
      <c r="AE706" s="3"/>
      <c r="AF706" s="3"/>
      <c r="AG706" s="3"/>
      <c r="AH706" s="3"/>
      <c r="AI706" s="3"/>
      <c r="AK706" s="3"/>
      <c r="AL706" s="3"/>
      <c r="AM706" s="3"/>
      <c r="AN706" s="3"/>
      <c r="AO706" s="3"/>
      <c r="AP706" s="3"/>
      <c r="AQ706" s="3"/>
      <c r="AR706" s="3"/>
    </row>
    <row r="707" spans="1:44" ht="16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S707" s="3"/>
      <c r="T707" s="3"/>
      <c r="U707" s="3"/>
      <c r="V707" s="3"/>
      <c r="W707" s="3"/>
      <c r="X707" s="3"/>
      <c r="Y707" s="3"/>
      <c r="Z707" s="3"/>
      <c r="AB707" s="3"/>
      <c r="AC707" s="3"/>
      <c r="AD707" s="3"/>
      <c r="AE707" s="3"/>
      <c r="AF707" s="3"/>
      <c r="AG707" s="3"/>
      <c r="AH707" s="3"/>
      <c r="AI707" s="3"/>
      <c r="AK707" s="3"/>
      <c r="AL707" s="3"/>
      <c r="AM707" s="3"/>
      <c r="AN707" s="3"/>
      <c r="AO707" s="3"/>
      <c r="AP707" s="3"/>
      <c r="AQ707" s="3"/>
      <c r="AR707" s="3"/>
    </row>
    <row r="708" spans="1:44" ht="16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S708" s="3"/>
      <c r="T708" s="3"/>
      <c r="U708" s="3"/>
      <c r="V708" s="3"/>
      <c r="W708" s="3"/>
      <c r="X708" s="3"/>
      <c r="Y708" s="3"/>
      <c r="Z708" s="3"/>
      <c r="AB708" s="3"/>
      <c r="AC708" s="3"/>
      <c r="AD708" s="3"/>
      <c r="AE708" s="3"/>
      <c r="AF708" s="3"/>
      <c r="AG708" s="3"/>
      <c r="AH708" s="3"/>
      <c r="AI708" s="3"/>
      <c r="AK708" s="3"/>
      <c r="AL708" s="3"/>
      <c r="AM708" s="3"/>
      <c r="AN708" s="3"/>
      <c r="AO708" s="3"/>
      <c r="AP708" s="3"/>
      <c r="AQ708" s="3"/>
      <c r="AR708" s="3"/>
    </row>
    <row r="709" spans="1:44" ht="16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S709" s="3"/>
      <c r="T709" s="3"/>
      <c r="U709" s="3"/>
      <c r="V709" s="3"/>
      <c r="W709" s="3"/>
      <c r="X709" s="3"/>
      <c r="Y709" s="3"/>
      <c r="Z709" s="3"/>
      <c r="AB709" s="3"/>
      <c r="AC709" s="3"/>
      <c r="AD709" s="3"/>
      <c r="AE709" s="3"/>
      <c r="AF709" s="3"/>
      <c r="AG709" s="3"/>
      <c r="AH709" s="3"/>
      <c r="AI709" s="3"/>
      <c r="AK709" s="3"/>
      <c r="AL709" s="3"/>
      <c r="AM709" s="3"/>
      <c r="AN709" s="3"/>
      <c r="AO709" s="3"/>
      <c r="AP709" s="3"/>
      <c r="AQ709" s="3"/>
      <c r="AR709" s="3"/>
    </row>
    <row r="710" spans="1:44" ht="16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S710" s="3"/>
      <c r="T710" s="3"/>
      <c r="U710" s="3"/>
      <c r="V710" s="3"/>
      <c r="W710" s="3"/>
      <c r="X710" s="3"/>
      <c r="Y710" s="3"/>
      <c r="Z710" s="3"/>
      <c r="AB710" s="3"/>
      <c r="AC710" s="3"/>
      <c r="AD710" s="3"/>
      <c r="AE710" s="3"/>
      <c r="AF710" s="3"/>
      <c r="AG710" s="3"/>
      <c r="AH710" s="3"/>
      <c r="AI710" s="3"/>
      <c r="AK710" s="3"/>
      <c r="AL710" s="3"/>
      <c r="AM710" s="3"/>
      <c r="AN710" s="3"/>
      <c r="AO710" s="3"/>
      <c r="AP710" s="3"/>
      <c r="AQ710" s="3"/>
      <c r="AR710" s="3"/>
    </row>
    <row r="711" spans="1:44" ht="16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S711" s="3"/>
      <c r="T711" s="3"/>
      <c r="U711" s="3"/>
      <c r="V711" s="3"/>
      <c r="W711" s="3"/>
      <c r="X711" s="3"/>
      <c r="Y711" s="3"/>
      <c r="Z711" s="3"/>
      <c r="AB711" s="3"/>
      <c r="AC711" s="3"/>
      <c r="AD711" s="3"/>
      <c r="AE711" s="3"/>
      <c r="AF711" s="3"/>
      <c r="AG711" s="3"/>
      <c r="AH711" s="3"/>
      <c r="AI711" s="3"/>
      <c r="AK711" s="3"/>
      <c r="AL711" s="3"/>
      <c r="AM711" s="3"/>
      <c r="AN711" s="3"/>
      <c r="AO711" s="3"/>
      <c r="AP711" s="3"/>
      <c r="AQ711" s="3"/>
      <c r="AR711" s="3"/>
    </row>
    <row r="712" spans="1:44" ht="16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S712" s="3"/>
      <c r="T712" s="3"/>
      <c r="U712" s="3"/>
      <c r="V712" s="3"/>
      <c r="W712" s="3"/>
      <c r="X712" s="3"/>
      <c r="Y712" s="3"/>
      <c r="Z712" s="3"/>
      <c r="AB712" s="3"/>
      <c r="AC712" s="3"/>
      <c r="AD712" s="3"/>
      <c r="AE712" s="3"/>
      <c r="AF712" s="3"/>
      <c r="AG712" s="3"/>
      <c r="AH712" s="3"/>
      <c r="AI712" s="3"/>
      <c r="AK712" s="3"/>
      <c r="AL712" s="3"/>
      <c r="AM712" s="3"/>
      <c r="AN712" s="3"/>
      <c r="AO712" s="3"/>
      <c r="AP712" s="3"/>
      <c r="AQ712" s="3"/>
      <c r="AR712" s="3"/>
    </row>
    <row r="713" spans="1:44" ht="16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S713" s="3"/>
      <c r="T713" s="3"/>
      <c r="U713" s="3"/>
      <c r="V713" s="3"/>
      <c r="W713" s="3"/>
      <c r="X713" s="3"/>
      <c r="Y713" s="3"/>
      <c r="Z713" s="3"/>
      <c r="AB713" s="3"/>
      <c r="AC713" s="3"/>
      <c r="AD713" s="3"/>
      <c r="AE713" s="3"/>
      <c r="AF713" s="3"/>
      <c r="AG713" s="3"/>
      <c r="AH713" s="3"/>
      <c r="AI713" s="3"/>
      <c r="AK713" s="3"/>
      <c r="AL713" s="3"/>
      <c r="AM713" s="3"/>
      <c r="AN713" s="3"/>
      <c r="AO713" s="3"/>
      <c r="AP713" s="3"/>
      <c r="AQ713" s="3"/>
      <c r="AR713" s="3"/>
    </row>
    <row r="714" spans="1:44" ht="16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S714" s="3"/>
      <c r="T714" s="3"/>
      <c r="U714" s="3"/>
      <c r="V714" s="3"/>
      <c r="W714" s="3"/>
      <c r="X714" s="3"/>
      <c r="Y714" s="3"/>
      <c r="Z714" s="3"/>
      <c r="AB714" s="3"/>
      <c r="AC714" s="3"/>
      <c r="AD714" s="3"/>
      <c r="AE714" s="3"/>
      <c r="AF714" s="3"/>
      <c r="AG714" s="3"/>
      <c r="AH714" s="3"/>
      <c r="AI714" s="3"/>
      <c r="AK714" s="3"/>
      <c r="AL714" s="3"/>
      <c r="AM714" s="3"/>
      <c r="AN714" s="3"/>
      <c r="AO714" s="3"/>
      <c r="AP714" s="3"/>
      <c r="AQ714" s="3"/>
      <c r="AR714" s="3"/>
    </row>
    <row r="715" spans="1:44" ht="16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S715" s="3"/>
      <c r="T715" s="3"/>
      <c r="U715" s="3"/>
      <c r="V715" s="3"/>
      <c r="W715" s="3"/>
      <c r="X715" s="3"/>
      <c r="Y715" s="3"/>
      <c r="Z715" s="3"/>
      <c r="AB715" s="3"/>
      <c r="AC715" s="3"/>
      <c r="AD715" s="3"/>
      <c r="AE715" s="3"/>
      <c r="AF715" s="3"/>
      <c r="AG715" s="3"/>
      <c r="AH715" s="3"/>
      <c r="AI715" s="3"/>
      <c r="AK715" s="3"/>
      <c r="AL715" s="3"/>
      <c r="AM715" s="3"/>
      <c r="AN715" s="3"/>
      <c r="AO715" s="3"/>
      <c r="AP715" s="3"/>
      <c r="AQ715" s="3"/>
      <c r="AR715" s="3"/>
    </row>
    <row r="716" spans="1:44" ht="16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S716" s="3"/>
      <c r="T716" s="3"/>
      <c r="U716" s="3"/>
      <c r="V716" s="3"/>
      <c r="W716" s="3"/>
      <c r="X716" s="3"/>
      <c r="Y716" s="3"/>
      <c r="Z716" s="3"/>
      <c r="AB716" s="3"/>
      <c r="AC716" s="3"/>
      <c r="AD716" s="3"/>
      <c r="AE716" s="3"/>
      <c r="AF716" s="3"/>
      <c r="AG716" s="3"/>
      <c r="AH716" s="3"/>
      <c r="AI716" s="3"/>
      <c r="AK716" s="3"/>
      <c r="AL716" s="3"/>
      <c r="AM716" s="3"/>
      <c r="AN716" s="3"/>
      <c r="AO716" s="3"/>
      <c r="AP716" s="3"/>
      <c r="AQ716" s="3"/>
      <c r="AR716" s="3"/>
    </row>
    <row r="717" spans="1:44" ht="16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S717" s="3"/>
      <c r="T717" s="3"/>
      <c r="U717" s="3"/>
      <c r="V717" s="3"/>
      <c r="W717" s="3"/>
      <c r="X717" s="3"/>
      <c r="Y717" s="3"/>
      <c r="Z717" s="3"/>
      <c r="AB717" s="3"/>
      <c r="AC717" s="3"/>
      <c r="AD717" s="3"/>
      <c r="AE717" s="3"/>
      <c r="AF717" s="3"/>
      <c r="AG717" s="3"/>
      <c r="AH717" s="3"/>
      <c r="AI717" s="3"/>
      <c r="AK717" s="3"/>
      <c r="AL717" s="3"/>
      <c r="AM717" s="3"/>
      <c r="AN717" s="3"/>
      <c r="AO717" s="3"/>
      <c r="AP717" s="3"/>
      <c r="AQ717" s="3"/>
      <c r="AR717" s="3"/>
    </row>
    <row r="718" spans="1:44" ht="16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S718" s="3"/>
      <c r="T718" s="3"/>
      <c r="U718" s="3"/>
      <c r="V718" s="3"/>
      <c r="W718" s="3"/>
      <c r="X718" s="3"/>
      <c r="Y718" s="3"/>
      <c r="Z718" s="3"/>
      <c r="AB718" s="3"/>
      <c r="AC718" s="3"/>
      <c r="AD718" s="3"/>
      <c r="AE718" s="3"/>
      <c r="AF718" s="3"/>
      <c r="AG718" s="3"/>
      <c r="AH718" s="3"/>
      <c r="AI718" s="3"/>
      <c r="AK718" s="3"/>
      <c r="AL718" s="3"/>
      <c r="AM718" s="3"/>
      <c r="AN718" s="3"/>
      <c r="AO718" s="3"/>
      <c r="AP718" s="3"/>
      <c r="AQ718" s="3"/>
      <c r="AR718" s="3"/>
    </row>
    <row r="719" spans="1:44" ht="16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S719" s="3"/>
      <c r="T719" s="3"/>
      <c r="U719" s="3"/>
      <c r="V719" s="3"/>
      <c r="W719" s="3"/>
      <c r="X719" s="3"/>
      <c r="Y719" s="3"/>
      <c r="Z719" s="3"/>
      <c r="AB719" s="3"/>
      <c r="AC719" s="3"/>
      <c r="AD719" s="3"/>
      <c r="AE719" s="3"/>
      <c r="AF719" s="3"/>
      <c r="AG719" s="3"/>
      <c r="AH719" s="3"/>
      <c r="AI719" s="3"/>
      <c r="AK719" s="3"/>
      <c r="AL719" s="3"/>
      <c r="AM719" s="3"/>
      <c r="AN719" s="3"/>
      <c r="AO719" s="3"/>
      <c r="AP719" s="3"/>
      <c r="AQ719" s="3"/>
      <c r="AR719" s="3"/>
    </row>
    <row r="720" spans="1:44" ht="16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S720" s="3"/>
      <c r="T720" s="3"/>
      <c r="U720" s="3"/>
      <c r="V720" s="3"/>
      <c r="W720" s="3"/>
      <c r="X720" s="3"/>
      <c r="Y720" s="3"/>
      <c r="Z720" s="3"/>
      <c r="AB720" s="3"/>
      <c r="AC720" s="3"/>
      <c r="AD720" s="3"/>
      <c r="AE720" s="3"/>
      <c r="AF720" s="3"/>
      <c r="AG720" s="3"/>
      <c r="AH720" s="3"/>
      <c r="AI720" s="3"/>
      <c r="AK720" s="3"/>
      <c r="AL720" s="3"/>
      <c r="AM720" s="3"/>
      <c r="AN720" s="3"/>
      <c r="AO720" s="3"/>
      <c r="AP720" s="3"/>
      <c r="AQ720" s="3"/>
      <c r="AR720" s="3"/>
    </row>
    <row r="721" spans="1:44" ht="16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S721" s="3"/>
      <c r="T721" s="3"/>
      <c r="U721" s="3"/>
      <c r="V721" s="3"/>
      <c r="W721" s="3"/>
      <c r="X721" s="3"/>
      <c r="Y721" s="3"/>
      <c r="Z721" s="3"/>
      <c r="AB721" s="3"/>
      <c r="AC721" s="3"/>
      <c r="AD721" s="3"/>
      <c r="AE721" s="3"/>
      <c r="AF721" s="3"/>
      <c r="AG721" s="3"/>
      <c r="AH721" s="3"/>
      <c r="AI721" s="3"/>
      <c r="AK721" s="3"/>
      <c r="AL721" s="3"/>
      <c r="AM721" s="3"/>
      <c r="AN721" s="3"/>
      <c r="AO721" s="3"/>
      <c r="AP721" s="3"/>
      <c r="AQ721" s="3"/>
      <c r="AR721" s="3"/>
    </row>
    <row r="722" spans="1:44" ht="16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S722" s="3"/>
      <c r="T722" s="3"/>
      <c r="U722" s="3"/>
      <c r="V722" s="3"/>
      <c r="W722" s="3"/>
      <c r="X722" s="3"/>
      <c r="Y722" s="3"/>
      <c r="Z722" s="3"/>
      <c r="AB722" s="3"/>
      <c r="AC722" s="3"/>
      <c r="AD722" s="3"/>
      <c r="AE722" s="3"/>
      <c r="AF722" s="3"/>
      <c r="AG722" s="3"/>
      <c r="AH722" s="3"/>
      <c r="AI722" s="3"/>
      <c r="AK722" s="3"/>
      <c r="AL722" s="3"/>
      <c r="AM722" s="3"/>
      <c r="AN722" s="3"/>
      <c r="AO722" s="3"/>
      <c r="AP722" s="3"/>
      <c r="AQ722" s="3"/>
      <c r="AR722" s="3"/>
    </row>
    <row r="723" spans="1:44" ht="16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S723" s="3"/>
      <c r="T723" s="3"/>
      <c r="U723" s="3"/>
      <c r="V723" s="3"/>
      <c r="W723" s="3"/>
      <c r="X723" s="3"/>
      <c r="Y723" s="3"/>
      <c r="Z723" s="3"/>
      <c r="AB723" s="3"/>
      <c r="AC723" s="3"/>
      <c r="AD723" s="3"/>
      <c r="AE723" s="3"/>
      <c r="AF723" s="3"/>
      <c r="AG723" s="3"/>
      <c r="AH723" s="3"/>
      <c r="AI723" s="3"/>
      <c r="AK723" s="3"/>
      <c r="AL723" s="3"/>
      <c r="AM723" s="3"/>
      <c r="AN723" s="3"/>
      <c r="AO723" s="3"/>
      <c r="AP723" s="3"/>
      <c r="AQ723" s="3"/>
      <c r="AR723" s="3"/>
    </row>
    <row r="724" spans="1:44" ht="16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S724" s="3"/>
      <c r="T724" s="3"/>
      <c r="U724" s="3"/>
      <c r="V724" s="3"/>
      <c r="W724" s="3"/>
      <c r="X724" s="3"/>
      <c r="Y724" s="3"/>
      <c r="Z724" s="3"/>
      <c r="AB724" s="3"/>
      <c r="AC724" s="3"/>
      <c r="AD724" s="3"/>
      <c r="AE724" s="3"/>
      <c r="AF724" s="3"/>
      <c r="AG724" s="3"/>
      <c r="AH724" s="3"/>
      <c r="AI724" s="3"/>
      <c r="AK724" s="3"/>
      <c r="AL724" s="3"/>
      <c r="AM724" s="3"/>
      <c r="AN724" s="3"/>
      <c r="AO724" s="3"/>
      <c r="AP724" s="3"/>
      <c r="AQ724" s="3"/>
      <c r="AR724" s="3"/>
    </row>
    <row r="725" spans="1:44" ht="16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S725" s="3"/>
      <c r="T725" s="3"/>
      <c r="U725" s="3"/>
      <c r="V725" s="3"/>
      <c r="W725" s="3"/>
      <c r="X725" s="3"/>
      <c r="Y725" s="3"/>
      <c r="Z725" s="3"/>
      <c r="AB725" s="3"/>
      <c r="AC725" s="3"/>
      <c r="AD725" s="3"/>
      <c r="AE725" s="3"/>
      <c r="AF725" s="3"/>
      <c r="AG725" s="3"/>
      <c r="AH725" s="3"/>
      <c r="AI725" s="3"/>
      <c r="AK725" s="3"/>
      <c r="AL725" s="3"/>
      <c r="AM725" s="3"/>
      <c r="AN725" s="3"/>
      <c r="AO725" s="3"/>
      <c r="AP725" s="3"/>
      <c r="AQ725" s="3"/>
      <c r="AR725" s="3"/>
    </row>
    <row r="726" spans="1:44" ht="16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S726" s="3"/>
      <c r="T726" s="3"/>
      <c r="U726" s="3"/>
      <c r="V726" s="3"/>
      <c r="W726" s="3"/>
      <c r="X726" s="3"/>
      <c r="Y726" s="3"/>
      <c r="Z726" s="3"/>
      <c r="AB726" s="3"/>
      <c r="AC726" s="3"/>
      <c r="AD726" s="3"/>
      <c r="AE726" s="3"/>
      <c r="AF726" s="3"/>
      <c r="AG726" s="3"/>
      <c r="AH726" s="3"/>
      <c r="AI726" s="3"/>
      <c r="AK726" s="3"/>
      <c r="AL726" s="3"/>
      <c r="AM726" s="3"/>
      <c r="AN726" s="3"/>
      <c r="AO726" s="3"/>
      <c r="AP726" s="3"/>
      <c r="AQ726" s="3"/>
      <c r="AR726" s="3"/>
    </row>
    <row r="727" spans="1:44" ht="16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S727" s="3"/>
      <c r="T727" s="3"/>
      <c r="U727" s="3"/>
      <c r="V727" s="3"/>
      <c r="W727" s="3"/>
      <c r="X727" s="3"/>
      <c r="Y727" s="3"/>
      <c r="Z727" s="3"/>
      <c r="AB727" s="3"/>
      <c r="AC727" s="3"/>
      <c r="AD727" s="3"/>
      <c r="AE727" s="3"/>
      <c r="AF727" s="3"/>
      <c r="AG727" s="3"/>
      <c r="AH727" s="3"/>
      <c r="AI727" s="3"/>
      <c r="AK727" s="3"/>
      <c r="AL727" s="3"/>
      <c r="AM727" s="3"/>
      <c r="AN727" s="3"/>
      <c r="AO727" s="3"/>
      <c r="AP727" s="3"/>
      <c r="AQ727" s="3"/>
      <c r="AR727" s="3"/>
    </row>
    <row r="728" spans="1:44" ht="16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S728" s="3"/>
      <c r="T728" s="3"/>
      <c r="U728" s="3"/>
      <c r="V728" s="3"/>
      <c r="W728" s="3"/>
      <c r="X728" s="3"/>
      <c r="Y728" s="3"/>
      <c r="Z728" s="3"/>
      <c r="AB728" s="3"/>
      <c r="AC728" s="3"/>
      <c r="AD728" s="3"/>
      <c r="AE728" s="3"/>
      <c r="AF728" s="3"/>
      <c r="AG728" s="3"/>
      <c r="AH728" s="3"/>
      <c r="AI728" s="3"/>
      <c r="AK728" s="3"/>
      <c r="AL728" s="3"/>
      <c r="AM728" s="3"/>
      <c r="AN728" s="3"/>
      <c r="AO728" s="3"/>
      <c r="AP728" s="3"/>
      <c r="AQ728" s="3"/>
      <c r="AR728" s="3"/>
    </row>
    <row r="729" spans="1:44" ht="16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S729" s="3"/>
      <c r="T729" s="3"/>
      <c r="U729" s="3"/>
      <c r="V729" s="3"/>
      <c r="W729" s="3"/>
      <c r="X729" s="3"/>
      <c r="Y729" s="3"/>
      <c r="Z729" s="3"/>
      <c r="AB729" s="3"/>
      <c r="AC729" s="3"/>
      <c r="AD729" s="3"/>
      <c r="AE729" s="3"/>
      <c r="AF729" s="3"/>
      <c r="AG729" s="3"/>
      <c r="AH729" s="3"/>
      <c r="AI729" s="3"/>
      <c r="AK729" s="3"/>
      <c r="AL729" s="3"/>
      <c r="AM729" s="3"/>
      <c r="AN729" s="3"/>
      <c r="AO729" s="3"/>
      <c r="AP729" s="3"/>
      <c r="AQ729" s="3"/>
      <c r="AR729" s="3"/>
    </row>
    <row r="730" spans="1:44" ht="16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S730" s="3"/>
      <c r="T730" s="3"/>
      <c r="U730" s="3"/>
      <c r="V730" s="3"/>
      <c r="W730" s="3"/>
      <c r="X730" s="3"/>
      <c r="Y730" s="3"/>
      <c r="Z730" s="3"/>
      <c r="AB730" s="3"/>
      <c r="AC730" s="3"/>
      <c r="AD730" s="3"/>
      <c r="AE730" s="3"/>
      <c r="AF730" s="3"/>
      <c r="AG730" s="3"/>
      <c r="AH730" s="3"/>
      <c r="AI730" s="3"/>
      <c r="AK730" s="3"/>
      <c r="AL730" s="3"/>
      <c r="AM730" s="3"/>
      <c r="AN730" s="3"/>
      <c r="AO730" s="3"/>
      <c r="AP730" s="3"/>
      <c r="AQ730" s="3"/>
      <c r="AR730" s="3"/>
    </row>
    <row r="731" spans="1:44" ht="16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S731" s="3"/>
      <c r="T731" s="3"/>
      <c r="U731" s="3"/>
      <c r="V731" s="3"/>
      <c r="W731" s="3"/>
      <c r="X731" s="3"/>
      <c r="Y731" s="3"/>
      <c r="Z731" s="3"/>
      <c r="AB731" s="3"/>
      <c r="AC731" s="3"/>
      <c r="AD731" s="3"/>
      <c r="AE731" s="3"/>
      <c r="AF731" s="3"/>
      <c r="AG731" s="3"/>
      <c r="AH731" s="3"/>
      <c r="AI731" s="3"/>
      <c r="AK731" s="3"/>
      <c r="AL731" s="3"/>
      <c r="AM731" s="3"/>
      <c r="AN731" s="3"/>
      <c r="AO731" s="3"/>
      <c r="AP731" s="3"/>
      <c r="AQ731" s="3"/>
      <c r="AR731" s="3"/>
    </row>
    <row r="732" spans="1:44" ht="16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S732" s="3"/>
      <c r="T732" s="3"/>
      <c r="U732" s="3"/>
      <c r="V732" s="3"/>
      <c r="W732" s="3"/>
      <c r="X732" s="3"/>
      <c r="Y732" s="3"/>
      <c r="Z732" s="3"/>
      <c r="AB732" s="3"/>
      <c r="AC732" s="3"/>
      <c r="AD732" s="3"/>
      <c r="AE732" s="3"/>
      <c r="AF732" s="3"/>
      <c r="AG732" s="3"/>
      <c r="AH732" s="3"/>
      <c r="AI732" s="3"/>
      <c r="AK732" s="3"/>
      <c r="AL732" s="3"/>
      <c r="AM732" s="3"/>
      <c r="AN732" s="3"/>
      <c r="AO732" s="3"/>
      <c r="AP732" s="3"/>
      <c r="AQ732" s="3"/>
      <c r="AR732" s="3"/>
    </row>
    <row r="733" spans="1:44" ht="16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S733" s="3"/>
      <c r="T733" s="3"/>
      <c r="U733" s="3"/>
      <c r="V733" s="3"/>
      <c r="W733" s="3"/>
      <c r="X733" s="3"/>
      <c r="Y733" s="3"/>
      <c r="Z733" s="3"/>
      <c r="AB733" s="3"/>
      <c r="AC733" s="3"/>
      <c r="AD733" s="3"/>
      <c r="AE733" s="3"/>
      <c r="AF733" s="3"/>
      <c r="AG733" s="3"/>
      <c r="AH733" s="3"/>
      <c r="AI733" s="3"/>
      <c r="AK733" s="3"/>
      <c r="AL733" s="3"/>
      <c r="AM733" s="3"/>
      <c r="AN733" s="3"/>
      <c r="AO733" s="3"/>
      <c r="AP733" s="3"/>
      <c r="AQ733" s="3"/>
      <c r="AR733" s="3"/>
    </row>
    <row r="734" spans="1:44" ht="16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S734" s="3"/>
      <c r="T734" s="3"/>
      <c r="U734" s="3"/>
      <c r="V734" s="3"/>
      <c r="W734" s="3"/>
      <c r="X734" s="3"/>
      <c r="Y734" s="3"/>
      <c r="Z734" s="3"/>
      <c r="AB734" s="3"/>
      <c r="AC734" s="3"/>
      <c r="AD734" s="3"/>
      <c r="AE734" s="3"/>
      <c r="AF734" s="3"/>
      <c r="AG734" s="3"/>
      <c r="AH734" s="3"/>
      <c r="AI734" s="3"/>
      <c r="AK734" s="3"/>
      <c r="AL734" s="3"/>
      <c r="AM734" s="3"/>
      <c r="AN734" s="3"/>
      <c r="AO734" s="3"/>
      <c r="AP734" s="3"/>
      <c r="AQ734" s="3"/>
      <c r="AR734" s="3"/>
    </row>
    <row r="735" spans="1:44" ht="16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S735" s="3"/>
      <c r="T735" s="3"/>
      <c r="U735" s="3"/>
      <c r="V735" s="3"/>
      <c r="W735" s="3"/>
      <c r="X735" s="3"/>
      <c r="Y735" s="3"/>
      <c r="Z735" s="3"/>
      <c r="AB735" s="3"/>
      <c r="AC735" s="3"/>
      <c r="AD735" s="3"/>
      <c r="AE735" s="3"/>
      <c r="AF735" s="3"/>
      <c r="AG735" s="3"/>
      <c r="AH735" s="3"/>
      <c r="AI735" s="3"/>
      <c r="AK735" s="3"/>
      <c r="AL735" s="3"/>
      <c r="AM735" s="3"/>
      <c r="AN735" s="3"/>
      <c r="AO735" s="3"/>
      <c r="AP735" s="3"/>
      <c r="AQ735" s="3"/>
      <c r="AR735" s="3"/>
    </row>
    <row r="736" spans="1:44" ht="16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S736" s="3"/>
      <c r="T736" s="3"/>
      <c r="U736" s="3"/>
      <c r="V736" s="3"/>
      <c r="W736" s="3"/>
      <c r="X736" s="3"/>
      <c r="Y736" s="3"/>
      <c r="Z736" s="3"/>
      <c r="AB736" s="3"/>
      <c r="AC736" s="3"/>
      <c r="AD736" s="3"/>
      <c r="AE736" s="3"/>
      <c r="AF736" s="3"/>
      <c r="AG736" s="3"/>
      <c r="AH736" s="3"/>
      <c r="AI736" s="3"/>
      <c r="AK736" s="3"/>
      <c r="AL736" s="3"/>
      <c r="AM736" s="3"/>
      <c r="AN736" s="3"/>
      <c r="AO736" s="3"/>
      <c r="AP736" s="3"/>
      <c r="AQ736" s="3"/>
      <c r="AR736" s="3"/>
    </row>
    <row r="737" spans="1:44" ht="16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S737" s="3"/>
      <c r="T737" s="3"/>
      <c r="U737" s="3"/>
      <c r="V737" s="3"/>
      <c r="W737" s="3"/>
      <c r="X737" s="3"/>
      <c r="Y737" s="3"/>
      <c r="Z737" s="3"/>
      <c r="AB737" s="3"/>
      <c r="AC737" s="3"/>
      <c r="AD737" s="3"/>
      <c r="AE737" s="3"/>
      <c r="AF737" s="3"/>
      <c r="AG737" s="3"/>
      <c r="AH737" s="3"/>
      <c r="AI737" s="3"/>
      <c r="AK737" s="3"/>
      <c r="AL737" s="3"/>
      <c r="AM737" s="3"/>
      <c r="AN737" s="3"/>
      <c r="AO737" s="3"/>
      <c r="AP737" s="3"/>
      <c r="AQ737" s="3"/>
      <c r="AR737" s="3"/>
    </row>
    <row r="738" spans="1:44" ht="16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S738" s="3"/>
      <c r="T738" s="3"/>
      <c r="U738" s="3"/>
      <c r="V738" s="3"/>
      <c r="W738" s="3"/>
      <c r="X738" s="3"/>
      <c r="Y738" s="3"/>
      <c r="Z738" s="3"/>
      <c r="AB738" s="3"/>
      <c r="AC738" s="3"/>
      <c r="AD738" s="3"/>
      <c r="AE738" s="3"/>
      <c r="AF738" s="3"/>
      <c r="AG738" s="3"/>
      <c r="AH738" s="3"/>
      <c r="AI738" s="3"/>
      <c r="AK738" s="3"/>
      <c r="AL738" s="3"/>
      <c r="AM738" s="3"/>
      <c r="AN738" s="3"/>
      <c r="AO738" s="3"/>
      <c r="AP738" s="3"/>
      <c r="AQ738" s="3"/>
      <c r="AR738" s="3"/>
    </row>
    <row r="739" spans="1:44" ht="16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S739" s="3"/>
      <c r="T739" s="3"/>
      <c r="U739" s="3"/>
      <c r="V739" s="3"/>
      <c r="W739" s="3"/>
      <c r="X739" s="3"/>
      <c r="Y739" s="3"/>
      <c r="Z739" s="3"/>
      <c r="AB739" s="3"/>
      <c r="AC739" s="3"/>
      <c r="AD739" s="3"/>
      <c r="AE739" s="3"/>
      <c r="AF739" s="3"/>
      <c r="AG739" s="3"/>
      <c r="AH739" s="3"/>
      <c r="AI739" s="3"/>
      <c r="AK739" s="3"/>
      <c r="AL739" s="3"/>
      <c r="AM739" s="3"/>
      <c r="AN739" s="3"/>
      <c r="AO739" s="3"/>
      <c r="AP739" s="3"/>
      <c r="AQ739" s="3"/>
      <c r="AR739" s="3"/>
    </row>
    <row r="740" spans="1:44" ht="16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S740" s="3"/>
      <c r="T740" s="3"/>
      <c r="U740" s="3"/>
      <c r="V740" s="3"/>
      <c r="W740" s="3"/>
      <c r="X740" s="3"/>
      <c r="Y740" s="3"/>
      <c r="Z740" s="3"/>
      <c r="AB740" s="3"/>
      <c r="AC740" s="3"/>
      <c r="AD740" s="3"/>
      <c r="AE740" s="3"/>
      <c r="AF740" s="3"/>
      <c r="AG740" s="3"/>
      <c r="AH740" s="3"/>
      <c r="AI740" s="3"/>
      <c r="AK740" s="3"/>
      <c r="AL740" s="3"/>
      <c r="AM740" s="3"/>
      <c r="AN740" s="3"/>
      <c r="AO740" s="3"/>
      <c r="AP740" s="3"/>
      <c r="AQ740" s="3"/>
      <c r="AR740" s="3"/>
    </row>
    <row r="741" spans="1:44" ht="16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S741" s="3"/>
      <c r="T741" s="3"/>
      <c r="U741" s="3"/>
      <c r="V741" s="3"/>
      <c r="W741" s="3"/>
      <c r="X741" s="3"/>
      <c r="Y741" s="3"/>
      <c r="Z741" s="3"/>
      <c r="AB741" s="3"/>
      <c r="AC741" s="3"/>
      <c r="AD741" s="3"/>
      <c r="AE741" s="3"/>
      <c r="AF741" s="3"/>
      <c r="AG741" s="3"/>
      <c r="AH741" s="3"/>
      <c r="AI741" s="3"/>
      <c r="AK741" s="3"/>
      <c r="AL741" s="3"/>
      <c r="AM741" s="3"/>
      <c r="AN741" s="3"/>
      <c r="AO741" s="3"/>
      <c r="AP741" s="3"/>
      <c r="AQ741" s="3"/>
      <c r="AR741" s="3"/>
    </row>
    <row r="742" spans="1:44" ht="16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S742" s="3"/>
      <c r="T742" s="3"/>
      <c r="U742" s="3"/>
      <c r="V742" s="3"/>
      <c r="W742" s="3"/>
      <c r="X742" s="3"/>
      <c r="Y742" s="3"/>
      <c r="Z742" s="3"/>
      <c r="AB742" s="3"/>
      <c r="AC742" s="3"/>
      <c r="AD742" s="3"/>
      <c r="AE742" s="3"/>
      <c r="AF742" s="3"/>
      <c r="AG742" s="3"/>
      <c r="AH742" s="3"/>
      <c r="AI742" s="3"/>
      <c r="AK742" s="3"/>
      <c r="AL742" s="3"/>
      <c r="AM742" s="3"/>
      <c r="AN742" s="3"/>
      <c r="AO742" s="3"/>
      <c r="AP742" s="3"/>
      <c r="AQ742" s="3"/>
      <c r="AR742" s="3"/>
    </row>
    <row r="743" spans="1:44" ht="16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S743" s="3"/>
      <c r="T743" s="3"/>
      <c r="U743" s="3"/>
      <c r="V743" s="3"/>
      <c r="W743" s="3"/>
      <c r="X743" s="3"/>
      <c r="Y743" s="3"/>
      <c r="Z743" s="3"/>
      <c r="AB743" s="3"/>
      <c r="AC743" s="3"/>
      <c r="AD743" s="3"/>
      <c r="AE743" s="3"/>
      <c r="AF743" s="3"/>
      <c r="AG743" s="3"/>
      <c r="AH743" s="3"/>
      <c r="AI743" s="3"/>
      <c r="AK743" s="3"/>
      <c r="AL743" s="3"/>
      <c r="AM743" s="3"/>
      <c r="AN743" s="3"/>
      <c r="AO743" s="3"/>
      <c r="AP743" s="3"/>
      <c r="AQ743" s="3"/>
      <c r="AR743" s="3"/>
    </row>
    <row r="744" spans="1:44" ht="16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S744" s="3"/>
      <c r="T744" s="3"/>
      <c r="U744" s="3"/>
      <c r="V744" s="3"/>
      <c r="W744" s="3"/>
      <c r="X744" s="3"/>
      <c r="Y744" s="3"/>
      <c r="Z744" s="3"/>
      <c r="AB744" s="3"/>
      <c r="AC744" s="3"/>
      <c r="AD744" s="3"/>
      <c r="AE744" s="3"/>
      <c r="AF744" s="3"/>
      <c r="AG744" s="3"/>
      <c r="AH744" s="3"/>
      <c r="AI744" s="3"/>
      <c r="AK744" s="3"/>
      <c r="AL744" s="3"/>
      <c r="AM744" s="3"/>
      <c r="AN744" s="3"/>
      <c r="AO744" s="3"/>
      <c r="AP744" s="3"/>
      <c r="AQ744" s="3"/>
      <c r="AR744" s="3"/>
    </row>
    <row r="745" spans="1:44" ht="16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S745" s="3"/>
      <c r="T745" s="3"/>
      <c r="U745" s="3"/>
      <c r="V745" s="3"/>
      <c r="W745" s="3"/>
      <c r="X745" s="3"/>
      <c r="Y745" s="3"/>
      <c r="Z745" s="3"/>
      <c r="AB745" s="3"/>
      <c r="AC745" s="3"/>
      <c r="AD745" s="3"/>
      <c r="AE745" s="3"/>
      <c r="AF745" s="3"/>
      <c r="AG745" s="3"/>
      <c r="AH745" s="3"/>
      <c r="AI745" s="3"/>
      <c r="AK745" s="3"/>
      <c r="AL745" s="3"/>
      <c r="AM745" s="3"/>
      <c r="AN745" s="3"/>
      <c r="AO745" s="3"/>
      <c r="AP745" s="3"/>
      <c r="AQ745" s="3"/>
      <c r="AR745" s="3"/>
    </row>
    <row r="746" spans="1:44" ht="16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S746" s="3"/>
      <c r="T746" s="3"/>
      <c r="U746" s="3"/>
      <c r="V746" s="3"/>
      <c r="W746" s="3"/>
      <c r="X746" s="3"/>
      <c r="Y746" s="3"/>
      <c r="Z746" s="3"/>
      <c r="AB746" s="3"/>
      <c r="AC746" s="3"/>
      <c r="AD746" s="3"/>
      <c r="AE746" s="3"/>
      <c r="AF746" s="3"/>
      <c r="AG746" s="3"/>
      <c r="AH746" s="3"/>
      <c r="AI746" s="3"/>
      <c r="AK746" s="3"/>
      <c r="AL746" s="3"/>
      <c r="AM746" s="3"/>
      <c r="AN746" s="3"/>
      <c r="AO746" s="3"/>
      <c r="AP746" s="3"/>
      <c r="AQ746" s="3"/>
      <c r="AR746" s="3"/>
    </row>
    <row r="747" spans="1:44" ht="16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S747" s="3"/>
      <c r="T747" s="3"/>
      <c r="U747" s="3"/>
      <c r="V747" s="3"/>
      <c r="W747" s="3"/>
      <c r="X747" s="3"/>
      <c r="Y747" s="3"/>
      <c r="Z747" s="3"/>
      <c r="AB747" s="3"/>
      <c r="AC747" s="3"/>
      <c r="AD747" s="3"/>
      <c r="AE747" s="3"/>
      <c r="AF747" s="3"/>
      <c r="AG747" s="3"/>
      <c r="AH747" s="3"/>
      <c r="AI747" s="3"/>
      <c r="AK747" s="3"/>
      <c r="AL747" s="3"/>
      <c r="AM747" s="3"/>
      <c r="AN747" s="3"/>
      <c r="AO747" s="3"/>
      <c r="AP747" s="3"/>
      <c r="AQ747" s="3"/>
      <c r="AR747" s="3"/>
    </row>
    <row r="748" spans="1:44" ht="16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S748" s="3"/>
      <c r="T748" s="3"/>
      <c r="U748" s="3"/>
      <c r="V748" s="3"/>
      <c r="W748" s="3"/>
      <c r="X748" s="3"/>
      <c r="Y748" s="3"/>
      <c r="Z748" s="3"/>
      <c r="AB748" s="3"/>
      <c r="AC748" s="3"/>
      <c r="AD748" s="3"/>
      <c r="AE748" s="3"/>
      <c r="AF748" s="3"/>
      <c r="AG748" s="3"/>
      <c r="AH748" s="3"/>
      <c r="AI748" s="3"/>
      <c r="AK748" s="3"/>
      <c r="AL748" s="3"/>
      <c r="AM748" s="3"/>
      <c r="AN748" s="3"/>
      <c r="AO748" s="3"/>
      <c r="AP748" s="3"/>
      <c r="AQ748" s="3"/>
      <c r="AR748" s="3"/>
    </row>
    <row r="749" spans="1:44" ht="16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S749" s="3"/>
      <c r="T749" s="3"/>
      <c r="U749" s="3"/>
      <c r="V749" s="3"/>
      <c r="W749" s="3"/>
      <c r="X749" s="3"/>
      <c r="Y749" s="3"/>
      <c r="Z749" s="3"/>
      <c r="AB749" s="3"/>
      <c r="AC749" s="3"/>
      <c r="AD749" s="3"/>
      <c r="AE749" s="3"/>
      <c r="AF749" s="3"/>
      <c r="AG749" s="3"/>
      <c r="AH749" s="3"/>
      <c r="AI749" s="3"/>
      <c r="AK749" s="3"/>
      <c r="AL749" s="3"/>
      <c r="AM749" s="3"/>
      <c r="AN749" s="3"/>
      <c r="AO749" s="3"/>
      <c r="AP749" s="3"/>
      <c r="AQ749" s="3"/>
      <c r="AR749" s="3"/>
    </row>
    <row r="750" spans="1:44" ht="16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S750" s="3"/>
      <c r="T750" s="3"/>
      <c r="U750" s="3"/>
      <c r="V750" s="3"/>
      <c r="W750" s="3"/>
      <c r="X750" s="3"/>
      <c r="Y750" s="3"/>
      <c r="Z750" s="3"/>
      <c r="AB750" s="3"/>
      <c r="AC750" s="3"/>
      <c r="AD750" s="3"/>
      <c r="AE750" s="3"/>
      <c r="AF750" s="3"/>
      <c r="AG750" s="3"/>
      <c r="AH750" s="3"/>
      <c r="AI750" s="3"/>
      <c r="AK750" s="3"/>
      <c r="AL750" s="3"/>
      <c r="AM750" s="3"/>
      <c r="AN750" s="3"/>
      <c r="AO750" s="3"/>
      <c r="AP750" s="3"/>
      <c r="AQ750" s="3"/>
      <c r="AR750" s="3"/>
    </row>
    <row r="751" spans="1:44" ht="16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S751" s="3"/>
      <c r="T751" s="3"/>
      <c r="U751" s="3"/>
      <c r="V751" s="3"/>
      <c r="W751" s="3"/>
      <c r="X751" s="3"/>
      <c r="Y751" s="3"/>
      <c r="Z751" s="3"/>
      <c r="AB751" s="3"/>
      <c r="AC751" s="3"/>
      <c r="AD751" s="3"/>
      <c r="AE751" s="3"/>
      <c r="AF751" s="3"/>
      <c r="AG751" s="3"/>
      <c r="AH751" s="3"/>
      <c r="AI751" s="3"/>
      <c r="AK751" s="3"/>
      <c r="AL751" s="3"/>
      <c r="AM751" s="3"/>
      <c r="AN751" s="3"/>
      <c r="AO751" s="3"/>
      <c r="AP751" s="3"/>
      <c r="AQ751" s="3"/>
      <c r="AR751" s="3"/>
    </row>
    <row r="752" spans="1:44" ht="16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S752" s="3"/>
      <c r="T752" s="3"/>
      <c r="U752" s="3"/>
      <c r="V752" s="3"/>
      <c r="W752" s="3"/>
      <c r="X752" s="3"/>
      <c r="Y752" s="3"/>
      <c r="Z752" s="3"/>
      <c r="AB752" s="3"/>
      <c r="AC752" s="3"/>
      <c r="AD752" s="3"/>
      <c r="AE752" s="3"/>
      <c r="AF752" s="3"/>
      <c r="AG752" s="3"/>
      <c r="AH752" s="3"/>
      <c r="AI752" s="3"/>
      <c r="AK752" s="3"/>
      <c r="AL752" s="3"/>
      <c r="AM752" s="3"/>
      <c r="AN752" s="3"/>
      <c r="AO752" s="3"/>
      <c r="AP752" s="3"/>
      <c r="AQ752" s="3"/>
      <c r="AR752" s="3"/>
    </row>
    <row r="753" spans="1:44" ht="16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S753" s="3"/>
      <c r="T753" s="3"/>
      <c r="U753" s="3"/>
      <c r="V753" s="3"/>
      <c r="W753" s="3"/>
      <c r="X753" s="3"/>
      <c r="Y753" s="3"/>
      <c r="Z753" s="3"/>
      <c r="AB753" s="3"/>
      <c r="AC753" s="3"/>
      <c r="AD753" s="3"/>
      <c r="AE753" s="3"/>
      <c r="AF753" s="3"/>
      <c r="AG753" s="3"/>
      <c r="AH753" s="3"/>
      <c r="AI753" s="3"/>
      <c r="AK753" s="3"/>
      <c r="AL753" s="3"/>
      <c r="AM753" s="3"/>
      <c r="AN753" s="3"/>
      <c r="AO753" s="3"/>
      <c r="AP753" s="3"/>
      <c r="AQ753" s="3"/>
      <c r="AR753" s="3"/>
    </row>
    <row r="754" spans="1:44" ht="16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S754" s="3"/>
      <c r="T754" s="3"/>
      <c r="U754" s="3"/>
      <c r="V754" s="3"/>
      <c r="W754" s="3"/>
      <c r="X754" s="3"/>
      <c r="Y754" s="3"/>
      <c r="Z754" s="3"/>
      <c r="AB754" s="3"/>
      <c r="AC754" s="3"/>
      <c r="AD754" s="3"/>
      <c r="AE754" s="3"/>
      <c r="AF754" s="3"/>
      <c r="AG754" s="3"/>
      <c r="AH754" s="3"/>
      <c r="AI754" s="3"/>
      <c r="AK754" s="3"/>
      <c r="AL754" s="3"/>
      <c r="AM754" s="3"/>
      <c r="AN754" s="3"/>
      <c r="AO754" s="3"/>
      <c r="AP754" s="3"/>
      <c r="AQ754" s="3"/>
      <c r="AR754" s="3"/>
    </row>
    <row r="755" spans="1:44" ht="16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S755" s="3"/>
      <c r="T755" s="3"/>
      <c r="U755" s="3"/>
      <c r="V755" s="3"/>
      <c r="W755" s="3"/>
      <c r="X755" s="3"/>
      <c r="Y755" s="3"/>
      <c r="Z755" s="3"/>
      <c r="AB755" s="3"/>
      <c r="AC755" s="3"/>
      <c r="AD755" s="3"/>
      <c r="AE755" s="3"/>
      <c r="AF755" s="3"/>
      <c r="AG755" s="3"/>
      <c r="AH755" s="3"/>
      <c r="AI755" s="3"/>
      <c r="AK755" s="3"/>
      <c r="AL755" s="3"/>
      <c r="AM755" s="3"/>
      <c r="AN755" s="3"/>
      <c r="AO755" s="3"/>
      <c r="AP755" s="3"/>
      <c r="AQ755" s="3"/>
      <c r="AR755" s="3"/>
    </row>
    <row r="756" spans="1:44" ht="16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S756" s="3"/>
      <c r="T756" s="3"/>
      <c r="U756" s="3"/>
      <c r="V756" s="3"/>
      <c r="W756" s="3"/>
      <c r="X756" s="3"/>
      <c r="Y756" s="3"/>
      <c r="Z756" s="3"/>
      <c r="AB756" s="3"/>
      <c r="AC756" s="3"/>
      <c r="AD756" s="3"/>
      <c r="AE756" s="3"/>
      <c r="AF756" s="3"/>
      <c r="AG756" s="3"/>
      <c r="AH756" s="3"/>
      <c r="AI756" s="3"/>
      <c r="AK756" s="3"/>
      <c r="AL756" s="3"/>
      <c r="AM756" s="3"/>
      <c r="AN756" s="3"/>
      <c r="AO756" s="3"/>
      <c r="AP756" s="3"/>
      <c r="AQ756" s="3"/>
      <c r="AR756" s="3"/>
    </row>
    <row r="757" spans="1:44" ht="16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S757" s="3"/>
      <c r="T757" s="3"/>
      <c r="U757" s="3"/>
      <c r="V757" s="3"/>
      <c r="W757" s="3"/>
      <c r="X757" s="3"/>
      <c r="Y757" s="3"/>
      <c r="Z757" s="3"/>
      <c r="AB757" s="3"/>
      <c r="AC757" s="3"/>
      <c r="AD757" s="3"/>
      <c r="AE757" s="3"/>
      <c r="AF757" s="3"/>
      <c r="AG757" s="3"/>
      <c r="AH757" s="3"/>
      <c r="AI757" s="3"/>
      <c r="AK757" s="3"/>
      <c r="AL757" s="3"/>
      <c r="AM757" s="3"/>
      <c r="AN757" s="3"/>
      <c r="AO757" s="3"/>
      <c r="AP757" s="3"/>
      <c r="AQ757" s="3"/>
      <c r="AR757" s="3"/>
    </row>
    <row r="758" spans="1:44" ht="16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S758" s="3"/>
      <c r="T758" s="3"/>
      <c r="U758" s="3"/>
      <c r="V758" s="3"/>
      <c r="W758" s="3"/>
      <c r="X758" s="3"/>
      <c r="Y758" s="3"/>
      <c r="Z758" s="3"/>
      <c r="AB758" s="3"/>
      <c r="AC758" s="3"/>
      <c r="AD758" s="3"/>
      <c r="AE758" s="3"/>
      <c r="AF758" s="3"/>
      <c r="AG758" s="3"/>
      <c r="AH758" s="3"/>
      <c r="AI758" s="3"/>
      <c r="AK758" s="3"/>
      <c r="AL758" s="3"/>
      <c r="AM758" s="3"/>
      <c r="AN758" s="3"/>
      <c r="AO758" s="3"/>
      <c r="AP758" s="3"/>
      <c r="AQ758" s="3"/>
      <c r="AR758" s="3"/>
    </row>
    <row r="759" spans="1:44" ht="16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S759" s="3"/>
      <c r="T759" s="3"/>
      <c r="U759" s="3"/>
      <c r="V759" s="3"/>
      <c r="W759" s="3"/>
      <c r="X759" s="3"/>
      <c r="Y759" s="3"/>
      <c r="Z759" s="3"/>
      <c r="AB759" s="3"/>
      <c r="AC759" s="3"/>
      <c r="AD759" s="3"/>
      <c r="AE759" s="3"/>
      <c r="AF759" s="3"/>
      <c r="AG759" s="3"/>
      <c r="AH759" s="3"/>
      <c r="AI759" s="3"/>
      <c r="AK759" s="3"/>
      <c r="AL759" s="3"/>
      <c r="AM759" s="3"/>
      <c r="AN759" s="3"/>
      <c r="AO759" s="3"/>
      <c r="AP759" s="3"/>
      <c r="AQ759" s="3"/>
      <c r="AR759" s="3"/>
    </row>
    <row r="760" spans="1:44" ht="16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S760" s="3"/>
      <c r="T760" s="3"/>
      <c r="U760" s="3"/>
      <c r="V760" s="3"/>
      <c r="W760" s="3"/>
      <c r="X760" s="3"/>
      <c r="Y760" s="3"/>
      <c r="Z760" s="3"/>
      <c r="AB760" s="3"/>
      <c r="AC760" s="3"/>
      <c r="AD760" s="3"/>
      <c r="AE760" s="3"/>
      <c r="AF760" s="3"/>
      <c r="AG760" s="3"/>
      <c r="AH760" s="3"/>
      <c r="AI760" s="3"/>
      <c r="AK760" s="3"/>
      <c r="AL760" s="3"/>
      <c r="AM760" s="3"/>
      <c r="AN760" s="3"/>
      <c r="AO760" s="3"/>
      <c r="AP760" s="3"/>
      <c r="AQ760" s="3"/>
      <c r="AR760" s="3"/>
    </row>
    <row r="761" spans="1:44" ht="16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S761" s="3"/>
      <c r="T761" s="3"/>
      <c r="U761" s="3"/>
      <c r="V761" s="3"/>
      <c r="W761" s="3"/>
      <c r="X761" s="3"/>
      <c r="Y761" s="3"/>
      <c r="Z761" s="3"/>
      <c r="AB761" s="3"/>
      <c r="AC761" s="3"/>
      <c r="AD761" s="3"/>
      <c r="AE761" s="3"/>
      <c r="AF761" s="3"/>
      <c r="AG761" s="3"/>
      <c r="AH761" s="3"/>
      <c r="AI761" s="3"/>
      <c r="AK761" s="3"/>
      <c r="AL761" s="3"/>
      <c r="AM761" s="3"/>
      <c r="AN761" s="3"/>
      <c r="AO761" s="3"/>
      <c r="AP761" s="3"/>
      <c r="AQ761" s="3"/>
      <c r="AR761" s="3"/>
    </row>
    <row r="762" spans="1:44" ht="16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S762" s="3"/>
      <c r="T762" s="3"/>
      <c r="U762" s="3"/>
      <c r="V762" s="3"/>
      <c r="W762" s="3"/>
      <c r="X762" s="3"/>
      <c r="Y762" s="3"/>
      <c r="Z762" s="3"/>
      <c r="AB762" s="3"/>
      <c r="AC762" s="3"/>
      <c r="AD762" s="3"/>
      <c r="AE762" s="3"/>
      <c r="AF762" s="3"/>
      <c r="AG762" s="3"/>
      <c r="AH762" s="3"/>
      <c r="AI762" s="3"/>
      <c r="AK762" s="3"/>
      <c r="AL762" s="3"/>
      <c r="AM762" s="3"/>
      <c r="AN762" s="3"/>
      <c r="AO762" s="3"/>
      <c r="AP762" s="3"/>
      <c r="AQ762" s="3"/>
      <c r="AR762" s="3"/>
    </row>
    <row r="763" spans="1:44" ht="16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S763" s="3"/>
      <c r="T763" s="3"/>
      <c r="U763" s="3"/>
      <c r="V763" s="3"/>
      <c r="W763" s="3"/>
      <c r="X763" s="3"/>
      <c r="Y763" s="3"/>
      <c r="Z763" s="3"/>
      <c r="AB763" s="3"/>
      <c r="AC763" s="3"/>
      <c r="AD763" s="3"/>
      <c r="AE763" s="3"/>
      <c r="AF763" s="3"/>
      <c r="AG763" s="3"/>
      <c r="AH763" s="3"/>
      <c r="AI763" s="3"/>
      <c r="AK763" s="3"/>
      <c r="AL763" s="3"/>
      <c r="AM763" s="3"/>
      <c r="AN763" s="3"/>
      <c r="AO763" s="3"/>
      <c r="AP763" s="3"/>
      <c r="AQ763" s="3"/>
      <c r="AR763" s="3"/>
    </row>
    <row r="764" spans="1:44" ht="16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S764" s="3"/>
      <c r="T764" s="3"/>
      <c r="U764" s="3"/>
      <c r="V764" s="3"/>
      <c r="W764" s="3"/>
      <c r="X764" s="3"/>
      <c r="Y764" s="3"/>
      <c r="Z764" s="3"/>
      <c r="AB764" s="3"/>
      <c r="AC764" s="3"/>
      <c r="AD764" s="3"/>
      <c r="AE764" s="3"/>
      <c r="AF764" s="3"/>
      <c r="AG764" s="3"/>
      <c r="AH764" s="3"/>
      <c r="AI764" s="3"/>
      <c r="AK764" s="3"/>
      <c r="AL764" s="3"/>
      <c r="AM764" s="3"/>
      <c r="AN764" s="3"/>
      <c r="AO764" s="3"/>
      <c r="AP764" s="3"/>
      <c r="AQ764" s="3"/>
      <c r="AR764" s="3"/>
    </row>
    <row r="765" spans="1:44" ht="16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S765" s="3"/>
      <c r="T765" s="3"/>
      <c r="U765" s="3"/>
      <c r="V765" s="3"/>
      <c r="W765" s="3"/>
      <c r="X765" s="3"/>
      <c r="Y765" s="3"/>
      <c r="Z765" s="3"/>
      <c r="AB765" s="3"/>
      <c r="AC765" s="3"/>
      <c r="AD765" s="3"/>
      <c r="AE765" s="3"/>
      <c r="AF765" s="3"/>
      <c r="AG765" s="3"/>
      <c r="AH765" s="3"/>
      <c r="AI765" s="3"/>
      <c r="AK765" s="3"/>
      <c r="AL765" s="3"/>
      <c r="AM765" s="3"/>
      <c r="AN765" s="3"/>
      <c r="AO765" s="3"/>
      <c r="AP765" s="3"/>
      <c r="AQ765" s="3"/>
      <c r="AR765" s="3"/>
    </row>
    <row r="766" spans="1:44" ht="16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S766" s="3"/>
      <c r="T766" s="3"/>
      <c r="U766" s="3"/>
      <c r="V766" s="3"/>
      <c r="W766" s="3"/>
      <c r="X766" s="3"/>
      <c r="Y766" s="3"/>
      <c r="Z766" s="3"/>
      <c r="AB766" s="3"/>
      <c r="AC766" s="3"/>
      <c r="AD766" s="3"/>
      <c r="AE766" s="3"/>
      <c r="AF766" s="3"/>
      <c r="AG766" s="3"/>
      <c r="AH766" s="3"/>
      <c r="AI766" s="3"/>
      <c r="AK766" s="3"/>
      <c r="AL766" s="3"/>
      <c r="AM766" s="3"/>
      <c r="AN766" s="3"/>
      <c r="AO766" s="3"/>
      <c r="AP766" s="3"/>
      <c r="AQ766" s="3"/>
      <c r="AR766" s="3"/>
    </row>
    <row r="767" spans="1:44" ht="16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S767" s="3"/>
      <c r="T767" s="3"/>
      <c r="U767" s="3"/>
      <c r="V767" s="3"/>
      <c r="W767" s="3"/>
      <c r="X767" s="3"/>
      <c r="Y767" s="3"/>
      <c r="Z767" s="3"/>
      <c r="AB767" s="3"/>
      <c r="AC767" s="3"/>
      <c r="AD767" s="3"/>
      <c r="AE767" s="3"/>
      <c r="AF767" s="3"/>
      <c r="AG767" s="3"/>
      <c r="AH767" s="3"/>
      <c r="AI767" s="3"/>
      <c r="AK767" s="3"/>
      <c r="AL767" s="3"/>
      <c r="AM767" s="3"/>
      <c r="AN767" s="3"/>
      <c r="AO767" s="3"/>
      <c r="AP767" s="3"/>
      <c r="AQ767" s="3"/>
      <c r="AR767" s="3"/>
    </row>
    <row r="768" spans="1:44" ht="16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S768" s="3"/>
      <c r="T768" s="3"/>
      <c r="U768" s="3"/>
      <c r="V768" s="3"/>
      <c r="W768" s="3"/>
      <c r="X768" s="3"/>
      <c r="Y768" s="3"/>
      <c r="Z768" s="3"/>
      <c r="AB768" s="3"/>
      <c r="AC768" s="3"/>
      <c r="AD768" s="3"/>
      <c r="AE768" s="3"/>
      <c r="AF768" s="3"/>
      <c r="AG768" s="3"/>
      <c r="AH768" s="3"/>
      <c r="AI768" s="3"/>
      <c r="AK768" s="3"/>
      <c r="AL768" s="3"/>
      <c r="AM768" s="3"/>
      <c r="AN768" s="3"/>
      <c r="AO768" s="3"/>
      <c r="AP768" s="3"/>
      <c r="AQ768" s="3"/>
      <c r="AR768" s="3"/>
    </row>
    <row r="769" spans="1:44" ht="16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S769" s="3"/>
      <c r="T769" s="3"/>
      <c r="U769" s="3"/>
      <c r="V769" s="3"/>
      <c r="W769" s="3"/>
      <c r="X769" s="3"/>
      <c r="Y769" s="3"/>
      <c r="Z769" s="3"/>
      <c r="AB769" s="3"/>
      <c r="AC769" s="3"/>
      <c r="AD769" s="3"/>
      <c r="AE769" s="3"/>
      <c r="AF769" s="3"/>
      <c r="AG769" s="3"/>
      <c r="AH769" s="3"/>
      <c r="AI769" s="3"/>
      <c r="AK769" s="3"/>
      <c r="AL769" s="3"/>
      <c r="AM769" s="3"/>
      <c r="AN769" s="3"/>
      <c r="AO769" s="3"/>
      <c r="AP769" s="3"/>
      <c r="AQ769" s="3"/>
      <c r="AR769" s="3"/>
    </row>
    <row r="770" spans="1:44" ht="16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S770" s="3"/>
      <c r="T770" s="3"/>
      <c r="U770" s="3"/>
      <c r="V770" s="3"/>
      <c r="W770" s="3"/>
      <c r="X770" s="3"/>
      <c r="Y770" s="3"/>
      <c r="Z770" s="3"/>
      <c r="AB770" s="3"/>
      <c r="AC770" s="3"/>
      <c r="AD770" s="3"/>
      <c r="AE770" s="3"/>
      <c r="AF770" s="3"/>
      <c r="AG770" s="3"/>
      <c r="AH770" s="3"/>
      <c r="AI770" s="3"/>
      <c r="AK770" s="3"/>
      <c r="AL770" s="3"/>
      <c r="AM770" s="3"/>
      <c r="AN770" s="3"/>
      <c r="AO770" s="3"/>
      <c r="AP770" s="3"/>
      <c r="AQ770" s="3"/>
      <c r="AR770" s="3"/>
    </row>
    <row r="771" spans="1:44" ht="16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S771" s="3"/>
      <c r="T771" s="3"/>
      <c r="U771" s="3"/>
      <c r="V771" s="3"/>
      <c r="W771" s="3"/>
      <c r="X771" s="3"/>
      <c r="Y771" s="3"/>
      <c r="Z771" s="3"/>
      <c r="AB771" s="3"/>
      <c r="AC771" s="3"/>
      <c r="AD771" s="3"/>
      <c r="AE771" s="3"/>
      <c r="AF771" s="3"/>
      <c r="AG771" s="3"/>
      <c r="AH771" s="3"/>
      <c r="AI771" s="3"/>
      <c r="AK771" s="3"/>
      <c r="AL771" s="3"/>
      <c r="AM771" s="3"/>
      <c r="AN771" s="3"/>
      <c r="AO771" s="3"/>
      <c r="AP771" s="3"/>
      <c r="AQ771" s="3"/>
      <c r="AR771" s="3"/>
    </row>
    <row r="772" spans="1:44" ht="16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S772" s="3"/>
      <c r="T772" s="3"/>
      <c r="U772" s="3"/>
      <c r="V772" s="3"/>
      <c r="W772" s="3"/>
      <c r="X772" s="3"/>
      <c r="Y772" s="3"/>
      <c r="Z772" s="3"/>
      <c r="AB772" s="3"/>
      <c r="AC772" s="3"/>
      <c r="AD772" s="3"/>
      <c r="AE772" s="3"/>
      <c r="AF772" s="3"/>
      <c r="AG772" s="3"/>
      <c r="AH772" s="3"/>
      <c r="AI772" s="3"/>
      <c r="AK772" s="3"/>
      <c r="AL772" s="3"/>
      <c r="AM772" s="3"/>
      <c r="AN772" s="3"/>
      <c r="AO772" s="3"/>
      <c r="AP772" s="3"/>
      <c r="AQ772" s="3"/>
      <c r="AR772" s="3"/>
    </row>
    <row r="773" spans="1:44" ht="16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S773" s="3"/>
      <c r="T773" s="3"/>
      <c r="U773" s="3"/>
      <c r="V773" s="3"/>
      <c r="W773" s="3"/>
      <c r="X773" s="3"/>
      <c r="Y773" s="3"/>
      <c r="Z773" s="3"/>
      <c r="AB773" s="3"/>
      <c r="AC773" s="3"/>
      <c r="AD773" s="3"/>
      <c r="AE773" s="3"/>
      <c r="AF773" s="3"/>
      <c r="AG773" s="3"/>
      <c r="AH773" s="3"/>
      <c r="AI773" s="3"/>
      <c r="AK773" s="3"/>
      <c r="AL773" s="3"/>
      <c r="AM773" s="3"/>
      <c r="AN773" s="3"/>
      <c r="AO773" s="3"/>
      <c r="AP773" s="3"/>
      <c r="AQ773" s="3"/>
      <c r="AR773" s="3"/>
    </row>
    <row r="774" spans="1:44" ht="16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S774" s="3"/>
      <c r="T774" s="3"/>
      <c r="U774" s="3"/>
      <c r="V774" s="3"/>
      <c r="W774" s="3"/>
      <c r="X774" s="3"/>
      <c r="Y774" s="3"/>
      <c r="Z774" s="3"/>
      <c r="AB774" s="3"/>
      <c r="AC774" s="3"/>
      <c r="AD774" s="3"/>
      <c r="AE774" s="3"/>
      <c r="AF774" s="3"/>
      <c r="AG774" s="3"/>
      <c r="AH774" s="3"/>
      <c r="AI774" s="3"/>
      <c r="AK774" s="3"/>
      <c r="AL774" s="3"/>
      <c r="AM774" s="3"/>
      <c r="AN774" s="3"/>
      <c r="AO774" s="3"/>
      <c r="AP774" s="3"/>
      <c r="AQ774" s="3"/>
      <c r="AR774" s="3"/>
    </row>
    <row r="775" spans="1:44" ht="16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S775" s="3"/>
      <c r="T775" s="3"/>
      <c r="U775" s="3"/>
      <c r="V775" s="3"/>
      <c r="W775" s="3"/>
      <c r="X775" s="3"/>
      <c r="Y775" s="3"/>
      <c r="Z775" s="3"/>
      <c r="AB775" s="3"/>
      <c r="AC775" s="3"/>
      <c r="AD775" s="3"/>
      <c r="AE775" s="3"/>
      <c r="AF775" s="3"/>
      <c r="AG775" s="3"/>
      <c r="AH775" s="3"/>
      <c r="AI775" s="3"/>
      <c r="AK775" s="3"/>
      <c r="AL775" s="3"/>
      <c r="AM775" s="3"/>
      <c r="AN775" s="3"/>
      <c r="AO775" s="3"/>
      <c r="AP775" s="3"/>
      <c r="AQ775" s="3"/>
      <c r="AR775" s="3"/>
    </row>
    <row r="776" spans="1:44" ht="16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S776" s="3"/>
      <c r="T776" s="3"/>
      <c r="U776" s="3"/>
      <c r="V776" s="3"/>
      <c r="W776" s="3"/>
      <c r="X776" s="3"/>
      <c r="Y776" s="3"/>
      <c r="Z776" s="3"/>
      <c r="AB776" s="3"/>
      <c r="AC776" s="3"/>
      <c r="AD776" s="3"/>
      <c r="AE776" s="3"/>
      <c r="AF776" s="3"/>
      <c r="AG776" s="3"/>
      <c r="AH776" s="3"/>
      <c r="AI776" s="3"/>
      <c r="AK776" s="3"/>
      <c r="AL776" s="3"/>
      <c r="AM776" s="3"/>
      <c r="AN776" s="3"/>
      <c r="AO776" s="3"/>
      <c r="AP776" s="3"/>
      <c r="AQ776" s="3"/>
      <c r="AR776" s="3"/>
    </row>
    <row r="777" spans="1:44" ht="16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S777" s="3"/>
      <c r="T777" s="3"/>
      <c r="U777" s="3"/>
      <c r="V777" s="3"/>
      <c r="W777" s="3"/>
      <c r="X777" s="3"/>
      <c r="Y777" s="3"/>
      <c r="Z777" s="3"/>
      <c r="AB777" s="3"/>
      <c r="AC777" s="3"/>
      <c r="AD777" s="3"/>
      <c r="AE777" s="3"/>
      <c r="AF777" s="3"/>
      <c r="AG777" s="3"/>
      <c r="AH777" s="3"/>
      <c r="AI777" s="3"/>
      <c r="AK777" s="3"/>
      <c r="AL777" s="3"/>
      <c r="AM777" s="3"/>
      <c r="AN777" s="3"/>
      <c r="AO777" s="3"/>
      <c r="AP777" s="3"/>
      <c r="AQ777" s="3"/>
      <c r="AR777" s="3"/>
    </row>
    <row r="778" spans="1:44" ht="16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S778" s="3"/>
      <c r="T778" s="3"/>
      <c r="U778" s="3"/>
      <c r="V778" s="3"/>
      <c r="W778" s="3"/>
      <c r="X778" s="3"/>
      <c r="Y778" s="3"/>
      <c r="Z778" s="3"/>
      <c r="AB778" s="3"/>
      <c r="AC778" s="3"/>
      <c r="AD778" s="3"/>
      <c r="AE778" s="3"/>
      <c r="AF778" s="3"/>
      <c r="AG778" s="3"/>
      <c r="AH778" s="3"/>
      <c r="AI778" s="3"/>
      <c r="AK778" s="3"/>
      <c r="AL778" s="3"/>
      <c r="AM778" s="3"/>
      <c r="AN778" s="3"/>
      <c r="AO778" s="3"/>
      <c r="AP778" s="3"/>
      <c r="AQ778" s="3"/>
      <c r="AR778" s="3"/>
    </row>
    <row r="779" spans="1:44" ht="16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S779" s="3"/>
      <c r="T779" s="3"/>
      <c r="U779" s="3"/>
      <c r="V779" s="3"/>
      <c r="W779" s="3"/>
      <c r="X779" s="3"/>
      <c r="Y779" s="3"/>
      <c r="Z779" s="3"/>
      <c r="AB779" s="3"/>
      <c r="AC779" s="3"/>
      <c r="AD779" s="3"/>
      <c r="AE779" s="3"/>
      <c r="AF779" s="3"/>
      <c r="AG779" s="3"/>
      <c r="AH779" s="3"/>
      <c r="AI779" s="3"/>
      <c r="AK779" s="3"/>
      <c r="AL779" s="3"/>
      <c r="AM779" s="3"/>
      <c r="AN779" s="3"/>
      <c r="AO779" s="3"/>
      <c r="AP779" s="3"/>
      <c r="AQ779" s="3"/>
      <c r="AR779" s="3"/>
    </row>
    <row r="780" spans="1:44" ht="16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S780" s="3"/>
      <c r="T780" s="3"/>
      <c r="U780" s="3"/>
      <c r="V780" s="3"/>
      <c r="W780" s="3"/>
      <c r="X780" s="3"/>
      <c r="Y780" s="3"/>
      <c r="Z780" s="3"/>
      <c r="AB780" s="3"/>
      <c r="AC780" s="3"/>
      <c r="AD780" s="3"/>
      <c r="AE780" s="3"/>
      <c r="AF780" s="3"/>
      <c r="AG780" s="3"/>
      <c r="AH780" s="3"/>
      <c r="AI780" s="3"/>
      <c r="AK780" s="3"/>
      <c r="AL780" s="3"/>
      <c r="AM780" s="3"/>
      <c r="AN780" s="3"/>
      <c r="AO780" s="3"/>
      <c r="AP780" s="3"/>
      <c r="AQ780" s="3"/>
      <c r="AR780" s="3"/>
    </row>
    <row r="781" spans="1:44" ht="16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S781" s="3"/>
      <c r="T781" s="3"/>
      <c r="U781" s="3"/>
      <c r="V781" s="3"/>
      <c r="W781" s="3"/>
      <c r="X781" s="3"/>
      <c r="Y781" s="3"/>
      <c r="Z781" s="3"/>
      <c r="AB781" s="3"/>
      <c r="AC781" s="3"/>
      <c r="AD781" s="3"/>
      <c r="AE781" s="3"/>
      <c r="AF781" s="3"/>
      <c r="AG781" s="3"/>
      <c r="AH781" s="3"/>
      <c r="AI781" s="3"/>
      <c r="AK781" s="3"/>
      <c r="AL781" s="3"/>
      <c r="AM781" s="3"/>
      <c r="AN781" s="3"/>
      <c r="AO781" s="3"/>
      <c r="AP781" s="3"/>
      <c r="AQ781" s="3"/>
      <c r="AR781" s="3"/>
    </row>
    <row r="782" spans="1:44" ht="16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S782" s="3"/>
      <c r="T782" s="3"/>
      <c r="U782" s="3"/>
      <c r="V782" s="3"/>
      <c r="W782" s="3"/>
      <c r="X782" s="3"/>
      <c r="Y782" s="3"/>
      <c r="Z782" s="3"/>
      <c r="AB782" s="3"/>
      <c r="AC782" s="3"/>
      <c r="AD782" s="3"/>
      <c r="AE782" s="3"/>
      <c r="AF782" s="3"/>
      <c r="AG782" s="3"/>
      <c r="AH782" s="3"/>
      <c r="AI782" s="3"/>
      <c r="AK782" s="3"/>
      <c r="AL782" s="3"/>
      <c r="AM782" s="3"/>
      <c r="AN782" s="3"/>
      <c r="AO782" s="3"/>
      <c r="AP782" s="3"/>
      <c r="AQ782" s="3"/>
      <c r="AR782" s="3"/>
    </row>
    <row r="783" spans="1:44" ht="16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S783" s="3"/>
      <c r="T783" s="3"/>
      <c r="U783" s="3"/>
      <c r="V783" s="3"/>
      <c r="W783" s="3"/>
      <c r="X783" s="3"/>
      <c r="Y783" s="3"/>
      <c r="Z783" s="3"/>
      <c r="AB783" s="3"/>
      <c r="AC783" s="3"/>
      <c r="AD783" s="3"/>
      <c r="AE783" s="3"/>
      <c r="AF783" s="3"/>
      <c r="AG783" s="3"/>
      <c r="AH783" s="3"/>
      <c r="AI783" s="3"/>
      <c r="AK783" s="3"/>
      <c r="AL783" s="3"/>
      <c r="AM783" s="3"/>
      <c r="AN783" s="3"/>
      <c r="AO783" s="3"/>
      <c r="AP783" s="3"/>
      <c r="AQ783" s="3"/>
      <c r="AR783" s="3"/>
    </row>
    <row r="784" spans="1:44" ht="16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S784" s="3"/>
      <c r="T784" s="3"/>
      <c r="U784" s="3"/>
      <c r="V784" s="3"/>
      <c r="W784" s="3"/>
      <c r="X784" s="3"/>
      <c r="Y784" s="3"/>
      <c r="Z784" s="3"/>
      <c r="AB784" s="3"/>
      <c r="AC784" s="3"/>
      <c r="AD784" s="3"/>
      <c r="AE784" s="3"/>
      <c r="AF784" s="3"/>
      <c r="AG784" s="3"/>
      <c r="AH784" s="3"/>
      <c r="AI784" s="3"/>
      <c r="AK784" s="3"/>
      <c r="AL784" s="3"/>
      <c r="AM784" s="3"/>
      <c r="AN784" s="3"/>
      <c r="AO784" s="3"/>
      <c r="AP784" s="3"/>
      <c r="AQ784" s="3"/>
      <c r="AR784" s="3"/>
    </row>
    <row r="785" spans="1:44" ht="16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S785" s="3"/>
      <c r="T785" s="3"/>
      <c r="U785" s="3"/>
      <c r="V785" s="3"/>
      <c r="W785" s="3"/>
      <c r="X785" s="3"/>
      <c r="Y785" s="3"/>
      <c r="Z785" s="3"/>
      <c r="AB785" s="3"/>
      <c r="AC785" s="3"/>
      <c r="AD785" s="3"/>
      <c r="AE785" s="3"/>
      <c r="AF785" s="3"/>
      <c r="AG785" s="3"/>
      <c r="AH785" s="3"/>
      <c r="AI785" s="3"/>
      <c r="AK785" s="3"/>
      <c r="AL785" s="3"/>
      <c r="AM785" s="3"/>
      <c r="AN785" s="3"/>
      <c r="AO785" s="3"/>
      <c r="AP785" s="3"/>
      <c r="AQ785" s="3"/>
      <c r="AR785" s="3"/>
    </row>
    <row r="786" spans="1:44" ht="16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S786" s="3"/>
      <c r="T786" s="3"/>
      <c r="U786" s="3"/>
      <c r="V786" s="3"/>
      <c r="W786" s="3"/>
      <c r="X786" s="3"/>
      <c r="Y786" s="3"/>
      <c r="Z786" s="3"/>
      <c r="AB786" s="3"/>
      <c r="AC786" s="3"/>
      <c r="AD786" s="3"/>
      <c r="AE786" s="3"/>
      <c r="AF786" s="3"/>
      <c r="AG786" s="3"/>
      <c r="AH786" s="3"/>
      <c r="AI786" s="3"/>
      <c r="AK786" s="3"/>
      <c r="AL786" s="3"/>
      <c r="AM786" s="3"/>
      <c r="AN786" s="3"/>
      <c r="AO786" s="3"/>
      <c r="AP786" s="3"/>
      <c r="AQ786" s="3"/>
      <c r="AR786" s="3"/>
    </row>
    <row r="787" spans="1:44" ht="16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S787" s="3"/>
      <c r="T787" s="3"/>
      <c r="U787" s="3"/>
      <c r="V787" s="3"/>
      <c r="W787" s="3"/>
      <c r="X787" s="3"/>
      <c r="Y787" s="3"/>
      <c r="Z787" s="3"/>
      <c r="AB787" s="3"/>
      <c r="AC787" s="3"/>
      <c r="AD787" s="3"/>
      <c r="AE787" s="3"/>
      <c r="AF787" s="3"/>
      <c r="AG787" s="3"/>
      <c r="AH787" s="3"/>
      <c r="AI787" s="3"/>
      <c r="AK787" s="3"/>
      <c r="AL787" s="3"/>
      <c r="AM787" s="3"/>
      <c r="AN787" s="3"/>
      <c r="AO787" s="3"/>
      <c r="AP787" s="3"/>
      <c r="AQ787" s="3"/>
      <c r="AR787" s="3"/>
    </row>
    <row r="788" spans="1:44" ht="16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S788" s="3"/>
      <c r="T788" s="3"/>
      <c r="U788" s="3"/>
      <c r="V788" s="3"/>
      <c r="W788" s="3"/>
      <c r="X788" s="3"/>
      <c r="Y788" s="3"/>
      <c r="Z788" s="3"/>
      <c r="AB788" s="3"/>
      <c r="AC788" s="3"/>
      <c r="AD788" s="3"/>
      <c r="AE788" s="3"/>
      <c r="AF788" s="3"/>
      <c r="AG788" s="3"/>
      <c r="AH788" s="3"/>
      <c r="AI788" s="3"/>
      <c r="AK788" s="3"/>
      <c r="AL788" s="3"/>
      <c r="AM788" s="3"/>
      <c r="AN788" s="3"/>
      <c r="AO788" s="3"/>
      <c r="AP788" s="3"/>
      <c r="AQ788" s="3"/>
      <c r="AR788" s="3"/>
    </row>
    <row r="789" spans="1:44" ht="16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S789" s="3"/>
      <c r="T789" s="3"/>
      <c r="U789" s="3"/>
      <c r="V789" s="3"/>
      <c r="W789" s="3"/>
      <c r="X789" s="3"/>
      <c r="Y789" s="3"/>
      <c r="Z789" s="3"/>
      <c r="AB789" s="3"/>
      <c r="AC789" s="3"/>
      <c r="AD789" s="3"/>
      <c r="AE789" s="3"/>
      <c r="AF789" s="3"/>
      <c r="AG789" s="3"/>
      <c r="AH789" s="3"/>
      <c r="AI789" s="3"/>
      <c r="AK789" s="3"/>
      <c r="AL789" s="3"/>
      <c r="AM789" s="3"/>
      <c r="AN789" s="3"/>
      <c r="AO789" s="3"/>
      <c r="AP789" s="3"/>
      <c r="AQ789" s="3"/>
      <c r="AR789" s="3"/>
    </row>
    <row r="790" spans="1:44" ht="16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S790" s="3"/>
      <c r="T790" s="3"/>
      <c r="U790" s="3"/>
      <c r="V790" s="3"/>
      <c r="W790" s="3"/>
      <c r="X790" s="3"/>
      <c r="Y790" s="3"/>
      <c r="Z790" s="3"/>
      <c r="AB790" s="3"/>
      <c r="AC790" s="3"/>
      <c r="AD790" s="3"/>
      <c r="AE790" s="3"/>
      <c r="AF790" s="3"/>
      <c r="AG790" s="3"/>
      <c r="AH790" s="3"/>
      <c r="AI790" s="3"/>
      <c r="AK790" s="3"/>
      <c r="AL790" s="3"/>
      <c r="AM790" s="3"/>
      <c r="AN790" s="3"/>
      <c r="AO790" s="3"/>
      <c r="AP790" s="3"/>
      <c r="AQ790" s="3"/>
      <c r="AR790" s="3"/>
    </row>
    <row r="791" spans="1:44" ht="16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S791" s="3"/>
      <c r="T791" s="3"/>
      <c r="U791" s="3"/>
      <c r="V791" s="3"/>
      <c r="W791" s="3"/>
      <c r="X791" s="3"/>
      <c r="Y791" s="3"/>
      <c r="Z791" s="3"/>
      <c r="AB791" s="3"/>
      <c r="AC791" s="3"/>
      <c r="AD791" s="3"/>
      <c r="AE791" s="3"/>
      <c r="AF791" s="3"/>
      <c r="AG791" s="3"/>
      <c r="AH791" s="3"/>
      <c r="AI791" s="3"/>
      <c r="AK791" s="3"/>
      <c r="AL791" s="3"/>
      <c r="AM791" s="3"/>
      <c r="AN791" s="3"/>
      <c r="AO791" s="3"/>
      <c r="AP791" s="3"/>
      <c r="AQ791" s="3"/>
      <c r="AR791" s="3"/>
    </row>
    <row r="792" spans="1:44" ht="16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S792" s="3"/>
      <c r="T792" s="3"/>
      <c r="U792" s="3"/>
      <c r="V792" s="3"/>
      <c r="W792" s="3"/>
      <c r="X792" s="3"/>
      <c r="Y792" s="3"/>
      <c r="Z792" s="3"/>
      <c r="AB792" s="3"/>
      <c r="AC792" s="3"/>
      <c r="AD792" s="3"/>
      <c r="AE792" s="3"/>
      <c r="AF792" s="3"/>
      <c r="AG792" s="3"/>
      <c r="AH792" s="3"/>
      <c r="AI792" s="3"/>
      <c r="AK792" s="3"/>
      <c r="AL792" s="3"/>
      <c r="AM792" s="3"/>
      <c r="AN792" s="3"/>
      <c r="AO792" s="3"/>
      <c r="AP792" s="3"/>
      <c r="AQ792" s="3"/>
      <c r="AR792" s="3"/>
    </row>
    <row r="793" spans="1:44" ht="16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S793" s="3"/>
      <c r="T793" s="3"/>
      <c r="U793" s="3"/>
      <c r="V793" s="3"/>
      <c r="W793" s="3"/>
      <c r="X793" s="3"/>
      <c r="Y793" s="3"/>
      <c r="Z793" s="3"/>
      <c r="AB793" s="3"/>
      <c r="AC793" s="3"/>
      <c r="AD793" s="3"/>
      <c r="AE793" s="3"/>
      <c r="AF793" s="3"/>
      <c r="AG793" s="3"/>
      <c r="AH793" s="3"/>
      <c r="AI793" s="3"/>
      <c r="AK793" s="3"/>
      <c r="AL793" s="3"/>
      <c r="AM793" s="3"/>
      <c r="AN793" s="3"/>
      <c r="AO793" s="3"/>
      <c r="AP793" s="3"/>
      <c r="AQ793" s="3"/>
      <c r="AR793" s="3"/>
    </row>
    <row r="794" spans="1:44" ht="16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S794" s="3"/>
      <c r="T794" s="3"/>
      <c r="U794" s="3"/>
      <c r="V794" s="3"/>
      <c r="W794" s="3"/>
      <c r="X794" s="3"/>
      <c r="Y794" s="3"/>
      <c r="Z794" s="3"/>
      <c r="AB794" s="3"/>
      <c r="AC794" s="3"/>
      <c r="AD794" s="3"/>
      <c r="AE794" s="3"/>
      <c r="AF794" s="3"/>
      <c r="AG794" s="3"/>
      <c r="AH794" s="3"/>
      <c r="AI794" s="3"/>
      <c r="AK794" s="3"/>
      <c r="AL794" s="3"/>
      <c r="AM794" s="3"/>
      <c r="AN794" s="3"/>
      <c r="AO794" s="3"/>
      <c r="AP794" s="3"/>
      <c r="AQ794" s="3"/>
      <c r="AR794" s="3"/>
    </row>
    <row r="795" spans="1:44" ht="16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S795" s="3"/>
      <c r="T795" s="3"/>
      <c r="U795" s="3"/>
      <c r="V795" s="3"/>
      <c r="W795" s="3"/>
      <c r="X795" s="3"/>
      <c r="Y795" s="3"/>
      <c r="Z795" s="3"/>
      <c r="AB795" s="3"/>
      <c r="AC795" s="3"/>
      <c r="AD795" s="3"/>
      <c r="AE795" s="3"/>
      <c r="AF795" s="3"/>
      <c r="AG795" s="3"/>
      <c r="AH795" s="3"/>
      <c r="AI795" s="3"/>
      <c r="AK795" s="3"/>
      <c r="AL795" s="3"/>
      <c r="AM795" s="3"/>
      <c r="AN795" s="3"/>
      <c r="AO795" s="3"/>
      <c r="AP795" s="3"/>
      <c r="AQ795" s="3"/>
      <c r="AR795" s="3"/>
    </row>
    <row r="796" spans="1:44" ht="16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S796" s="3"/>
      <c r="T796" s="3"/>
      <c r="U796" s="3"/>
      <c r="V796" s="3"/>
      <c r="W796" s="3"/>
      <c r="X796" s="3"/>
      <c r="Y796" s="3"/>
      <c r="Z796" s="3"/>
      <c r="AB796" s="3"/>
      <c r="AC796" s="3"/>
      <c r="AD796" s="3"/>
      <c r="AE796" s="3"/>
      <c r="AF796" s="3"/>
      <c r="AG796" s="3"/>
      <c r="AH796" s="3"/>
      <c r="AI796" s="3"/>
      <c r="AK796" s="3"/>
      <c r="AL796" s="3"/>
      <c r="AM796" s="3"/>
      <c r="AN796" s="3"/>
      <c r="AO796" s="3"/>
      <c r="AP796" s="3"/>
      <c r="AQ796" s="3"/>
      <c r="AR796" s="3"/>
    </row>
    <row r="797" spans="1:44" ht="16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S797" s="3"/>
      <c r="T797" s="3"/>
      <c r="U797" s="3"/>
      <c r="V797" s="3"/>
      <c r="W797" s="3"/>
      <c r="X797" s="3"/>
      <c r="Y797" s="3"/>
      <c r="Z797" s="3"/>
      <c r="AB797" s="3"/>
      <c r="AC797" s="3"/>
      <c r="AD797" s="3"/>
      <c r="AE797" s="3"/>
      <c r="AF797" s="3"/>
      <c r="AG797" s="3"/>
      <c r="AH797" s="3"/>
      <c r="AI797" s="3"/>
      <c r="AK797" s="3"/>
      <c r="AL797" s="3"/>
      <c r="AM797" s="3"/>
      <c r="AN797" s="3"/>
      <c r="AO797" s="3"/>
      <c r="AP797" s="3"/>
      <c r="AQ797" s="3"/>
      <c r="AR797" s="3"/>
    </row>
    <row r="798" spans="1:44" ht="16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S798" s="3"/>
      <c r="T798" s="3"/>
      <c r="U798" s="3"/>
      <c r="V798" s="3"/>
      <c r="W798" s="3"/>
      <c r="X798" s="3"/>
      <c r="Y798" s="3"/>
      <c r="Z798" s="3"/>
      <c r="AB798" s="3"/>
      <c r="AC798" s="3"/>
      <c r="AD798" s="3"/>
      <c r="AE798" s="3"/>
      <c r="AF798" s="3"/>
      <c r="AG798" s="3"/>
      <c r="AH798" s="3"/>
      <c r="AI798" s="3"/>
      <c r="AK798" s="3"/>
      <c r="AL798" s="3"/>
      <c r="AM798" s="3"/>
      <c r="AN798" s="3"/>
      <c r="AO798" s="3"/>
      <c r="AP798" s="3"/>
      <c r="AQ798" s="3"/>
      <c r="AR798" s="3"/>
    </row>
    <row r="799" spans="1:44" ht="16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S799" s="3"/>
      <c r="T799" s="3"/>
      <c r="U799" s="3"/>
      <c r="V799" s="3"/>
      <c r="W799" s="3"/>
      <c r="X799" s="3"/>
      <c r="Y799" s="3"/>
      <c r="Z799" s="3"/>
      <c r="AB799" s="3"/>
      <c r="AC799" s="3"/>
      <c r="AD799" s="3"/>
      <c r="AE799" s="3"/>
      <c r="AF799" s="3"/>
      <c r="AG799" s="3"/>
      <c r="AH799" s="3"/>
      <c r="AI799" s="3"/>
      <c r="AK799" s="3"/>
      <c r="AL799" s="3"/>
      <c r="AM799" s="3"/>
      <c r="AN799" s="3"/>
      <c r="AO799" s="3"/>
      <c r="AP799" s="3"/>
      <c r="AQ799" s="3"/>
      <c r="AR799" s="3"/>
    </row>
    <row r="800" spans="1:44" ht="16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S800" s="3"/>
      <c r="T800" s="3"/>
      <c r="U800" s="3"/>
      <c r="V800" s="3"/>
      <c r="W800" s="3"/>
      <c r="X800" s="3"/>
      <c r="Y800" s="3"/>
      <c r="Z800" s="3"/>
      <c r="AB800" s="3"/>
      <c r="AC800" s="3"/>
      <c r="AD800" s="3"/>
      <c r="AE800" s="3"/>
      <c r="AF800" s="3"/>
      <c r="AG800" s="3"/>
      <c r="AH800" s="3"/>
      <c r="AI800" s="3"/>
      <c r="AK800" s="3"/>
      <c r="AL800" s="3"/>
      <c r="AM800" s="3"/>
      <c r="AN800" s="3"/>
      <c r="AO800" s="3"/>
      <c r="AP800" s="3"/>
      <c r="AQ800" s="3"/>
      <c r="AR800" s="3"/>
    </row>
    <row r="801" spans="1:44" ht="16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S801" s="3"/>
      <c r="T801" s="3"/>
      <c r="U801" s="3"/>
      <c r="V801" s="3"/>
      <c r="W801" s="3"/>
      <c r="X801" s="3"/>
      <c r="Y801" s="3"/>
      <c r="Z801" s="3"/>
      <c r="AB801" s="3"/>
      <c r="AC801" s="3"/>
      <c r="AD801" s="3"/>
      <c r="AE801" s="3"/>
      <c r="AF801" s="3"/>
      <c r="AG801" s="3"/>
      <c r="AH801" s="3"/>
      <c r="AI801" s="3"/>
      <c r="AK801" s="3"/>
      <c r="AL801" s="3"/>
      <c r="AM801" s="3"/>
      <c r="AN801" s="3"/>
      <c r="AO801" s="3"/>
      <c r="AP801" s="3"/>
      <c r="AQ801" s="3"/>
      <c r="AR801" s="3"/>
    </row>
    <row r="802" spans="1:44" ht="16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S802" s="3"/>
      <c r="T802" s="3"/>
      <c r="U802" s="3"/>
      <c r="V802" s="3"/>
      <c r="W802" s="3"/>
      <c r="X802" s="3"/>
      <c r="Y802" s="3"/>
      <c r="Z802" s="3"/>
      <c r="AB802" s="3"/>
      <c r="AC802" s="3"/>
      <c r="AD802" s="3"/>
      <c r="AE802" s="3"/>
      <c r="AF802" s="3"/>
      <c r="AG802" s="3"/>
      <c r="AH802" s="3"/>
      <c r="AI802" s="3"/>
      <c r="AK802" s="3"/>
      <c r="AL802" s="3"/>
      <c r="AM802" s="3"/>
      <c r="AN802" s="3"/>
      <c r="AO802" s="3"/>
      <c r="AP802" s="3"/>
      <c r="AQ802" s="3"/>
      <c r="AR802" s="3"/>
    </row>
    <row r="803" spans="1:44" ht="16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S803" s="3"/>
      <c r="T803" s="3"/>
      <c r="U803" s="3"/>
      <c r="V803" s="3"/>
      <c r="W803" s="3"/>
      <c r="X803" s="3"/>
      <c r="Y803" s="3"/>
      <c r="Z803" s="3"/>
      <c r="AB803" s="3"/>
      <c r="AC803" s="3"/>
      <c r="AD803" s="3"/>
      <c r="AE803" s="3"/>
      <c r="AF803" s="3"/>
      <c r="AG803" s="3"/>
      <c r="AH803" s="3"/>
      <c r="AI803" s="3"/>
      <c r="AK803" s="3"/>
      <c r="AL803" s="3"/>
      <c r="AM803" s="3"/>
      <c r="AN803" s="3"/>
      <c r="AO803" s="3"/>
      <c r="AP803" s="3"/>
      <c r="AQ803" s="3"/>
      <c r="AR803" s="3"/>
    </row>
    <row r="804" spans="1:44" ht="16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S804" s="3"/>
      <c r="T804" s="3"/>
      <c r="U804" s="3"/>
      <c r="V804" s="3"/>
      <c r="W804" s="3"/>
      <c r="X804" s="3"/>
      <c r="Y804" s="3"/>
      <c r="Z804" s="3"/>
      <c r="AB804" s="3"/>
      <c r="AC804" s="3"/>
      <c r="AD804" s="3"/>
      <c r="AE804" s="3"/>
      <c r="AF804" s="3"/>
      <c r="AG804" s="3"/>
      <c r="AH804" s="3"/>
      <c r="AI804" s="3"/>
      <c r="AK804" s="3"/>
      <c r="AL804" s="3"/>
      <c r="AM804" s="3"/>
      <c r="AN804" s="3"/>
      <c r="AO804" s="3"/>
      <c r="AP804" s="3"/>
      <c r="AQ804" s="3"/>
      <c r="AR804" s="3"/>
    </row>
    <row r="805" spans="1:44" ht="16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S805" s="3"/>
      <c r="T805" s="3"/>
      <c r="U805" s="3"/>
      <c r="V805" s="3"/>
      <c r="W805" s="3"/>
      <c r="X805" s="3"/>
      <c r="Y805" s="3"/>
      <c r="Z805" s="3"/>
      <c r="AB805" s="3"/>
      <c r="AC805" s="3"/>
      <c r="AD805" s="3"/>
      <c r="AE805" s="3"/>
      <c r="AF805" s="3"/>
      <c r="AG805" s="3"/>
      <c r="AH805" s="3"/>
      <c r="AI805" s="3"/>
      <c r="AK805" s="3"/>
      <c r="AL805" s="3"/>
      <c r="AM805" s="3"/>
      <c r="AN805" s="3"/>
      <c r="AO805" s="3"/>
      <c r="AP805" s="3"/>
      <c r="AQ805" s="3"/>
      <c r="AR805" s="3"/>
    </row>
    <row r="806" spans="1:44" ht="16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S806" s="3"/>
      <c r="T806" s="3"/>
      <c r="U806" s="3"/>
      <c r="V806" s="3"/>
      <c r="W806" s="3"/>
      <c r="X806" s="3"/>
      <c r="Y806" s="3"/>
      <c r="Z806" s="3"/>
      <c r="AB806" s="3"/>
      <c r="AC806" s="3"/>
      <c r="AD806" s="3"/>
      <c r="AE806" s="3"/>
      <c r="AF806" s="3"/>
      <c r="AG806" s="3"/>
      <c r="AH806" s="3"/>
      <c r="AI806" s="3"/>
      <c r="AK806" s="3"/>
      <c r="AL806" s="3"/>
      <c r="AM806" s="3"/>
      <c r="AN806" s="3"/>
      <c r="AO806" s="3"/>
      <c r="AP806" s="3"/>
      <c r="AQ806" s="3"/>
      <c r="AR806" s="3"/>
    </row>
    <row r="807" spans="1:44" ht="16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S807" s="3"/>
      <c r="T807" s="3"/>
      <c r="U807" s="3"/>
      <c r="V807" s="3"/>
      <c r="W807" s="3"/>
      <c r="X807" s="3"/>
      <c r="Y807" s="3"/>
      <c r="Z807" s="3"/>
      <c r="AB807" s="3"/>
      <c r="AC807" s="3"/>
      <c r="AD807" s="3"/>
      <c r="AE807" s="3"/>
      <c r="AF807" s="3"/>
      <c r="AG807" s="3"/>
      <c r="AH807" s="3"/>
      <c r="AI807" s="3"/>
      <c r="AK807" s="3"/>
      <c r="AL807" s="3"/>
      <c r="AM807" s="3"/>
      <c r="AN807" s="3"/>
      <c r="AO807" s="3"/>
      <c r="AP807" s="3"/>
      <c r="AQ807" s="3"/>
      <c r="AR807" s="3"/>
    </row>
    <row r="808" spans="1:44" ht="16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S808" s="3"/>
      <c r="T808" s="3"/>
      <c r="U808" s="3"/>
      <c r="V808" s="3"/>
      <c r="W808" s="3"/>
      <c r="X808" s="3"/>
      <c r="Y808" s="3"/>
      <c r="Z808" s="3"/>
      <c r="AB808" s="3"/>
      <c r="AC808" s="3"/>
      <c r="AD808" s="3"/>
      <c r="AE808" s="3"/>
      <c r="AF808" s="3"/>
      <c r="AG808" s="3"/>
      <c r="AH808" s="3"/>
      <c r="AI808" s="3"/>
      <c r="AK808" s="3"/>
      <c r="AL808" s="3"/>
      <c r="AM808" s="3"/>
      <c r="AN808" s="3"/>
      <c r="AO808" s="3"/>
      <c r="AP808" s="3"/>
      <c r="AQ808" s="3"/>
      <c r="AR808" s="3"/>
    </row>
    <row r="809" spans="1:44" ht="16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S809" s="3"/>
      <c r="T809" s="3"/>
      <c r="U809" s="3"/>
      <c r="V809" s="3"/>
      <c r="W809" s="3"/>
      <c r="X809" s="3"/>
      <c r="Y809" s="3"/>
      <c r="Z809" s="3"/>
      <c r="AB809" s="3"/>
      <c r="AC809" s="3"/>
      <c r="AD809" s="3"/>
      <c r="AE809" s="3"/>
      <c r="AF809" s="3"/>
      <c r="AG809" s="3"/>
      <c r="AH809" s="3"/>
      <c r="AI809" s="3"/>
      <c r="AK809" s="3"/>
      <c r="AL809" s="3"/>
      <c r="AM809" s="3"/>
      <c r="AN809" s="3"/>
      <c r="AO809" s="3"/>
      <c r="AP809" s="3"/>
      <c r="AQ809" s="3"/>
      <c r="AR809" s="3"/>
    </row>
    <row r="810" spans="1:44" ht="16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S810" s="3"/>
      <c r="T810" s="3"/>
      <c r="U810" s="3"/>
      <c r="V810" s="3"/>
      <c r="W810" s="3"/>
      <c r="X810" s="3"/>
      <c r="Y810" s="3"/>
      <c r="Z810" s="3"/>
      <c r="AB810" s="3"/>
      <c r="AC810" s="3"/>
      <c r="AD810" s="3"/>
      <c r="AE810" s="3"/>
      <c r="AF810" s="3"/>
      <c r="AG810" s="3"/>
      <c r="AH810" s="3"/>
      <c r="AI810" s="3"/>
      <c r="AK810" s="3"/>
      <c r="AL810" s="3"/>
      <c r="AM810" s="3"/>
      <c r="AN810" s="3"/>
      <c r="AO810" s="3"/>
      <c r="AP810" s="3"/>
      <c r="AQ810" s="3"/>
      <c r="AR810" s="3"/>
    </row>
    <row r="811" spans="1:44" ht="16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S811" s="3"/>
      <c r="T811" s="3"/>
      <c r="U811" s="3"/>
      <c r="V811" s="3"/>
      <c r="W811" s="3"/>
      <c r="X811" s="3"/>
      <c r="Y811" s="3"/>
      <c r="Z811" s="3"/>
      <c r="AB811" s="3"/>
      <c r="AC811" s="3"/>
      <c r="AD811" s="3"/>
      <c r="AE811" s="3"/>
      <c r="AF811" s="3"/>
      <c r="AG811" s="3"/>
      <c r="AH811" s="3"/>
      <c r="AI811" s="3"/>
      <c r="AK811" s="3"/>
      <c r="AL811" s="3"/>
      <c r="AM811" s="3"/>
      <c r="AN811" s="3"/>
      <c r="AO811" s="3"/>
      <c r="AP811" s="3"/>
      <c r="AQ811" s="3"/>
      <c r="AR811" s="3"/>
    </row>
    <row r="812" spans="1:44" ht="16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S812" s="3"/>
      <c r="T812" s="3"/>
      <c r="U812" s="3"/>
      <c r="V812" s="3"/>
      <c r="W812" s="3"/>
      <c r="X812" s="3"/>
      <c r="Y812" s="3"/>
      <c r="Z812" s="3"/>
      <c r="AB812" s="3"/>
      <c r="AC812" s="3"/>
      <c r="AD812" s="3"/>
      <c r="AE812" s="3"/>
      <c r="AF812" s="3"/>
      <c r="AG812" s="3"/>
      <c r="AH812" s="3"/>
      <c r="AI812" s="3"/>
      <c r="AK812" s="3"/>
      <c r="AL812" s="3"/>
      <c r="AM812" s="3"/>
      <c r="AN812" s="3"/>
      <c r="AO812" s="3"/>
      <c r="AP812" s="3"/>
      <c r="AQ812" s="3"/>
      <c r="AR812" s="3"/>
    </row>
    <row r="813" spans="1:44" ht="16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S813" s="3"/>
      <c r="T813" s="3"/>
      <c r="U813" s="3"/>
      <c r="V813" s="3"/>
      <c r="W813" s="3"/>
      <c r="X813" s="3"/>
      <c r="Y813" s="3"/>
      <c r="Z813" s="3"/>
      <c r="AB813" s="3"/>
      <c r="AC813" s="3"/>
      <c r="AD813" s="3"/>
      <c r="AE813" s="3"/>
      <c r="AF813" s="3"/>
      <c r="AG813" s="3"/>
      <c r="AH813" s="3"/>
      <c r="AI813" s="3"/>
      <c r="AK813" s="3"/>
      <c r="AL813" s="3"/>
      <c r="AM813" s="3"/>
      <c r="AN813" s="3"/>
      <c r="AO813" s="3"/>
      <c r="AP813" s="3"/>
      <c r="AQ813" s="3"/>
      <c r="AR813" s="3"/>
    </row>
    <row r="814" spans="1:44" ht="16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S814" s="3"/>
      <c r="T814" s="3"/>
      <c r="U814" s="3"/>
      <c r="V814" s="3"/>
      <c r="W814" s="3"/>
      <c r="X814" s="3"/>
      <c r="Y814" s="3"/>
      <c r="Z814" s="3"/>
      <c r="AB814" s="3"/>
      <c r="AC814" s="3"/>
      <c r="AD814" s="3"/>
      <c r="AE814" s="3"/>
      <c r="AF814" s="3"/>
      <c r="AG814" s="3"/>
      <c r="AH814" s="3"/>
      <c r="AI814" s="3"/>
      <c r="AK814" s="3"/>
      <c r="AL814" s="3"/>
      <c r="AM814" s="3"/>
      <c r="AN814" s="3"/>
      <c r="AO814" s="3"/>
      <c r="AP814" s="3"/>
      <c r="AQ814" s="3"/>
      <c r="AR814" s="3"/>
    </row>
    <row r="815" spans="1:44" ht="16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S815" s="3"/>
      <c r="T815" s="3"/>
      <c r="U815" s="3"/>
      <c r="V815" s="3"/>
      <c r="W815" s="3"/>
      <c r="X815" s="3"/>
      <c r="Y815" s="3"/>
      <c r="Z815" s="3"/>
      <c r="AB815" s="3"/>
      <c r="AC815" s="3"/>
      <c r="AD815" s="3"/>
      <c r="AE815" s="3"/>
      <c r="AF815" s="3"/>
      <c r="AG815" s="3"/>
      <c r="AH815" s="3"/>
      <c r="AI815" s="3"/>
      <c r="AK815" s="3"/>
      <c r="AL815" s="3"/>
      <c r="AM815" s="3"/>
      <c r="AN815" s="3"/>
      <c r="AO815" s="3"/>
      <c r="AP815" s="3"/>
      <c r="AQ815" s="3"/>
      <c r="AR815" s="3"/>
    </row>
    <row r="816" spans="1:44" ht="16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S816" s="3"/>
      <c r="T816" s="3"/>
      <c r="U816" s="3"/>
      <c r="V816" s="3"/>
      <c r="W816" s="3"/>
      <c r="X816" s="3"/>
      <c r="Y816" s="3"/>
      <c r="Z816" s="3"/>
      <c r="AB816" s="3"/>
      <c r="AC816" s="3"/>
      <c r="AD816" s="3"/>
      <c r="AE816" s="3"/>
      <c r="AF816" s="3"/>
      <c r="AG816" s="3"/>
      <c r="AH816" s="3"/>
      <c r="AI816" s="3"/>
      <c r="AK816" s="3"/>
      <c r="AL816" s="3"/>
      <c r="AM816" s="3"/>
      <c r="AN816" s="3"/>
      <c r="AO816" s="3"/>
      <c r="AP816" s="3"/>
      <c r="AQ816" s="3"/>
      <c r="AR816" s="3"/>
    </row>
    <row r="817" spans="1:44" ht="16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S817" s="3"/>
      <c r="T817" s="3"/>
      <c r="U817" s="3"/>
      <c r="V817" s="3"/>
      <c r="W817" s="3"/>
      <c r="X817" s="3"/>
      <c r="Y817" s="3"/>
      <c r="Z817" s="3"/>
      <c r="AB817" s="3"/>
      <c r="AC817" s="3"/>
      <c r="AD817" s="3"/>
      <c r="AE817" s="3"/>
      <c r="AF817" s="3"/>
      <c r="AG817" s="3"/>
      <c r="AH817" s="3"/>
      <c r="AI817" s="3"/>
      <c r="AK817" s="3"/>
      <c r="AL817" s="3"/>
      <c r="AM817" s="3"/>
      <c r="AN817" s="3"/>
      <c r="AO817" s="3"/>
      <c r="AP817" s="3"/>
      <c r="AQ817" s="3"/>
      <c r="AR817" s="3"/>
    </row>
    <row r="818" spans="1:44" ht="16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S818" s="3"/>
      <c r="T818" s="3"/>
      <c r="U818" s="3"/>
      <c r="V818" s="3"/>
      <c r="W818" s="3"/>
      <c r="X818" s="3"/>
      <c r="Y818" s="3"/>
      <c r="Z818" s="3"/>
      <c r="AB818" s="3"/>
      <c r="AC818" s="3"/>
      <c r="AD818" s="3"/>
      <c r="AE818" s="3"/>
      <c r="AF818" s="3"/>
      <c r="AG818" s="3"/>
      <c r="AH818" s="3"/>
      <c r="AI818" s="3"/>
      <c r="AK818" s="3"/>
      <c r="AL818" s="3"/>
      <c r="AM818" s="3"/>
      <c r="AN818" s="3"/>
      <c r="AO818" s="3"/>
      <c r="AP818" s="3"/>
      <c r="AQ818" s="3"/>
      <c r="AR818" s="3"/>
    </row>
    <row r="819" spans="1:44" ht="16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S819" s="3"/>
      <c r="T819" s="3"/>
      <c r="U819" s="3"/>
      <c r="V819" s="3"/>
      <c r="W819" s="3"/>
      <c r="X819" s="3"/>
      <c r="Y819" s="3"/>
      <c r="Z819" s="3"/>
      <c r="AB819" s="3"/>
      <c r="AC819" s="3"/>
      <c r="AD819" s="3"/>
      <c r="AE819" s="3"/>
      <c r="AF819" s="3"/>
      <c r="AG819" s="3"/>
      <c r="AH819" s="3"/>
      <c r="AI819" s="3"/>
      <c r="AK819" s="3"/>
      <c r="AL819" s="3"/>
      <c r="AM819" s="3"/>
      <c r="AN819" s="3"/>
      <c r="AO819" s="3"/>
      <c r="AP819" s="3"/>
      <c r="AQ819" s="3"/>
      <c r="AR819" s="3"/>
    </row>
    <row r="820" spans="1:44" ht="16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S820" s="3"/>
      <c r="T820" s="3"/>
      <c r="U820" s="3"/>
      <c r="V820" s="3"/>
      <c r="W820" s="3"/>
      <c r="X820" s="3"/>
      <c r="Y820" s="3"/>
      <c r="Z820" s="3"/>
      <c r="AB820" s="3"/>
      <c r="AC820" s="3"/>
      <c r="AD820" s="3"/>
      <c r="AE820" s="3"/>
      <c r="AF820" s="3"/>
      <c r="AG820" s="3"/>
      <c r="AH820" s="3"/>
      <c r="AI820" s="3"/>
      <c r="AK820" s="3"/>
      <c r="AL820" s="3"/>
      <c r="AM820" s="3"/>
      <c r="AN820" s="3"/>
      <c r="AO820" s="3"/>
      <c r="AP820" s="3"/>
      <c r="AQ820" s="3"/>
      <c r="AR820" s="3"/>
    </row>
    <row r="821" spans="1:44" ht="16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S821" s="3"/>
      <c r="T821" s="3"/>
      <c r="U821" s="3"/>
      <c r="V821" s="3"/>
      <c r="W821" s="3"/>
      <c r="X821" s="3"/>
      <c r="Y821" s="3"/>
      <c r="Z821" s="3"/>
      <c r="AB821" s="3"/>
      <c r="AC821" s="3"/>
      <c r="AD821" s="3"/>
      <c r="AE821" s="3"/>
      <c r="AF821" s="3"/>
      <c r="AG821" s="3"/>
      <c r="AH821" s="3"/>
      <c r="AI821" s="3"/>
      <c r="AK821" s="3"/>
      <c r="AL821" s="3"/>
      <c r="AM821" s="3"/>
      <c r="AN821" s="3"/>
      <c r="AO821" s="3"/>
      <c r="AP821" s="3"/>
      <c r="AQ821" s="3"/>
      <c r="AR821" s="3"/>
    </row>
    <row r="822" spans="1:44" ht="16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S822" s="3"/>
      <c r="T822" s="3"/>
      <c r="U822" s="3"/>
      <c r="V822" s="3"/>
      <c r="W822" s="3"/>
      <c r="X822" s="3"/>
      <c r="Y822" s="3"/>
      <c r="Z822" s="3"/>
      <c r="AB822" s="3"/>
      <c r="AC822" s="3"/>
      <c r="AD822" s="3"/>
      <c r="AE822" s="3"/>
      <c r="AF822" s="3"/>
      <c r="AG822" s="3"/>
      <c r="AH822" s="3"/>
      <c r="AI822" s="3"/>
      <c r="AK822" s="3"/>
      <c r="AL822" s="3"/>
      <c r="AM822" s="3"/>
      <c r="AN822" s="3"/>
      <c r="AO822" s="3"/>
      <c r="AP822" s="3"/>
      <c r="AQ822" s="3"/>
      <c r="AR822" s="3"/>
    </row>
    <row r="823" spans="1:44" ht="16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S823" s="3"/>
      <c r="T823" s="3"/>
      <c r="U823" s="3"/>
      <c r="V823" s="3"/>
      <c r="W823" s="3"/>
      <c r="X823" s="3"/>
      <c r="Y823" s="3"/>
      <c r="Z823" s="3"/>
      <c r="AB823" s="3"/>
      <c r="AC823" s="3"/>
      <c r="AD823" s="3"/>
      <c r="AE823" s="3"/>
      <c r="AF823" s="3"/>
      <c r="AG823" s="3"/>
      <c r="AH823" s="3"/>
      <c r="AI823" s="3"/>
      <c r="AK823" s="3"/>
      <c r="AL823" s="3"/>
      <c r="AM823" s="3"/>
      <c r="AN823" s="3"/>
      <c r="AO823" s="3"/>
      <c r="AP823" s="3"/>
      <c r="AQ823" s="3"/>
      <c r="AR823" s="3"/>
    </row>
    <row r="824" spans="1:44" ht="16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S824" s="3"/>
      <c r="T824" s="3"/>
      <c r="U824" s="3"/>
      <c r="V824" s="3"/>
      <c r="W824" s="3"/>
      <c r="X824" s="3"/>
      <c r="Y824" s="3"/>
      <c r="Z824" s="3"/>
      <c r="AB824" s="3"/>
      <c r="AC824" s="3"/>
      <c r="AD824" s="3"/>
      <c r="AE824" s="3"/>
      <c r="AF824" s="3"/>
      <c r="AG824" s="3"/>
      <c r="AH824" s="3"/>
      <c r="AI824" s="3"/>
      <c r="AK824" s="3"/>
      <c r="AL824" s="3"/>
      <c r="AM824" s="3"/>
      <c r="AN824" s="3"/>
      <c r="AO824" s="3"/>
      <c r="AP824" s="3"/>
      <c r="AQ824" s="3"/>
      <c r="AR824" s="3"/>
    </row>
    <row r="825" spans="1:44" ht="16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S825" s="3"/>
      <c r="T825" s="3"/>
      <c r="U825" s="3"/>
      <c r="V825" s="3"/>
      <c r="W825" s="3"/>
      <c r="X825" s="3"/>
      <c r="Y825" s="3"/>
      <c r="Z825" s="3"/>
      <c r="AB825" s="3"/>
      <c r="AC825" s="3"/>
      <c r="AD825" s="3"/>
      <c r="AE825" s="3"/>
      <c r="AF825" s="3"/>
      <c r="AG825" s="3"/>
      <c r="AH825" s="3"/>
      <c r="AI825" s="3"/>
      <c r="AK825" s="3"/>
      <c r="AL825" s="3"/>
      <c r="AM825" s="3"/>
      <c r="AN825" s="3"/>
      <c r="AO825" s="3"/>
      <c r="AP825" s="3"/>
      <c r="AQ825" s="3"/>
      <c r="AR825" s="3"/>
    </row>
    <row r="826" spans="1:44" ht="16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S826" s="3"/>
      <c r="T826" s="3"/>
      <c r="U826" s="3"/>
      <c r="V826" s="3"/>
      <c r="W826" s="3"/>
      <c r="X826" s="3"/>
      <c r="Y826" s="3"/>
      <c r="Z826" s="3"/>
      <c r="AB826" s="3"/>
      <c r="AC826" s="3"/>
      <c r="AD826" s="3"/>
      <c r="AE826" s="3"/>
      <c r="AF826" s="3"/>
      <c r="AG826" s="3"/>
      <c r="AH826" s="3"/>
      <c r="AI826" s="3"/>
      <c r="AK826" s="3"/>
      <c r="AL826" s="3"/>
      <c r="AM826" s="3"/>
      <c r="AN826" s="3"/>
      <c r="AO826" s="3"/>
      <c r="AP826" s="3"/>
      <c r="AQ826" s="3"/>
      <c r="AR826" s="3"/>
    </row>
    <row r="827" spans="1:44" ht="16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S827" s="3"/>
      <c r="T827" s="3"/>
      <c r="U827" s="3"/>
      <c r="V827" s="3"/>
      <c r="W827" s="3"/>
      <c r="X827" s="3"/>
      <c r="Y827" s="3"/>
      <c r="Z827" s="3"/>
      <c r="AB827" s="3"/>
      <c r="AC827" s="3"/>
      <c r="AD827" s="3"/>
      <c r="AE827" s="3"/>
      <c r="AF827" s="3"/>
      <c r="AG827" s="3"/>
      <c r="AH827" s="3"/>
      <c r="AI827" s="3"/>
      <c r="AK827" s="3"/>
      <c r="AL827" s="3"/>
      <c r="AM827" s="3"/>
      <c r="AN827" s="3"/>
      <c r="AO827" s="3"/>
      <c r="AP827" s="3"/>
      <c r="AQ827" s="3"/>
      <c r="AR827" s="3"/>
    </row>
    <row r="828" spans="1:44" ht="16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S828" s="3"/>
      <c r="T828" s="3"/>
      <c r="U828" s="3"/>
      <c r="V828" s="3"/>
      <c r="W828" s="3"/>
      <c r="X828" s="3"/>
      <c r="Y828" s="3"/>
      <c r="Z828" s="3"/>
      <c r="AB828" s="3"/>
      <c r="AC828" s="3"/>
      <c r="AD828" s="3"/>
      <c r="AE828" s="3"/>
      <c r="AF828" s="3"/>
      <c r="AG828" s="3"/>
      <c r="AH828" s="3"/>
      <c r="AI828" s="3"/>
      <c r="AK828" s="3"/>
      <c r="AL828" s="3"/>
      <c r="AM828" s="3"/>
      <c r="AN828" s="3"/>
      <c r="AO828" s="3"/>
      <c r="AP828" s="3"/>
      <c r="AQ828" s="3"/>
      <c r="AR828" s="3"/>
    </row>
    <row r="829" spans="1:44" ht="16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S829" s="3"/>
      <c r="T829" s="3"/>
      <c r="U829" s="3"/>
      <c r="V829" s="3"/>
      <c r="W829" s="3"/>
      <c r="X829" s="3"/>
      <c r="Y829" s="3"/>
      <c r="Z829" s="3"/>
      <c r="AB829" s="3"/>
      <c r="AC829" s="3"/>
      <c r="AD829" s="3"/>
      <c r="AE829" s="3"/>
      <c r="AF829" s="3"/>
      <c r="AG829" s="3"/>
      <c r="AH829" s="3"/>
      <c r="AI829" s="3"/>
      <c r="AK829" s="3"/>
      <c r="AL829" s="3"/>
      <c r="AM829" s="3"/>
      <c r="AN829" s="3"/>
      <c r="AO829" s="3"/>
      <c r="AP829" s="3"/>
      <c r="AQ829" s="3"/>
      <c r="AR829" s="3"/>
    </row>
    <row r="830" spans="1:44" ht="16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S830" s="3"/>
      <c r="T830" s="3"/>
      <c r="U830" s="3"/>
      <c r="V830" s="3"/>
      <c r="W830" s="3"/>
      <c r="X830" s="3"/>
      <c r="Y830" s="3"/>
      <c r="Z830" s="3"/>
      <c r="AB830" s="3"/>
      <c r="AC830" s="3"/>
      <c r="AD830" s="3"/>
      <c r="AE830" s="3"/>
      <c r="AF830" s="3"/>
      <c r="AG830" s="3"/>
      <c r="AH830" s="3"/>
      <c r="AI830" s="3"/>
      <c r="AK830" s="3"/>
      <c r="AL830" s="3"/>
      <c r="AM830" s="3"/>
      <c r="AN830" s="3"/>
      <c r="AO830" s="3"/>
      <c r="AP830" s="3"/>
      <c r="AQ830" s="3"/>
      <c r="AR830" s="3"/>
    </row>
    <row r="831" spans="1:44" ht="16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S831" s="3"/>
      <c r="T831" s="3"/>
      <c r="U831" s="3"/>
      <c r="V831" s="3"/>
      <c r="W831" s="3"/>
      <c r="X831" s="3"/>
      <c r="Y831" s="3"/>
      <c r="Z831" s="3"/>
      <c r="AB831" s="3"/>
      <c r="AC831" s="3"/>
      <c r="AD831" s="3"/>
      <c r="AE831" s="3"/>
      <c r="AF831" s="3"/>
      <c r="AG831" s="3"/>
      <c r="AH831" s="3"/>
      <c r="AI831" s="3"/>
      <c r="AK831" s="3"/>
      <c r="AL831" s="3"/>
      <c r="AM831" s="3"/>
      <c r="AN831" s="3"/>
      <c r="AO831" s="3"/>
      <c r="AP831" s="3"/>
      <c r="AQ831" s="3"/>
      <c r="AR831" s="3"/>
    </row>
    <row r="832" spans="1:44" ht="16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S832" s="3"/>
      <c r="T832" s="3"/>
      <c r="U832" s="3"/>
      <c r="V832" s="3"/>
      <c r="W832" s="3"/>
      <c r="X832" s="3"/>
      <c r="Y832" s="3"/>
      <c r="Z832" s="3"/>
      <c r="AB832" s="3"/>
      <c r="AC832" s="3"/>
      <c r="AD832" s="3"/>
      <c r="AE832" s="3"/>
      <c r="AF832" s="3"/>
      <c r="AG832" s="3"/>
      <c r="AH832" s="3"/>
      <c r="AI832" s="3"/>
      <c r="AK832" s="3"/>
      <c r="AL832" s="3"/>
      <c r="AM832" s="3"/>
      <c r="AN832" s="3"/>
      <c r="AO832" s="3"/>
      <c r="AP832" s="3"/>
      <c r="AQ832" s="3"/>
      <c r="AR832" s="3"/>
    </row>
    <row r="833" spans="1:44" ht="16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S833" s="3"/>
      <c r="T833" s="3"/>
      <c r="U833" s="3"/>
      <c r="V833" s="3"/>
      <c r="W833" s="3"/>
      <c r="X833" s="3"/>
      <c r="Y833" s="3"/>
      <c r="Z833" s="3"/>
      <c r="AB833" s="3"/>
      <c r="AC833" s="3"/>
      <c r="AD833" s="3"/>
      <c r="AE833" s="3"/>
      <c r="AF833" s="3"/>
      <c r="AG833" s="3"/>
      <c r="AH833" s="3"/>
      <c r="AI833" s="3"/>
      <c r="AK833" s="3"/>
      <c r="AL833" s="3"/>
      <c r="AM833" s="3"/>
      <c r="AN833" s="3"/>
      <c r="AO833" s="3"/>
      <c r="AP833" s="3"/>
      <c r="AQ833" s="3"/>
      <c r="AR833" s="3"/>
    </row>
    <row r="834" spans="1:44" ht="16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S834" s="3"/>
      <c r="T834" s="3"/>
      <c r="U834" s="3"/>
      <c r="V834" s="3"/>
      <c r="W834" s="3"/>
      <c r="X834" s="3"/>
      <c r="Y834" s="3"/>
      <c r="Z834" s="3"/>
      <c r="AB834" s="3"/>
      <c r="AC834" s="3"/>
      <c r="AD834" s="3"/>
      <c r="AE834" s="3"/>
      <c r="AF834" s="3"/>
      <c r="AG834" s="3"/>
      <c r="AH834" s="3"/>
      <c r="AI834" s="3"/>
      <c r="AK834" s="3"/>
      <c r="AL834" s="3"/>
      <c r="AM834" s="3"/>
      <c r="AN834" s="3"/>
      <c r="AO834" s="3"/>
      <c r="AP834" s="3"/>
      <c r="AQ834" s="3"/>
      <c r="AR834" s="3"/>
    </row>
    <row r="835" spans="1:44" ht="16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S835" s="3"/>
      <c r="T835" s="3"/>
      <c r="U835" s="3"/>
      <c r="V835" s="3"/>
      <c r="W835" s="3"/>
      <c r="X835" s="3"/>
      <c r="Y835" s="3"/>
      <c r="Z835" s="3"/>
      <c r="AB835" s="3"/>
      <c r="AC835" s="3"/>
      <c r="AD835" s="3"/>
      <c r="AE835" s="3"/>
      <c r="AF835" s="3"/>
      <c r="AG835" s="3"/>
      <c r="AH835" s="3"/>
      <c r="AI835" s="3"/>
      <c r="AK835" s="3"/>
      <c r="AL835" s="3"/>
      <c r="AM835" s="3"/>
      <c r="AN835" s="3"/>
      <c r="AO835" s="3"/>
      <c r="AP835" s="3"/>
      <c r="AQ835" s="3"/>
      <c r="AR835" s="3"/>
    </row>
    <row r="836" spans="1:44" ht="16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S836" s="3"/>
      <c r="T836" s="3"/>
      <c r="U836" s="3"/>
      <c r="V836" s="3"/>
      <c r="W836" s="3"/>
      <c r="X836" s="3"/>
      <c r="Y836" s="3"/>
      <c r="Z836" s="3"/>
      <c r="AB836" s="3"/>
      <c r="AC836" s="3"/>
      <c r="AD836" s="3"/>
      <c r="AE836" s="3"/>
      <c r="AF836" s="3"/>
      <c r="AG836" s="3"/>
      <c r="AH836" s="3"/>
      <c r="AI836" s="3"/>
      <c r="AK836" s="3"/>
      <c r="AL836" s="3"/>
      <c r="AM836" s="3"/>
      <c r="AN836" s="3"/>
      <c r="AO836" s="3"/>
      <c r="AP836" s="3"/>
      <c r="AQ836" s="3"/>
      <c r="AR836" s="3"/>
    </row>
    <row r="837" spans="1:44" ht="16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S837" s="3"/>
      <c r="T837" s="3"/>
      <c r="U837" s="3"/>
      <c r="V837" s="3"/>
      <c r="W837" s="3"/>
      <c r="X837" s="3"/>
      <c r="Y837" s="3"/>
      <c r="Z837" s="3"/>
      <c r="AB837" s="3"/>
      <c r="AC837" s="3"/>
      <c r="AD837" s="3"/>
      <c r="AE837" s="3"/>
      <c r="AF837" s="3"/>
      <c r="AG837" s="3"/>
      <c r="AH837" s="3"/>
      <c r="AI837" s="3"/>
      <c r="AK837" s="3"/>
      <c r="AL837" s="3"/>
      <c r="AM837" s="3"/>
      <c r="AN837" s="3"/>
      <c r="AO837" s="3"/>
      <c r="AP837" s="3"/>
      <c r="AQ837" s="3"/>
      <c r="AR837" s="3"/>
    </row>
    <row r="838" spans="1:44" ht="16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S838" s="3"/>
      <c r="T838" s="3"/>
      <c r="U838" s="3"/>
      <c r="V838" s="3"/>
      <c r="W838" s="3"/>
      <c r="X838" s="3"/>
      <c r="Y838" s="3"/>
      <c r="Z838" s="3"/>
      <c r="AB838" s="3"/>
      <c r="AC838" s="3"/>
      <c r="AD838" s="3"/>
      <c r="AE838" s="3"/>
      <c r="AF838" s="3"/>
      <c r="AG838" s="3"/>
      <c r="AH838" s="3"/>
      <c r="AI838" s="3"/>
      <c r="AK838" s="3"/>
      <c r="AL838" s="3"/>
      <c r="AM838" s="3"/>
      <c r="AN838" s="3"/>
      <c r="AO838" s="3"/>
      <c r="AP838" s="3"/>
      <c r="AQ838" s="3"/>
      <c r="AR838" s="3"/>
    </row>
    <row r="839" spans="1:44" ht="16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S839" s="3"/>
      <c r="T839" s="3"/>
      <c r="U839" s="3"/>
      <c r="V839" s="3"/>
      <c r="W839" s="3"/>
      <c r="X839" s="3"/>
      <c r="Y839" s="3"/>
      <c r="Z839" s="3"/>
      <c r="AB839" s="3"/>
      <c r="AC839" s="3"/>
      <c r="AD839" s="3"/>
      <c r="AE839" s="3"/>
      <c r="AF839" s="3"/>
      <c r="AG839" s="3"/>
      <c r="AH839" s="3"/>
      <c r="AI839" s="3"/>
      <c r="AK839" s="3"/>
      <c r="AL839" s="3"/>
      <c r="AM839" s="3"/>
      <c r="AN839" s="3"/>
      <c r="AO839" s="3"/>
      <c r="AP839" s="3"/>
      <c r="AQ839" s="3"/>
      <c r="AR839" s="3"/>
    </row>
    <row r="840" spans="1:44" ht="16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S840" s="3"/>
      <c r="T840" s="3"/>
      <c r="U840" s="3"/>
      <c r="V840" s="3"/>
      <c r="W840" s="3"/>
      <c r="X840" s="3"/>
      <c r="Y840" s="3"/>
      <c r="Z840" s="3"/>
      <c r="AB840" s="3"/>
      <c r="AC840" s="3"/>
      <c r="AD840" s="3"/>
      <c r="AE840" s="3"/>
      <c r="AF840" s="3"/>
      <c r="AG840" s="3"/>
      <c r="AH840" s="3"/>
      <c r="AI840" s="3"/>
      <c r="AK840" s="3"/>
      <c r="AL840" s="3"/>
      <c r="AM840" s="3"/>
      <c r="AN840" s="3"/>
      <c r="AO840" s="3"/>
      <c r="AP840" s="3"/>
      <c r="AQ840" s="3"/>
      <c r="AR840" s="3"/>
    </row>
    <row r="841" spans="1:44" ht="16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S841" s="3"/>
      <c r="T841" s="3"/>
      <c r="U841" s="3"/>
      <c r="V841" s="3"/>
      <c r="W841" s="3"/>
      <c r="X841" s="3"/>
      <c r="Y841" s="3"/>
      <c r="Z841" s="3"/>
      <c r="AB841" s="3"/>
      <c r="AC841" s="3"/>
      <c r="AD841" s="3"/>
      <c r="AE841" s="3"/>
      <c r="AF841" s="3"/>
      <c r="AG841" s="3"/>
      <c r="AH841" s="3"/>
      <c r="AI841" s="3"/>
      <c r="AK841" s="3"/>
      <c r="AL841" s="3"/>
      <c r="AM841" s="3"/>
      <c r="AN841" s="3"/>
      <c r="AO841" s="3"/>
      <c r="AP841" s="3"/>
      <c r="AQ841" s="3"/>
      <c r="AR841" s="3"/>
    </row>
    <row r="842" spans="1:44" ht="16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S842" s="3"/>
      <c r="T842" s="3"/>
      <c r="U842" s="3"/>
      <c r="V842" s="3"/>
      <c r="W842" s="3"/>
      <c r="X842" s="3"/>
      <c r="Y842" s="3"/>
      <c r="Z842" s="3"/>
      <c r="AB842" s="3"/>
      <c r="AC842" s="3"/>
      <c r="AD842" s="3"/>
      <c r="AE842" s="3"/>
      <c r="AF842" s="3"/>
      <c r="AG842" s="3"/>
      <c r="AH842" s="3"/>
      <c r="AI842" s="3"/>
      <c r="AK842" s="3"/>
      <c r="AL842" s="3"/>
      <c r="AM842" s="3"/>
      <c r="AN842" s="3"/>
      <c r="AO842" s="3"/>
      <c r="AP842" s="3"/>
      <c r="AQ842" s="3"/>
      <c r="AR842" s="3"/>
    </row>
    <row r="843" spans="1:44" ht="16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S843" s="3"/>
      <c r="T843" s="3"/>
      <c r="U843" s="3"/>
      <c r="V843" s="3"/>
      <c r="W843" s="3"/>
      <c r="X843" s="3"/>
      <c r="Y843" s="3"/>
      <c r="Z843" s="3"/>
      <c r="AB843" s="3"/>
      <c r="AC843" s="3"/>
      <c r="AD843" s="3"/>
      <c r="AE843" s="3"/>
      <c r="AF843" s="3"/>
      <c r="AG843" s="3"/>
      <c r="AH843" s="3"/>
      <c r="AI843" s="3"/>
      <c r="AK843" s="3"/>
      <c r="AL843" s="3"/>
      <c r="AM843" s="3"/>
      <c r="AN843" s="3"/>
      <c r="AO843" s="3"/>
      <c r="AP843" s="3"/>
      <c r="AQ843" s="3"/>
      <c r="AR843" s="3"/>
    </row>
    <row r="844" spans="1:44" ht="16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S844" s="3"/>
      <c r="T844" s="3"/>
      <c r="U844" s="3"/>
      <c r="V844" s="3"/>
      <c r="W844" s="3"/>
      <c r="X844" s="3"/>
      <c r="Y844" s="3"/>
      <c r="Z844" s="3"/>
      <c r="AB844" s="3"/>
      <c r="AC844" s="3"/>
      <c r="AD844" s="3"/>
      <c r="AE844" s="3"/>
      <c r="AF844" s="3"/>
      <c r="AG844" s="3"/>
      <c r="AH844" s="3"/>
      <c r="AI844" s="3"/>
      <c r="AK844" s="3"/>
      <c r="AL844" s="3"/>
      <c r="AM844" s="3"/>
      <c r="AN844" s="3"/>
      <c r="AO844" s="3"/>
      <c r="AP844" s="3"/>
      <c r="AQ844" s="3"/>
      <c r="AR844" s="3"/>
    </row>
    <row r="845" spans="1:44" ht="16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S845" s="3"/>
      <c r="T845" s="3"/>
      <c r="U845" s="3"/>
      <c r="V845" s="3"/>
      <c r="W845" s="3"/>
      <c r="X845" s="3"/>
      <c r="Y845" s="3"/>
      <c r="Z845" s="3"/>
      <c r="AB845" s="3"/>
      <c r="AC845" s="3"/>
      <c r="AD845" s="3"/>
      <c r="AE845" s="3"/>
      <c r="AF845" s="3"/>
      <c r="AG845" s="3"/>
      <c r="AH845" s="3"/>
      <c r="AI845" s="3"/>
      <c r="AK845" s="3"/>
      <c r="AL845" s="3"/>
      <c r="AM845" s="3"/>
      <c r="AN845" s="3"/>
      <c r="AO845" s="3"/>
      <c r="AP845" s="3"/>
      <c r="AQ845" s="3"/>
      <c r="AR845" s="3"/>
    </row>
    <row r="846" spans="1:44" ht="16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S846" s="3"/>
      <c r="T846" s="3"/>
      <c r="U846" s="3"/>
      <c r="V846" s="3"/>
      <c r="W846" s="3"/>
      <c r="X846" s="3"/>
      <c r="Y846" s="3"/>
      <c r="Z846" s="3"/>
      <c r="AB846" s="3"/>
      <c r="AC846" s="3"/>
      <c r="AD846" s="3"/>
      <c r="AE846" s="3"/>
      <c r="AF846" s="3"/>
      <c r="AG846" s="3"/>
      <c r="AH846" s="3"/>
      <c r="AI846" s="3"/>
      <c r="AK846" s="3"/>
      <c r="AL846" s="3"/>
      <c r="AM846" s="3"/>
      <c r="AN846" s="3"/>
      <c r="AO846" s="3"/>
      <c r="AP846" s="3"/>
      <c r="AQ846" s="3"/>
      <c r="AR846" s="3"/>
    </row>
    <row r="847" spans="1:44" ht="16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S847" s="3"/>
      <c r="T847" s="3"/>
      <c r="U847" s="3"/>
      <c r="V847" s="3"/>
      <c r="W847" s="3"/>
      <c r="X847" s="3"/>
      <c r="Y847" s="3"/>
      <c r="Z847" s="3"/>
      <c r="AB847" s="3"/>
      <c r="AC847" s="3"/>
      <c r="AD847" s="3"/>
      <c r="AE847" s="3"/>
      <c r="AF847" s="3"/>
      <c r="AG847" s="3"/>
      <c r="AH847" s="3"/>
      <c r="AI847" s="3"/>
      <c r="AK847" s="3"/>
      <c r="AL847" s="3"/>
      <c r="AM847" s="3"/>
      <c r="AN847" s="3"/>
      <c r="AO847" s="3"/>
      <c r="AP847" s="3"/>
      <c r="AQ847" s="3"/>
      <c r="AR847" s="3"/>
    </row>
    <row r="848" spans="1:44" ht="16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S848" s="3"/>
      <c r="T848" s="3"/>
      <c r="U848" s="3"/>
      <c r="V848" s="3"/>
      <c r="W848" s="3"/>
      <c r="X848" s="3"/>
      <c r="Y848" s="3"/>
      <c r="Z848" s="3"/>
      <c r="AB848" s="3"/>
      <c r="AC848" s="3"/>
      <c r="AD848" s="3"/>
      <c r="AE848" s="3"/>
      <c r="AF848" s="3"/>
      <c r="AG848" s="3"/>
      <c r="AH848" s="3"/>
      <c r="AI848" s="3"/>
      <c r="AK848" s="3"/>
      <c r="AL848" s="3"/>
      <c r="AM848" s="3"/>
      <c r="AN848" s="3"/>
      <c r="AO848" s="3"/>
      <c r="AP848" s="3"/>
      <c r="AQ848" s="3"/>
      <c r="AR848" s="3"/>
    </row>
    <row r="849" spans="1:44" ht="16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S849" s="3"/>
      <c r="T849" s="3"/>
      <c r="U849" s="3"/>
      <c r="V849" s="3"/>
      <c r="W849" s="3"/>
      <c r="X849" s="3"/>
      <c r="Y849" s="3"/>
      <c r="Z849" s="3"/>
      <c r="AB849" s="3"/>
      <c r="AC849" s="3"/>
      <c r="AD849" s="3"/>
      <c r="AE849" s="3"/>
      <c r="AF849" s="3"/>
      <c r="AG849" s="3"/>
      <c r="AH849" s="3"/>
      <c r="AI849" s="3"/>
      <c r="AK849" s="3"/>
      <c r="AL849" s="3"/>
      <c r="AM849" s="3"/>
      <c r="AN849" s="3"/>
      <c r="AO849" s="3"/>
      <c r="AP849" s="3"/>
      <c r="AQ849" s="3"/>
      <c r="AR849" s="3"/>
    </row>
    <row r="850" spans="1:44" ht="16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S850" s="3"/>
      <c r="T850" s="3"/>
      <c r="U850" s="3"/>
      <c r="V850" s="3"/>
      <c r="W850" s="3"/>
      <c r="X850" s="3"/>
      <c r="Y850" s="3"/>
      <c r="Z850" s="3"/>
      <c r="AB850" s="3"/>
      <c r="AC850" s="3"/>
      <c r="AD850" s="3"/>
      <c r="AE850" s="3"/>
      <c r="AF850" s="3"/>
      <c r="AG850" s="3"/>
      <c r="AH850" s="3"/>
      <c r="AI850" s="3"/>
      <c r="AK850" s="3"/>
      <c r="AL850" s="3"/>
      <c r="AM850" s="3"/>
      <c r="AN850" s="3"/>
      <c r="AO850" s="3"/>
      <c r="AP850" s="3"/>
      <c r="AQ850" s="3"/>
      <c r="AR850" s="3"/>
    </row>
    <row r="851" spans="1:44" ht="16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S851" s="3"/>
      <c r="T851" s="3"/>
      <c r="U851" s="3"/>
      <c r="V851" s="3"/>
      <c r="W851" s="3"/>
      <c r="X851" s="3"/>
      <c r="Y851" s="3"/>
      <c r="Z851" s="3"/>
      <c r="AB851" s="3"/>
      <c r="AC851" s="3"/>
      <c r="AD851" s="3"/>
      <c r="AE851" s="3"/>
      <c r="AF851" s="3"/>
      <c r="AG851" s="3"/>
      <c r="AH851" s="3"/>
      <c r="AI851" s="3"/>
      <c r="AK851" s="3"/>
      <c r="AL851" s="3"/>
      <c r="AM851" s="3"/>
      <c r="AN851" s="3"/>
      <c r="AO851" s="3"/>
      <c r="AP851" s="3"/>
      <c r="AQ851" s="3"/>
      <c r="AR851" s="3"/>
    </row>
    <row r="852" spans="1:44" ht="16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S852" s="3"/>
      <c r="T852" s="3"/>
      <c r="U852" s="3"/>
      <c r="V852" s="3"/>
      <c r="W852" s="3"/>
      <c r="X852" s="3"/>
      <c r="Y852" s="3"/>
      <c r="Z852" s="3"/>
      <c r="AB852" s="3"/>
      <c r="AC852" s="3"/>
      <c r="AD852" s="3"/>
      <c r="AE852" s="3"/>
      <c r="AF852" s="3"/>
      <c r="AG852" s="3"/>
      <c r="AH852" s="3"/>
      <c r="AI852" s="3"/>
      <c r="AK852" s="3"/>
      <c r="AL852" s="3"/>
      <c r="AM852" s="3"/>
      <c r="AN852" s="3"/>
      <c r="AO852" s="3"/>
      <c r="AP852" s="3"/>
      <c r="AQ852" s="3"/>
      <c r="AR852" s="3"/>
    </row>
    <row r="853" spans="1:44" ht="16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S853" s="3"/>
      <c r="T853" s="3"/>
      <c r="U853" s="3"/>
      <c r="V853" s="3"/>
      <c r="W853" s="3"/>
      <c r="X853" s="3"/>
      <c r="Y853" s="3"/>
      <c r="Z853" s="3"/>
      <c r="AB853" s="3"/>
      <c r="AC853" s="3"/>
      <c r="AD853" s="3"/>
      <c r="AE853" s="3"/>
      <c r="AF853" s="3"/>
      <c r="AG853" s="3"/>
      <c r="AH853" s="3"/>
      <c r="AI853" s="3"/>
      <c r="AK853" s="3"/>
      <c r="AL853" s="3"/>
      <c r="AM853" s="3"/>
      <c r="AN853" s="3"/>
      <c r="AO853" s="3"/>
      <c r="AP853" s="3"/>
      <c r="AQ853" s="3"/>
      <c r="AR853" s="3"/>
    </row>
    <row r="854" spans="1:44" ht="16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S854" s="3"/>
      <c r="T854" s="3"/>
      <c r="U854" s="3"/>
      <c r="V854" s="3"/>
      <c r="W854" s="3"/>
      <c r="X854" s="3"/>
      <c r="Y854" s="3"/>
      <c r="Z854" s="3"/>
      <c r="AB854" s="3"/>
      <c r="AC854" s="3"/>
      <c r="AD854" s="3"/>
      <c r="AE854" s="3"/>
      <c r="AF854" s="3"/>
      <c r="AG854" s="3"/>
      <c r="AH854" s="3"/>
      <c r="AI854" s="3"/>
      <c r="AK854" s="3"/>
      <c r="AL854" s="3"/>
      <c r="AM854" s="3"/>
      <c r="AN854" s="3"/>
      <c r="AO854" s="3"/>
      <c r="AP854" s="3"/>
      <c r="AQ854" s="3"/>
      <c r="AR854" s="3"/>
    </row>
    <row r="855" spans="1:44" ht="16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S855" s="3"/>
      <c r="T855" s="3"/>
      <c r="U855" s="3"/>
      <c r="V855" s="3"/>
      <c r="W855" s="3"/>
      <c r="X855" s="3"/>
      <c r="Y855" s="3"/>
      <c r="Z855" s="3"/>
      <c r="AB855" s="3"/>
      <c r="AC855" s="3"/>
      <c r="AD855" s="3"/>
      <c r="AE855" s="3"/>
      <c r="AF855" s="3"/>
      <c r="AG855" s="3"/>
      <c r="AH855" s="3"/>
      <c r="AI855" s="3"/>
      <c r="AK855" s="3"/>
      <c r="AL855" s="3"/>
      <c r="AM855" s="3"/>
      <c r="AN855" s="3"/>
      <c r="AO855" s="3"/>
      <c r="AP855" s="3"/>
      <c r="AQ855" s="3"/>
      <c r="AR855" s="3"/>
    </row>
    <row r="856" spans="1:44" ht="16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S856" s="3"/>
      <c r="T856" s="3"/>
      <c r="U856" s="3"/>
      <c r="V856" s="3"/>
      <c r="W856" s="3"/>
      <c r="X856" s="3"/>
      <c r="Y856" s="3"/>
      <c r="Z856" s="3"/>
      <c r="AB856" s="3"/>
      <c r="AC856" s="3"/>
      <c r="AD856" s="3"/>
      <c r="AE856" s="3"/>
      <c r="AF856" s="3"/>
      <c r="AG856" s="3"/>
      <c r="AH856" s="3"/>
      <c r="AI856" s="3"/>
      <c r="AK856" s="3"/>
      <c r="AL856" s="3"/>
      <c r="AM856" s="3"/>
      <c r="AN856" s="3"/>
      <c r="AO856" s="3"/>
      <c r="AP856" s="3"/>
      <c r="AQ856" s="3"/>
      <c r="AR856" s="3"/>
    </row>
    <row r="857" spans="1:44" ht="16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S857" s="3"/>
      <c r="T857" s="3"/>
      <c r="U857" s="3"/>
      <c r="V857" s="3"/>
      <c r="W857" s="3"/>
      <c r="X857" s="3"/>
      <c r="Y857" s="3"/>
      <c r="Z857" s="3"/>
      <c r="AB857" s="3"/>
      <c r="AC857" s="3"/>
      <c r="AD857" s="3"/>
      <c r="AE857" s="3"/>
      <c r="AF857" s="3"/>
      <c r="AG857" s="3"/>
      <c r="AH857" s="3"/>
      <c r="AI857" s="3"/>
      <c r="AK857" s="3"/>
      <c r="AL857" s="3"/>
      <c r="AM857" s="3"/>
      <c r="AN857" s="3"/>
      <c r="AO857" s="3"/>
      <c r="AP857" s="3"/>
      <c r="AQ857" s="3"/>
      <c r="AR857" s="3"/>
    </row>
    <row r="858" spans="1:44" ht="16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S858" s="3"/>
      <c r="T858" s="3"/>
      <c r="U858" s="3"/>
      <c r="V858" s="3"/>
      <c r="W858" s="3"/>
      <c r="X858" s="3"/>
      <c r="Y858" s="3"/>
      <c r="Z858" s="3"/>
      <c r="AB858" s="3"/>
      <c r="AC858" s="3"/>
      <c r="AD858" s="3"/>
      <c r="AE858" s="3"/>
      <c r="AF858" s="3"/>
      <c r="AG858" s="3"/>
      <c r="AH858" s="3"/>
      <c r="AI858" s="3"/>
      <c r="AK858" s="3"/>
      <c r="AL858" s="3"/>
      <c r="AM858" s="3"/>
      <c r="AN858" s="3"/>
      <c r="AO858" s="3"/>
      <c r="AP858" s="3"/>
      <c r="AQ858" s="3"/>
      <c r="AR858" s="3"/>
    </row>
    <row r="859" spans="1:44" ht="16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S859" s="3"/>
      <c r="T859" s="3"/>
      <c r="U859" s="3"/>
      <c r="V859" s="3"/>
      <c r="W859" s="3"/>
      <c r="X859" s="3"/>
      <c r="Y859" s="3"/>
      <c r="Z859" s="3"/>
      <c r="AB859" s="3"/>
      <c r="AC859" s="3"/>
      <c r="AD859" s="3"/>
      <c r="AE859" s="3"/>
      <c r="AF859" s="3"/>
      <c r="AG859" s="3"/>
      <c r="AH859" s="3"/>
      <c r="AI859" s="3"/>
      <c r="AK859" s="3"/>
      <c r="AL859" s="3"/>
      <c r="AM859" s="3"/>
      <c r="AN859" s="3"/>
      <c r="AO859" s="3"/>
      <c r="AP859" s="3"/>
      <c r="AQ859" s="3"/>
      <c r="AR859" s="3"/>
    </row>
    <row r="860" spans="1:44" ht="16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S860" s="3"/>
      <c r="T860" s="3"/>
      <c r="U860" s="3"/>
      <c r="V860" s="3"/>
      <c r="W860" s="3"/>
      <c r="X860" s="3"/>
      <c r="Y860" s="3"/>
      <c r="Z860" s="3"/>
      <c r="AB860" s="3"/>
      <c r="AC860" s="3"/>
      <c r="AD860" s="3"/>
      <c r="AE860" s="3"/>
      <c r="AF860" s="3"/>
      <c r="AG860" s="3"/>
      <c r="AH860" s="3"/>
      <c r="AI860" s="3"/>
      <c r="AK860" s="3"/>
      <c r="AL860" s="3"/>
      <c r="AM860" s="3"/>
      <c r="AN860" s="3"/>
      <c r="AO860" s="3"/>
      <c r="AP860" s="3"/>
      <c r="AQ860" s="3"/>
      <c r="AR860" s="3"/>
    </row>
    <row r="861" spans="1:44" ht="16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S861" s="3"/>
      <c r="T861" s="3"/>
      <c r="U861" s="3"/>
      <c r="V861" s="3"/>
      <c r="W861" s="3"/>
      <c r="X861" s="3"/>
      <c r="Y861" s="3"/>
      <c r="Z861" s="3"/>
      <c r="AB861" s="3"/>
      <c r="AC861" s="3"/>
      <c r="AD861" s="3"/>
      <c r="AE861" s="3"/>
      <c r="AF861" s="3"/>
      <c r="AG861" s="3"/>
      <c r="AH861" s="3"/>
      <c r="AI861" s="3"/>
      <c r="AK861" s="3"/>
      <c r="AL861" s="3"/>
      <c r="AM861" s="3"/>
      <c r="AN861" s="3"/>
      <c r="AO861" s="3"/>
      <c r="AP861" s="3"/>
      <c r="AQ861" s="3"/>
      <c r="AR861" s="3"/>
    </row>
    <row r="862" spans="1:44" ht="16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S862" s="3"/>
      <c r="T862" s="3"/>
      <c r="U862" s="3"/>
      <c r="V862" s="3"/>
      <c r="W862" s="3"/>
      <c r="X862" s="3"/>
      <c r="Y862" s="3"/>
      <c r="Z862" s="3"/>
      <c r="AB862" s="3"/>
      <c r="AC862" s="3"/>
      <c r="AD862" s="3"/>
      <c r="AE862" s="3"/>
      <c r="AF862" s="3"/>
      <c r="AG862" s="3"/>
      <c r="AH862" s="3"/>
      <c r="AI862" s="3"/>
      <c r="AK862" s="3"/>
      <c r="AL862" s="3"/>
      <c r="AM862" s="3"/>
      <c r="AN862" s="3"/>
      <c r="AO862" s="3"/>
      <c r="AP862" s="3"/>
      <c r="AQ862" s="3"/>
      <c r="AR862" s="3"/>
    </row>
    <row r="863" spans="1:44" ht="16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S863" s="3"/>
      <c r="T863" s="3"/>
      <c r="U863" s="3"/>
      <c r="V863" s="3"/>
      <c r="W863" s="3"/>
      <c r="X863" s="3"/>
      <c r="Y863" s="3"/>
      <c r="Z863" s="3"/>
      <c r="AB863" s="3"/>
      <c r="AC863" s="3"/>
      <c r="AD863" s="3"/>
      <c r="AE863" s="3"/>
      <c r="AF863" s="3"/>
      <c r="AG863" s="3"/>
      <c r="AH863" s="3"/>
      <c r="AI863" s="3"/>
      <c r="AK863" s="3"/>
      <c r="AL863" s="3"/>
      <c r="AM863" s="3"/>
      <c r="AN863" s="3"/>
      <c r="AO863" s="3"/>
      <c r="AP863" s="3"/>
      <c r="AQ863" s="3"/>
      <c r="AR863" s="3"/>
    </row>
    <row r="864" spans="1:44" ht="16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S864" s="3"/>
      <c r="T864" s="3"/>
      <c r="U864" s="3"/>
      <c r="V864" s="3"/>
      <c r="W864" s="3"/>
      <c r="X864" s="3"/>
      <c r="Y864" s="3"/>
      <c r="Z864" s="3"/>
      <c r="AB864" s="3"/>
      <c r="AC864" s="3"/>
      <c r="AD864" s="3"/>
      <c r="AE864" s="3"/>
      <c r="AF864" s="3"/>
      <c r="AG864" s="3"/>
      <c r="AH864" s="3"/>
      <c r="AI864" s="3"/>
      <c r="AK864" s="3"/>
      <c r="AL864" s="3"/>
      <c r="AM864" s="3"/>
      <c r="AN864" s="3"/>
      <c r="AO864" s="3"/>
      <c r="AP864" s="3"/>
      <c r="AQ864" s="3"/>
      <c r="AR864" s="3"/>
    </row>
    <row r="865" spans="1:44" ht="16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S865" s="3"/>
      <c r="T865" s="3"/>
      <c r="U865" s="3"/>
      <c r="V865" s="3"/>
      <c r="W865" s="3"/>
      <c r="X865" s="3"/>
      <c r="Y865" s="3"/>
      <c r="Z865" s="3"/>
      <c r="AB865" s="3"/>
      <c r="AC865" s="3"/>
      <c r="AD865" s="3"/>
      <c r="AE865" s="3"/>
      <c r="AF865" s="3"/>
      <c r="AG865" s="3"/>
      <c r="AH865" s="3"/>
      <c r="AI865" s="3"/>
      <c r="AK865" s="3"/>
      <c r="AL865" s="3"/>
      <c r="AM865" s="3"/>
      <c r="AN865" s="3"/>
      <c r="AO865" s="3"/>
      <c r="AP865" s="3"/>
      <c r="AQ865" s="3"/>
      <c r="AR865" s="3"/>
    </row>
    <row r="866" spans="1:44" ht="16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S866" s="3"/>
      <c r="T866" s="3"/>
      <c r="U866" s="3"/>
      <c r="V866" s="3"/>
      <c r="W866" s="3"/>
      <c r="X866" s="3"/>
      <c r="Y866" s="3"/>
      <c r="Z866" s="3"/>
      <c r="AB866" s="3"/>
      <c r="AC866" s="3"/>
      <c r="AD866" s="3"/>
      <c r="AE866" s="3"/>
      <c r="AF866" s="3"/>
      <c r="AG866" s="3"/>
      <c r="AH866" s="3"/>
      <c r="AI866" s="3"/>
      <c r="AK866" s="3"/>
      <c r="AL866" s="3"/>
      <c r="AM866" s="3"/>
      <c r="AN866" s="3"/>
      <c r="AO866" s="3"/>
      <c r="AP866" s="3"/>
      <c r="AQ866" s="3"/>
      <c r="AR866" s="3"/>
    </row>
    <row r="867" spans="1:44" ht="16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S867" s="3"/>
      <c r="T867" s="3"/>
      <c r="U867" s="3"/>
      <c r="V867" s="3"/>
      <c r="W867" s="3"/>
      <c r="X867" s="3"/>
      <c r="Y867" s="3"/>
      <c r="Z867" s="3"/>
      <c r="AB867" s="3"/>
      <c r="AC867" s="3"/>
      <c r="AD867" s="3"/>
      <c r="AE867" s="3"/>
      <c r="AF867" s="3"/>
      <c r="AG867" s="3"/>
      <c r="AH867" s="3"/>
      <c r="AI867" s="3"/>
      <c r="AK867" s="3"/>
      <c r="AL867" s="3"/>
      <c r="AM867" s="3"/>
      <c r="AN867" s="3"/>
      <c r="AO867" s="3"/>
      <c r="AP867" s="3"/>
      <c r="AQ867" s="3"/>
      <c r="AR867" s="3"/>
    </row>
    <row r="868" spans="1:44" ht="16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S868" s="3"/>
      <c r="T868" s="3"/>
      <c r="U868" s="3"/>
      <c r="V868" s="3"/>
      <c r="W868" s="3"/>
      <c r="X868" s="3"/>
      <c r="Y868" s="3"/>
      <c r="Z868" s="3"/>
      <c r="AB868" s="3"/>
      <c r="AC868" s="3"/>
      <c r="AD868" s="3"/>
      <c r="AE868" s="3"/>
      <c r="AF868" s="3"/>
      <c r="AG868" s="3"/>
      <c r="AH868" s="3"/>
      <c r="AI868" s="3"/>
      <c r="AK868" s="3"/>
      <c r="AL868" s="3"/>
      <c r="AM868" s="3"/>
      <c r="AN868" s="3"/>
      <c r="AO868" s="3"/>
      <c r="AP868" s="3"/>
      <c r="AQ868" s="3"/>
      <c r="AR868" s="3"/>
    </row>
    <row r="869" spans="1:44" ht="16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S869" s="3"/>
      <c r="T869" s="3"/>
      <c r="U869" s="3"/>
      <c r="V869" s="3"/>
      <c r="W869" s="3"/>
      <c r="X869" s="3"/>
      <c r="Y869" s="3"/>
      <c r="Z869" s="3"/>
      <c r="AB869" s="3"/>
      <c r="AC869" s="3"/>
      <c r="AD869" s="3"/>
      <c r="AE869" s="3"/>
      <c r="AF869" s="3"/>
      <c r="AG869" s="3"/>
      <c r="AH869" s="3"/>
      <c r="AI869" s="3"/>
      <c r="AK869" s="3"/>
      <c r="AL869" s="3"/>
      <c r="AM869" s="3"/>
      <c r="AN869" s="3"/>
      <c r="AO869" s="3"/>
      <c r="AP869" s="3"/>
      <c r="AQ869" s="3"/>
      <c r="AR869" s="3"/>
    </row>
    <row r="870" spans="1:44" ht="16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S870" s="3"/>
      <c r="T870" s="3"/>
      <c r="U870" s="3"/>
      <c r="V870" s="3"/>
      <c r="W870" s="3"/>
      <c r="X870" s="3"/>
      <c r="Y870" s="3"/>
      <c r="Z870" s="3"/>
      <c r="AB870" s="3"/>
      <c r="AC870" s="3"/>
      <c r="AD870" s="3"/>
      <c r="AE870" s="3"/>
      <c r="AF870" s="3"/>
      <c r="AG870" s="3"/>
      <c r="AH870" s="3"/>
      <c r="AI870" s="3"/>
      <c r="AK870" s="3"/>
      <c r="AL870" s="3"/>
      <c r="AM870" s="3"/>
      <c r="AN870" s="3"/>
      <c r="AO870" s="3"/>
      <c r="AP870" s="3"/>
      <c r="AQ870" s="3"/>
      <c r="AR870" s="3"/>
    </row>
    <row r="871" spans="1:44" ht="16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S871" s="3"/>
      <c r="T871" s="3"/>
      <c r="U871" s="3"/>
      <c r="V871" s="3"/>
      <c r="W871" s="3"/>
      <c r="X871" s="3"/>
      <c r="Y871" s="3"/>
      <c r="Z871" s="3"/>
      <c r="AB871" s="3"/>
      <c r="AC871" s="3"/>
      <c r="AD871" s="3"/>
      <c r="AE871" s="3"/>
      <c r="AF871" s="3"/>
      <c r="AG871" s="3"/>
      <c r="AH871" s="3"/>
      <c r="AI871" s="3"/>
      <c r="AK871" s="3"/>
      <c r="AL871" s="3"/>
      <c r="AM871" s="3"/>
      <c r="AN871" s="3"/>
      <c r="AO871" s="3"/>
      <c r="AP871" s="3"/>
      <c r="AQ871" s="3"/>
      <c r="AR871" s="3"/>
    </row>
    <row r="872" spans="1:44" ht="16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S872" s="3"/>
      <c r="T872" s="3"/>
      <c r="U872" s="3"/>
      <c r="V872" s="3"/>
      <c r="W872" s="3"/>
      <c r="X872" s="3"/>
      <c r="Y872" s="3"/>
      <c r="Z872" s="3"/>
      <c r="AB872" s="3"/>
      <c r="AC872" s="3"/>
      <c r="AD872" s="3"/>
      <c r="AE872" s="3"/>
      <c r="AF872" s="3"/>
      <c r="AG872" s="3"/>
      <c r="AH872" s="3"/>
      <c r="AI872" s="3"/>
      <c r="AK872" s="3"/>
      <c r="AL872" s="3"/>
      <c r="AM872" s="3"/>
      <c r="AN872" s="3"/>
      <c r="AO872" s="3"/>
      <c r="AP872" s="3"/>
      <c r="AQ872" s="3"/>
      <c r="AR872" s="3"/>
    </row>
    <row r="873" spans="1:44" ht="16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S873" s="3"/>
      <c r="T873" s="3"/>
      <c r="U873" s="3"/>
      <c r="V873" s="3"/>
      <c r="W873" s="3"/>
      <c r="X873" s="3"/>
      <c r="Y873" s="3"/>
      <c r="Z873" s="3"/>
      <c r="AB873" s="3"/>
      <c r="AC873" s="3"/>
      <c r="AD873" s="3"/>
      <c r="AE873" s="3"/>
      <c r="AF873" s="3"/>
      <c r="AG873" s="3"/>
      <c r="AH873" s="3"/>
      <c r="AI873" s="3"/>
      <c r="AK873" s="3"/>
      <c r="AL873" s="3"/>
      <c r="AM873" s="3"/>
      <c r="AN873" s="3"/>
      <c r="AO873" s="3"/>
      <c r="AP873" s="3"/>
      <c r="AQ873" s="3"/>
      <c r="AR873" s="3"/>
    </row>
    <row r="874" spans="1:44" ht="16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S874" s="3"/>
      <c r="T874" s="3"/>
      <c r="U874" s="3"/>
      <c r="V874" s="3"/>
      <c r="W874" s="3"/>
      <c r="X874" s="3"/>
      <c r="Y874" s="3"/>
      <c r="Z874" s="3"/>
      <c r="AB874" s="3"/>
      <c r="AC874" s="3"/>
      <c r="AD874" s="3"/>
      <c r="AE874" s="3"/>
      <c r="AF874" s="3"/>
      <c r="AG874" s="3"/>
      <c r="AH874" s="3"/>
      <c r="AI874" s="3"/>
      <c r="AK874" s="3"/>
      <c r="AL874" s="3"/>
      <c r="AM874" s="3"/>
      <c r="AN874" s="3"/>
      <c r="AO874" s="3"/>
      <c r="AP874" s="3"/>
      <c r="AQ874" s="3"/>
      <c r="AR874" s="3"/>
    </row>
    <row r="875" spans="1:44" ht="16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S875" s="3"/>
      <c r="T875" s="3"/>
      <c r="U875" s="3"/>
      <c r="V875" s="3"/>
      <c r="W875" s="3"/>
      <c r="X875" s="3"/>
      <c r="Y875" s="3"/>
      <c r="Z875" s="3"/>
      <c r="AB875" s="3"/>
      <c r="AC875" s="3"/>
      <c r="AD875" s="3"/>
      <c r="AE875" s="3"/>
      <c r="AF875" s="3"/>
      <c r="AG875" s="3"/>
      <c r="AH875" s="3"/>
      <c r="AI875" s="3"/>
      <c r="AK875" s="3"/>
      <c r="AL875" s="3"/>
      <c r="AM875" s="3"/>
      <c r="AN875" s="3"/>
      <c r="AO875" s="3"/>
      <c r="AP875" s="3"/>
      <c r="AQ875" s="3"/>
      <c r="AR875" s="3"/>
    </row>
    <row r="876" spans="1:44" ht="16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S876" s="3"/>
      <c r="T876" s="3"/>
      <c r="U876" s="3"/>
      <c r="V876" s="3"/>
      <c r="W876" s="3"/>
      <c r="X876" s="3"/>
      <c r="Y876" s="3"/>
      <c r="Z876" s="3"/>
      <c r="AB876" s="3"/>
      <c r="AC876" s="3"/>
      <c r="AD876" s="3"/>
      <c r="AE876" s="3"/>
      <c r="AF876" s="3"/>
      <c r="AG876" s="3"/>
      <c r="AH876" s="3"/>
      <c r="AI876" s="3"/>
      <c r="AK876" s="3"/>
      <c r="AL876" s="3"/>
      <c r="AM876" s="3"/>
      <c r="AN876" s="3"/>
      <c r="AO876" s="3"/>
      <c r="AP876" s="3"/>
      <c r="AQ876" s="3"/>
      <c r="AR876" s="3"/>
    </row>
    <row r="877" spans="1:44" ht="16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S877" s="3"/>
      <c r="T877" s="3"/>
      <c r="U877" s="3"/>
      <c r="V877" s="3"/>
      <c r="W877" s="3"/>
      <c r="X877" s="3"/>
      <c r="Y877" s="3"/>
      <c r="Z877" s="3"/>
      <c r="AB877" s="3"/>
      <c r="AC877" s="3"/>
      <c r="AD877" s="3"/>
      <c r="AE877" s="3"/>
      <c r="AF877" s="3"/>
      <c r="AG877" s="3"/>
      <c r="AH877" s="3"/>
      <c r="AI877" s="3"/>
      <c r="AK877" s="3"/>
      <c r="AL877" s="3"/>
      <c r="AM877" s="3"/>
      <c r="AN877" s="3"/>
      <c r="AO877" s="3"/>
      <c r="AP877" s="3"/>
      <c r="AQ877" s="3"/>
      <c r="AR877" s="3"/>
    </row>
    <row r="878" spans="1:44" ht="16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S878" s="3"/>
      <c r="T878" s="3"/>
      <c r="U878" s="3"/>
      <c r="V878" s="3"/>
      <c r="W878" s="3"/>
      <c r="X878" s="3"/>
      <c r="Y878" s="3"/>
      <c r="Z878" s="3"/>
      <c r="AB878" s="3"/>
      <c r="AC878" s="3"/>
      <c r="AD878" s="3"/>
      <c r="AE878" s="3"/>
      <c r="AF878" s="3"/>
      <c r="AG878" s="3"/>
      <c r="AH878" s="3"/>
      <c r="AI878" s="3"/>
      <c r="AK878" s="3"/>
      <c r="AL878" s="3"/>
      <c r="AM878" s="3"/>
      <c r="AN878" s="3"/>
      <c r="AO878" s="3"/>
      <c r="AP878" s="3"/>
      <c r="AQ878" s="3"/>
      <c r="AR878" s="3"/>
    </row>
    <row r="879" spans="1:44" ht="16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S879" s="3"/>
      <c r="T879" s="3"/>
      <c r="U879" s="3"/>
      <c r="V879" s="3"/>
      <c r="W879" s="3"/>
      <c r="X879" s="3"/>
      <c r="Y879" s="3"/>
      <c r="Z879" s="3"/>
      <c r="AB879" s="3"/>
      <c r="AC879" s="3"/>
      <c r="AD879" s="3"/>
      <c r="AE879" s="3"/>
      <c r="AF879" s="3"/>
      <c r="AG879" s="3"/>
      <c r="AH879" s="3"/>
      <c r="AI879" s="3"/>
      <c r="AK879" s="3"/>
      <c r="AL879" s="3"/>
      <c r="AM879" s="3"/>
      <c r="AN879" s="3"/>
      <c r="AO879" s="3"/>
      <c r="AP879" s="3"/>
      <c r="AQ879" s="3"/>
      <c r="AR879" s="3"/>
    </row>
    <row r="880" spans="1:44" ht="16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S880" s="3"/>
      <c r="T880" s="3"/>
      <c r="U880" s="3"/>
      <c r="V880" s="3"/>
      <c r="W880" s="3"/>
      <c r="X880" s="3"/>
      <c r="Y880" s="3"/>
      <c r="Z880" s="3"/>
      <c r="AB880" s="3"/>
      <c r="AC880" s="3"/>
      <c r="AD880" s="3"/>
      <c r="AE880" s="3"/>
      <c r="AF880" s="3"/>
      <c r="AG880" s="3"/>
      <c r="AH880" s="3"/>
      <c r="AI880" s="3"/>
      <c r="AK880" s="3"/>
      <c r="AL880" s="3"/>
      <c r="AM880" s="3"/>
      <c r="AN880" s="3"/>
      <c r="AO880" s="3"/>
      <c r="AP880" s="3"/>
      <c r="AQ880" s="3"/>
      <c r="AR880" s="3"/>
    </row>
    <row r="881" spans="1:44" ht="16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S881" s="3"/>
      <c r="T881" s="3"/>
      <c r="U881" s="3"/>
      <c r="V881" s="3"/>
      <c r="W881" s="3"/>
      <c r="X881" s="3"/>
      <c r="Y881" s="3"/>
      <c r="Z881" s="3"/>
      <c r="AB881" s="3"/>
      <c r="AC881" s="3"/>
      <c r="AD881" s="3"/>
      <c r="AE881" s="3"/>
      <c r="AF881" s="3"/>
      <c r="AG881" s="3"/>
      <c r="AH881" s="3"/>
      <c r="AI881" s="3"/>
      <c r="AK881" s="3"/>
      <c r="AL881" s="3"/>
      <c r="AM881" s="3"/>
      <c r="AN881" s="3"/>
      <c r="AO881" s="3"/>
      <c r="AP881" s="3"/>
      <c r="AQ881" s="3"/>
      <c r="AR881" s="3"/>
    </row>
    <row r="882" spans="1:44" ht="16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S882" s="3"/>
      <c r="T882" s="3"/>
      <c r="U882" s="3"/>
      <c r="V882" s="3"/>
      <c r="W882" s="3"/>
      <c r="X882" s="3"/>
      <c r="Y882" s="3"/>
      <c r="Z882" s="3"/>
      <c r="AB882" s="3"/>
      <c r="AC882" s="3"/>
      <c r="AD882" s="3"/>
      <c r="AE882" s="3"/>
      <c r="AF882" s="3"/>
      <c r="AG882" s="3"/>
      <c r="AH882" s="3"/>
      <c r="AI882" s="3"/>
      <c r="AK882" s="3"/>
      <c r="AL882" s="3"/>
      <c r="AM882" s="3"/>
      <c r="AN882" s="3"/>
      <c r="AO882" s="3"/>
      <c r="AP882" s="3"/>
      <c r="AQ882" s="3"/>
      <c r="AR882" s="3"/>
    </row>
    <row r="883" spans="1:44" ht="16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S883" s="3"/>
      <c r="T883" s="3"/>
      <c r="U883" s="3"/>
      <c r="V883" s="3"/>
      <c r="W883" s="3"/>
      <c r="X883" s="3"/>
      <c r="Y883" s="3"/>
      <c r="Z883" s="3"/>
      <c r="AB883" s="3"/>
      <c r="AC883" s="3"/>
      <c r="AD883" s="3"/>
      <c r="AE883" s="3"/>
      <c r="AF883" s="3"/>
      <c r="AG883" s="3"/>
      <c r="AH883" s="3"/>
      <c r="AI883" s="3"/>
      <c r="AK883" s="3"/>
      <c r="AL883" s="3"/>
      <c r="AM883" s="3"/>
      <c r="AN883" s="3"/>
      <c r="AO883" s="3"/>
      <c r="AP883" s="3"/>
      <c r="AQ883" s="3"/>
      <c r="AR883" s="3"/>
    </row>
    <row r="884" spans="1:44" ht="16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S884" s="3"/>
      <c r="T884" s="3"/>
      <c r="U884" s="3"/>
      <c r="V884" s="3"/>
      <c r="W884" s="3"/>
      <c r="X884" s="3"/>
      <c r="Y884" s="3"/>
      <c r="Z884" s="3"/>
      <c r="AB884" s="3"/>
      <c r="AC884" s="3"/>
      <c r="AD884" s="3"/>
      <c r="AE884" s="3"/>
      <c r="AF884" s="3"/>
      <c r="AG884" s="3"/>
      <c r="AH884" s="3"/>
      <c r="AI884" s="3"/>
      <c r="AK884" s="3"/>
      <c r="AL884" s="3"/>
      <c r="AM884" s="3"/>
      <c r="AN884" s="3"/>
      <c r="AO884" s="3"/>
      <c r="AP884" s="3"/>
      <c r="AQ884" s="3"/>
      <c r="AR884" s="3"/>
    </row>
    <row r="885" spans="1:44" ht="16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S885" s="3"/>
      <c r="T885" s="3"/>
      <c r="U885" s="3"/>
      <c r="V885" s="3"/>
      <c r="W885" s="3"/>
      <c r="X885" s="3"/>
      <c r="Y885" s="3"/>
      <c r="Z885" s="3"/>
      <c r="AB885" s="3"/>
      <c r="AC885" s="3"/>
      <c r="AD885" s="3"/>
      <c r="AE885" s="3"/>
      <c r="AF885" s="3"/>
      <c r="AG885" s="3"/>
      <c r="AH885" s="3"/>
      <c r="AI885" s="3"/>
      <c r="AK885" s="3"/>
      <c r="AL885" s="3"/>
      <c r="AM885" s="3"/>
      <c r="AN885" s="3"/>
      <c r="AO885" s="3"/>
      <c r="AP885" s="3"/>
      <c r="AQ885" s="3"/>
      <c r="AR885" s="3"/>
    </row>
    <row r="886" spans="1:44" ht="16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S886" s="3"/>
      <c r="T886" s="3"/>
      <c r="U886" s="3"/>
      <c r="V886" s="3"/>
      <c r="W886" s="3"/>
      <c r="X886" s="3"/>
      <c r="Y886" s="3"/>
      <c r="Z886" s="3"/>
      <c r="AB886" s="3"/>
      <c r="AC886" s="3"/>
      <c r="AD886" s="3"/>
      <c r="AE886" s="3"/>
      <c r="AF886" s="3"/>
      <c r="AG886" s="3"/>
      <c r="AH886" s="3"/>
      <c r="AI886" s="3"/>
      <c r="AK886" s="3"/>
      <c r="AL886" s="3"/>
      <c r="AM886" s="3"/>
      <c r="AN886" s="3"/>
      <c r="AO886" s="3"/>
      <c r="AP886" s="3"/>
      <c r="AQ886" s="3"/>
      <c r="AR886" s="3"/>
    </row>
    <row r="887" spans="1:44" ht="16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S887" s="3"/>
      <c r="T887" s="3"/>
      <c r="U887" s="3"/>
      <c r="V887" s="3"/>
      <c r="W887" s="3"/>
      <c r="X887" s="3"/>
      <c r="Y887" s="3"/>
      <c r="Z887" s="3"/>
      <c r="AB887" s="3"/>
      <c r="AC887" s="3"/>
      <c r="AD887" s="3"/>
      <c r="AE887" s="3"/>
      <c r="AF887" s="3"/>
      <c r="AG887" s="3"/>
      <c r="AH887" s="3"/>
      <c r="AI887" s="3"/>
      <c r="AK887" s="3"/>
      <c r="AL887" s="3"/>
      <c r="AM887" s="3"/>
      <c r="AN887" s="3"/>
      <c r="AO887" s="3"/>
      <c r="AP887" s="3"/>
      <c r="AQ887" s="3"/>
      <c r="AR887" s="3"/>
    </row>
    <row r="888" spans="1:44" ht="16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S888" s="3"/>
      <c r="T888" s="3"/>
      <c r="U888" s="3"/>
      <c r="V888" s="3"/>
      <c r="W888" s="3"/>
      <c r="X888" s="3"/>
      <c r="Y888" s="3"/>
      <c r="Z888" s="3"/>
      <c r="AB888" s="3"/>
      <c r="AC888" s="3"/>
      <c r="AD888" s="3"/>
      <c r="AE888" s="3"/>
      <c r="AF888" s="3"/>
      <c r="AG888" s="3"/>
      <c r="AH888" s="3"/>
      <c r="AI888" s="3"/>
      <c r="AK888" s="3"/>
      <c r="AL888" s="3"/>
      <c r="AM888" s="3"/>
      <c r="AN888" s="3"/>
      <c r="AO888" s="3"/>
      <c r="AP888" s="3"/>
      <c r="AQ888" s="3"/>
      <c r="AR888" s="3"/>
    </row>
    <row r="889" spans="1:44" ht="16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S889" s="3"/>
      <c r="T889" s="3"/>
      <c r="U889" s="3"/>
      <c r="V889" s="3"/>
      <c r="W889" s="3"/>
      <c r="X889" s="3"/>
      <c r="Y889" s="3"/>
      <c r="Z889" s="3"/>
      <c r="AB889" s="3"/>
      <c r="AC889" s="3"/>
      <c r="AD889" s="3"/>
      <c r="AE889" s="3"/>
      <c r="AF889" s="3"/>
      <c r="AG889" s="3"/>
      <c r="AH889" s="3"/>
      <c r="AI889" s="3"/>
      <c r="AK889" s="3"/>
      <c r="AL889" s="3"/>
      <c r="AM889" s="3"/>
      <c r="AN889" s="3"/>
      <c r="AO889" s="3"/>
      <c r="AP889" s="3"/>
      <c r="AQ889" s="3"/>
      <c r="AR889" s="3"/>
    </row>
    <row r="890" spans="1:44" ht="16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S890" s="3"/>
      <c r="T890" s="3"/>
      <c r="U890" s="3"/>
      <c r="V890" s="3"/>
      <c r="W890" s="3"/>
      <c r="X890" s="3"/>
      <c r="Y890" s="3"/>
      <c r="Z890" s="3"/>
      <c r="AB890" s="3"/>
      <c r="AC890" s="3"/>
      <c r="AD890" s="3"/>
      <c r="AE890" s="3"/>
      <c r="AF890" s="3"/>
      <c r="AG890" s="3"/>
      <c r="AH890" s="3"/>
      <c r="AI890" s="3"/>
      <c r="AK890" s="3"/>
      <c r="AL890" s="3"/>
      <c r="AM890" s="3"/>
      <c r="AN890" s="3"/>
      <c r="AO890" s="3"/>
      <c r="AP890" s="3"/>
      <c r="AQ890" s="3"/>
      <c r="AR890" s="3"/>
    </row>
    <row r="891" spans="1:44" ht="16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S891" s="3"/>
      <c r="T891" s="3"/>
      <c r="U891" s="3"/>
      <c r="V891" s="3"/>
      <c r="W891" s="3"/>
      <c r="X891" s="3"/>
      <c r="Y891" s="3"/>
      <c r="Z891" s="3"/>
      <c r="AB891" s="3"/>
      <c r="AC891" s="3"/>
      <c r="AD891" s="3"/>
      <c r="AE891" s="3"/>
      <c r="AF891" s="3"/>
      <c r="AG891" s="3"/>
      <c r="AH891" s="3"/>
      <c r="AI891" s="3"/>
      <c r="AK891" s="3"/>
      <c r="AL891" s="3"/>
      <c r="AM891" s="3"/>
      <c r="AN891" s="3"/>
      <c r="AO891" s="3"/>
      <c r="AP891" s="3"/>
      <c r="AQ891" s="3"/>
      <c r="AR891" s="3"/>
    </row>
    <row r="892" spans="1:44" ht="16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S892" s="3"/>
      <c r="T892" s="3"/>
      <c r="U892" s="3"/>
      <c r="V892" s="3"/>
      <c r="W892" s="3"/>
      <c r="X892" s="3"/>
      <c r="Y892" s="3"/>
      <c r="Z892" s="3"/>
      <c r="AB892" s="3"/>
      <c r="AC892" s="3"/>
      <c r="AD892" s="3"/>
      <c r="AE892" s="3"/>
      <c r="AF892" s="3"/>
      <c r="AG892" s="3"/>
      <c r="AH892" s="3"/>
      <c r="AI892" s="3"/>
      <c r="AK892" s="3"/>
      <c r="AL892" s="3"/>
      <c r="AM892" s="3"/>
      <c r="AN892" s="3"/>
      <c r="AO892" s="3"/>
      <c r="AP892" s="3"/>
      <c r="AQ892" s="3"/>
      <c r="AR892" s="3"/>
    </row>
    <row r="893" spans="1:44" ht="16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S893" s="3"/>
      <c r="T893" s="3"/>
      <c r="U893" s="3"/>
      <c r="V893" s="3"/>
      <c r="W893" s="3"/>
      <c r="X893" s="3"/>
      <c r="Y893" s="3"/>
      <c r="Z893" s="3"/>
      <c r="AB893" s="3"/>
      <c r="AC893" s="3"/>
      <c r="AD893" s="3"/>
      <c r="AE893" s="3"/>
      <c r="AF893" s="3"/>
      <c r="AG893" s="3"/>
      <c r="AH893" s="3"/>
      <c r="AI893" s="3"/>
      <c r="AK893" s="3"/>
      <c r="AL893" s="3"/>
      <c r="AM893" s="3"/>
      <c r="AN893" s="3"/>
      <c r="AO893" s="3"/>
      <c r="AP893" s="3"/>
      <c r="AQ893" s="3"/>
      <c r="AR893" s="3"/>
    </row>
    <row r="894" spans="1:44" ht="16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S894" s="3"/>
      <c r="T894" s="3"/>
      <c r="U894" s="3"/>
      <c r="V894" s="3"/>
      <c r="W894" s="3"/>
      <c r="X894" s="3"/>
      <c r="Y894" s="3"/>
      <c r="Z894" s="3"/>
      <c r="AB894" s="3"/>
      <c r="AC894" s="3"/>
      <c r="AD894" s="3"/>
      <c r="AE894" s="3"/>
      <c r="AF894" s="3"/>
      <c r="AG894" s="3"/>
      <c r="AH894" s="3"/>
      <c r="AI894" s="3"/>
      <c r="AK894" s="3"/>
      <c r="AL894" s="3"/>
      <c r="AM894" s="3"/>
      <c r="AN894" s="3"/>
      <c r="AO894" s="3"/>
      <c r="AP894" s="3"/>
      <c r="AQ894" s="3"/>
      <c r="AR894" s="3"/>
    </row>
    <row r="895" spans="1:44" ht="16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S895" s="3"/>
      <c r="T895" s="3"/>
      <c r="U895" s="3"/>
      <c r="V895" s="3"/>
      <c r="W895" s="3"/>
      <c r="X895" s="3"/>
      <c r="Y895" s="3"/>
      <c r="Z895" s="3"/>
      <c r="AB895" s="3"/>
      <c r="AC895" s="3"/>
      <c r="AD895" s="3"/>
      <c r="AE895" s="3"/>
      <c r="AF895" s="3"/>
      <c r="AG895" s="3"/>
      <c r="AH895" s="3"/>
      <c r="AI895" s="3"/>
      <c r="AK895" s="3"/>
      <c r="AL895" s="3"/>
      <c r="AM895" s="3"/>
      <c r="AN895" s="3"/>
      <c r="AO895" s="3"/>
      <c r="AP895" s="3"/>
      <c r="AQ895" s="3"/>
      <c r="AR895" s="3"/>
    </row>
    <row r="896" spans="1:44" ht="16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S896" s="3"/>
      <c r="T896" s="3"/>
      <c r="U896" s="3"/>
      <c r="V896" s="3"/>
      <c r="W896" s="3"/>
      <c r="X896" s="3"/>
      <c r="Y896" s="3"/>
      <c r="Z896" s="3"/>
      <c r="AB896" s="3"/>
      <c r="AC896" s="3"/>
      <c r="AD896" s="3"/>
      <c r="AE896" s="3"/>
      <c r="AF896" s="3"/>
      <c r="AG896" s="3"/>
      <c r="AH896" s="3"/>
      <c r="AI896" s="3"/>
      <c r="AK896" s="3"/>
      <c r="AL896" s="3"/>
      <c r="AM896" s="3"/>
      <c r="AN896" s="3"/>
      <c r="AO896" s="3"/>
      <c r="AP896" s="3"/>
      <c r="AQ896" s="3"/>
      <c r="AR896" s="3"/>
    </row>
    <row r="897" spans="1:44" ht="16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S897" s="3"/>
      <c r="T897" s="3"/>
      <c r="U897" s="3"/>
      <c r="V897" s="3"/>
      <c r="W897" s="3"/>
      <c r="X897" s="3"/>
      <c r="Y897" s="3"/>
      <c r="Z897" s="3"/>
      <c r="AB897" s="3"/>
      <c r="AC897" s="3"/>
      <c r="AD897" s="3"/>
      <c r="AE897" s="3"/>
      <c r="AF897" s="3"/>
      <c r="AG897" s="3"/>
      <c r="AH897" s="3"/>
      <c r="AI897" s="3"/>
      <c r="AK897" s="3"/>
      <c r="AL897" s="3"/>
      <c r="AM897" s="3"/>
      <c r="AN897" s="3"/>
      <c r="AO897" s="3"/>
      <c r="AP897" s="3"/>
      <c r="AQ897" s="3"/>
      <c r="AR897" s="3"/>
    </row>
    <row r="898" spans="1:44" ht="16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S898" s="3"/>
      <c r="T898" s="3"/>
      <c r="U898" s="3"/>
      <c r="V898" s="3"/>
      <c r="W898" s="3"/>
      <c r="X898" s="3"/>
      <c r="Y898" s="3"/>
      <c r="Z898" s="3"/>
      <c r="AB898" s="3"/>
      <c r="AC898" s="3"/>
      <c r="AD898" s="3"/>
      <c r="AE898" s="3"/>
      <c r="AF898" s="3"/>
      <c r="AG898" s="3"/>
      <c r="AH898" s="3"/>
      <c r="AI898" s="3"/>
      <c r="AK898" s="3"/>
      <c r="AL898" s="3"/>
      <c r="AM898" s="3"/>
      <c r="AN898" s="3"/>
      <c r="AO898" s="3"/>
      <c r="AP898" s="3"/>
      <c r="AQ898" s="3"/>
      <c r="AR898" s="3"/>
    </row>
    <row r="899" spans="1:44" ht="16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S899" s="3"/>
      <c r="T899" s="3"/>
      <c r="U899" s="3"/>
      <c r="V899" s="3"/>
      <c r="W899" s="3"/>
      <c r="X899" s="3"/>
      <c r="Y899" s="3"/>
      <c r="Z899" s="3"/>
      <c r="AB899" s="3"/>
      <c r="AC899" s="3"/>
      <c r="AD899" s="3"/>
      <c r="AE899" s="3"/>
      <c r="AF899" s="3"/>
      <c r="AG899" s="3"/>
      <c r="AH899" s="3"/>
      <c r="AI899" s="3"/>
      <c r="AK899" s="3"/>
      <c r="AL899" s="3"/>
      <c r="AM899" s="3"/>
      <c r="AN899" s="3"/>
      <c r="AO899" s="3"/>
      <c r="AP899" s="3"/>
      <c r="AQ899" s="3"/>
      <c r="AR899" s="3"/>
    </row>
    <row r="900" spans="1:44" ht="16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S900" s="3"/>
      <c r="T900" s="3"/>
      <c r="U900" s="3"/>
      <c r="V900" s="3"/>
      <c r="W900" s="3"/>
      <c r="X900" s="3"/>
      <c r="Y900" s="3"/>
      <c r="Z900" s="3"/>
      <c r="AB900" s="3"/>
      <c r="AC900" s="3"/>
      <c r="AD900" s="3"/>
      <c r="AE900" s="3"/>
      <c r="AF900" s="3"/>
      <c r="AG900" s="3"/>
      <c r="AH900" s="3"/>
      <c r="AI900" s="3"/>
      <c r="AK900" s="3"/>
      <c r="AL900" s="3"/>
      <c r="AM900" s="3"/>
      <c r="AN900" s="3"/>
      <c r="AO900" s="3"/>
      <c r="AP900" s="3"/>
      <c r="AQ900" s="3"/>
      <c r="AR900" s="3"/>
    </row>
    <row r="901" spans="1:44" ht="16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S901" s="3"/>
      <c r="T901" s="3"/>
      <c r="U901" s="3"/>
      <c r="V901" s="3"/>
      <c r="W901" s="3"/>
      <c r="X901" s="3"/>
      <c r="Y901" s="3"/>
      <c r="Z901" s="3"/>
      <c r="AB901" s="3"/>
      <c r="AC901" s="3"/>
      <c r="AD901" s="3"/>
      <c r="AE901" s="3"/>
      <c r="AF901" s="3"/>
      <c r="AG901" s="3"/>
      <c r="AH901" s="3"/>
      <c r="AI901" s="3"/>
      <c r="AK901" s="3"/>
      <c r="AL901" s="3"/>
      <c r="AM901" s="3"/>
      <c r="AN901" s="3"/>
      <c r="AO901" s="3"/>
      <c r="AP901" s="3"/>
      <c r="AQ901" s="3"/>
      <c r="AR901" s="3"/>
    </row>
    <row r="902" spans="1:44" ht="16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S902" s="3"/>
      <c r="T902" s="3"/>
      <c r="U902" s="3"/>
      <c r="V902" s="3"/>
      <c r="W902" s="3"/>
      <c r="X902" s="3"/>
      <c r="Y902" s="3"/>
      <c r="Z902" s="3"/>
      <c r="AB902" s="3"/>
      <c r="AC902" s="3"/>
      <c r="AD902" s="3"/>
      <c r="AE902" s="3"/>
      <c r="AF902" s="3"/>
      <c r="AG902" s="3"/>
      <c r="AH902" s="3"/>
      <c r="AI902" s="3"/>
      <c r="AK902" s="3"/>
      <c r="AL902" s="3"/>
      <c r="AM902" s="3"/>
      <c r="AN902" s="3"/>
      <c r="AO902" s="3"/>
      <c r="AP902" s="3"/>
      <c r="AQ902" s="3"/>
      <c r="AR902" s="3"/>
    </row>
    <row r="903" spans="1:44" ht="16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S903" s="3"/>
      <c r="T903" s="3"/>
      <c r="U903" s="3"/>
      <c r="V903" s="3"/>
      <c r="W903" s="3"/>
      <c r="X903" s="3"/>
      <c r="Y903" s="3"/>
      <c r="Z903" s="3"/>
      <c r="AB903" s="3"/>
      <c r="AC903" s="3"/>
      <c r="AD903" s="3"/>
      <c r="AE903" s="3"/>
      <c r="AF903" s="3"/>
      <c r="AG903" s="3"/>
      <c r="AH903" s="3"/>
      <c r="AI903" s="3"/>
      <c r="AK903" s="3"/>
      <c r="AL903" s="3"/>
      <c r="AM903" s="3"/>
      <c r="AN903" s="3"/>
      <c r="AO903" s="3"/>
      <c r="AP903" s="3"/>
      <c r="AQ903" s="3"/>
      <c r="AR903" s="3"/>
    </row>
    <row r="904" spans="1:44" ht="16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S904" s="3"/>
      <c r="T904" s="3"/>
      <c r="U904" s="3"/>
      <c r="V904" s="3"/>
      <c r="W904" s="3"/>
      <c r="X904" s="3"/>
      <c r="Y904" s="3"/>
      <c r="Z904" s="3"/>
      <c r="AB904" s="3"/>
      <c r="AC904" s="3"/>
      <c r="AD904" s="3"/>
      <c r="AE904" s="3"/>
      <c r="AF904" s="3"/>
      <c r="AG904" s="3"/>
      <c r="AH904" s="3"/>
      <c r="AI904" s="3"/>
      <c r="AK904" s="3"/>
      <c r="AL904" s="3"/>
      <c r="AM904" s="3"/>
      <c r="AN904" s="3"/>
      <c r="AO904" s="3"/>
      <c r="AP904" s="3"/>
      <c r="AQ904" s="3"/>
      <c r="AR904" s="3"/>
    </row>
    <row r="905" spans="1:44" ht="16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S905" s="3"/>
      <c r="T905" s="3"/>
      <c r="U905" s="3"/>
      <c r="V905" s="3"/>
      <c r="W905" s="3"/>
      <c r="X905" s="3"/>
      <c r="Y905" s="3"/>
      <c r="Z905" s="3"/>
      <c r="AB905" s="3"/>
      <c r="AC905" s="3"/>
      <c r="AD905" s="3"/>
      <c r="AE905" s="3"/>
      <c r="AF905" s="3"/>
      <c r="AG905" s="3"/>
      <c r="AH905" s="3"/>
      <c r="AI905" s="3"/>
      <c r="AK905" s="3"/>
      <c r="AL905" s="3"/>
      <c r="AM905" s="3"/>
      <c r="AN905" s="3"/>
      <c r="AO905" s="3"/>
      <c r="AP905" s="3"/>
      <c r="AQ905" s="3"/>
      <c r="AR905" s="3"/>
    </row>
    <row r="906" spans="1:44" ht="16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S906" s="3"/>
      <c r="T906" s="3"/>
      <c r="U906" s="3"/>
      <c r="V906" s="3"/>
      <c r="W906" s="3"/>
      <c r="X906" s="3"/>
      <c r="Y906" s="3"/>
      <c r="Z906" s="3"/>
      <c r="AB906" s="3"/>
      <c r="AC906" s="3"/>
      <c r="AD906" s="3"/>
      <c r="AE906" s="3"/>
      <c r="AF906" s="3"/>
      <c r="AG906" s="3"/>
      <c r="AH906" s="3"/>
      <c r="AI906" s="3"/>
      <c r="AK906" s="3"/>
      <c r="AL906" s="3"/>
      <c r="AM906" s="3"/>
      <c r="AN906" s="3"/>
      <c r="AO906" s="3"/>
      <c r="AP906" s="3"/>
      <c r="AQ906" s="3"/>
      <c r="AR906" s="3"/>
    </row>
    <row r="907" spans="1:44" ht="16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S907" s="3"/>
      <c r="T907" s="3"/>
      <c r="U907" s="3"/>
      <c r="V907" s="3"/>
      <c r="W907" s="3"/>
      <c r="X907" s="3"/>
      <c r="Y907" s="3"/>
      <c r="Z907" s="3"/>
      <c r="AB907" s="3"/>
      <c r="AC907" s="3"/>
      <c r="AD907" s="3"/>
      <c r="AE907" s="3"/>
      <c r="AF907" s="3"/>
      <c r="AG907" s="3"/>
      <c r="AH907" s="3"/>
      <c r="AI907" s="3"/>
      <c r="AK907" s="3"/>
      <c r="AL907" s="3"/>
      <c r="AM907" s="3"/>
      <c r="AN907" s="3"/>
      <c r="AO907" s="3"/>
      <c r="AP907" s="3"/>
      <c r="AQ907" s="3"/>
      <c r="AR907" s="3"/>
    </row>
    <row r="908" spans="1:44" ht="16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S908" s="3"/>
      <c r="T908" s="3"/>
      <c r="U908" s="3"/>
      <c r="V908" s="3"/>
      <c r="W908" s="3"/>
      <c r="X908" s="3"/>
      <c r="Y908" s="3"/>
      <c r="Z908" s="3"/>
      <c r="AB908" s="3"/>
      <c r="AC908" s="3"/>
      <c r="AD908" s="3"/>
      <c r="AE908" s="3"/>
      <c r="AF908" s="3"/>
      <c r="AG908" s="3"/>
      <c r="AH908" s="3"/>
      <c r="AI908" s="3"/>
      <c r="AK908" s="3"/>
      <c r="AL908" s="3"/>
      <c r="AM908" s="3"/>
      <c r="AN908" s="3"/>
      <c r="AO908" s="3"/>
      <c r="AP908" s="3"/>
      <c r="AQ908" s="3"/>
      <c r="AR908" s="3"/>
    </row>
    <row r="909" spans="1:44" ht="16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S909" s="3"/>
      <c r="T909" s="3"/>
      <c r="U909" s="3"/>
      <c r="V909" s="3"/>
      <c r="W909" s="3"/>
      <c r="X909" s="3"/>
      <c r="Y909" s="3"/>
      <c r="Z909" s="3"/>
      <c r="AB909" s="3"/>
      <c r="AC909" s="3"/>
      <c r="AD909" s="3"/>
      <c r="AE909" s="3"/>
      <c r="AF909" s="3"/>
      <c r="AG909" s="3"/>
      <c r="AH909" s="3"/>
      <c r="AI909" s="3"/>
      <c r="AK909" s="3"/>
      <c r="AL909" s="3"/>
      <c r="AM909" s="3"/>
      <c r="AN909" s="3"/>
      <c r="AO909" s="3"/>
      <c r="AP909" s="3"/>
      <c r="AQ909" s="3"/>
      <c r="AR909" s="3"/>
    </row>
    <row r="910" spans="1:44" ht="16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S910" s="3"/>
      <c r="T910" s="3"/>
      <c r="U910" s="3"/>
      <c r="V910" s="3"/>
      <c r="W910" s="3"/>
      <c r="X910" s="3"/>
      <c r="Y910" s="3"/>
      <c r="Z910" s="3"/>
      <c r="AB910" s="3"/>
      <c r="AC910" s="3"/>
      <c r="AD910" s="3"/>
      <c r="AE910" s="3"/>
      <c r="AF910" s="3"/>
      <c r="AG910" s="3"/>
      <c r="AH910" s="3"/>
      <c r="AI910" s="3"/>
      <c r="AK910" s="3"/>
      <c r="AL910" s="3"/>
      <c r="AM910" s="3"/>
      <c r="AN910" s="3"/>
      <c r="AO910" s="3"/>
      <c r="AP910" s="3"/>
      <c r="AQ910" s="3"/>
      <c r="AR910" s="3"/>
    </row>
    <row r="911" spans="1:44" ht="16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S911" s="3"/>
      <c r="T911" s="3"/>
      <c r="U911" s="3"/>
      <c r="V911" s="3"/>
      <c r="W911" s="3"/>
      <c r="X911" s="3"/>
      <c r="Y911" s="3"/>
      <c r="Z911" s="3"/>
      <c r="AB911" s="3"/>
      <c r="AC911" s="3"/>
      <c r="AD911" s="3"/>
      <c r="AE911" s="3"/>
      <c r="AF911" s="3"/>
      <c r="AG911" s="3"/>
      <c r="AH911" s="3"/>
      <c r="AI911" s="3"/>
      <c r="AK911" s="3"/>
      <c r="AL911" s="3"/>
      <c r="AM911" s="3"/>
      <c r="AN911" s="3"/>
      <c r="AO911" s="3"/>
      <c r="AP911" s="3"/>
      <c r="AQ911" s="3"/>
      <c r="AR911" s="3"/>
    </row>
    <row r="912" spans="1:44" ht="16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S912" s="3"/>
      <c r="T912" s="3"/>
      <c r="U912" s="3"/>
      <c r="V912" s="3"/>
      <c r="W912" s="3"/>
      <c r="X912" s="3"/>
      <c r="Y912" s="3"/>
      <c r="Z912" s="3"/>
      <c r="AB912" s="3"/>
      <c r="AC912" s="3"/>
      <c r="AD912" s="3"/>
      <c r="AE912" s="3"/>
      <c r="AF912" s="3"/>
      <c r="AG912" s="3"/>
      <c r="AH912" s="3"/>
      <c r="AI912" s="3"/>
      <c r="AK912" s="3"/>
      <c r="AL912" s="3"/>
      <c r="AM912" s="3"/>
      <c r="AN912" s="3"/>
      <c r="AO912" s="3"/>
      <c r="AP912" s="3"/>
      <c r="AQ912" s="3"/>
      <c r="AR912" s="3"/>
    </row>
    <row r="913" spans="1:44" ht="16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S913" s="3"/>
      <c r="T913" s="3"/>
      <c r="U913" s="3"/>
      <c r="V913" s="3"/>
      <c r="W913" s="3"/>
      <c r="X913" s="3"/>
      <c r="Y913" s="3"/>
      <c r="Z913" s="3"/>
      <c r="AB913" s="3"/>
      <c r="AC913" s="3"/>
      <c r="AD913" s="3"/>
      <c r="AE913" s="3"/>
      <c r="AF913" s="3"/>
      <c r="AG913" s="3"/>
      <c r="AH913" s="3"/>
      <c r="AI913" s="3"/>
      <c r="AK913" s="3"/>
      <c r="AL913" s="3"/>
      <c r="AM913" s="3"/>
      <c r="AN913" s="3"/>
      <c r="AO913" s="3"/>
      <c r="AP913" s="3"/>
      <c r="AQ913" s="3"/>
      <c r="AR913" s="3"/>
    </row>
    <row r="914" spans="1:44" ht="16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S914" s="3"/>
      <c r="T914" s="3"/>
      <c r="U914" s="3"/>
      <c r="V914" s="3"/>
      <c r="W914" s="3"/>
      <c r="X914" s="3"/>
      <c r="Y914" s="3"/>
      <c r="Z914" s="3"/>
      <c r="AB914" s="3"/>
      <c r="AC914" s="3"/>
      <c r="AD914" s="3"/>
      <c r="AE914" s="3"/>
      <c r="AF914" s="3"/>
      <c r="AG914" s="3"/>
      <c r="AH914" s="3"/>
      <c r="AI914" s="3"/>
      <c r="AK914" s="3"/>
      <c r="AL914" s="3"/>
      <c r="AM914" s="3"/>
      <c r="AN914" s="3"/>
      <c r="AO914" s="3"/>
      <c r="AP914" s="3"/>
      <c r="AQ914" s="3"/>
      <c r="AR914" s="3"/>
    </row>
    <row r="915" spans="1:44" ht="16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S915" s="3"/>
      <c r="T915" s="3"/>
      <c r="U915" s="3"/>
      <c r="V915" s="3"/>
      <c r="W915" s="3"/>
      <c r="X915" s="3"/>
      <c r="Y915" s="3"/>
      <c r="Z915" s="3"/>
      <c r="AB915" s="3"/>
      <c r="AC915" s="3"/>
      <c r="AD915" s="3"/>
      <c r="AE915" s="3"/>
      <c r="AF915" s="3"/>
      <c r="AG915" s="3"/>
      <c r="AH915" s="3"/>
      <c r="AI915" s="3"/>
      <c r="AK915" s="3"/>
      <c r="AL915" s="3"/>
      <c r="AM915" s="3"/>
      <c r="AN915" s="3"/>
      <c r="AO915" s="3"/>
      <c r="AP915" s="3"/>
      <c r="AQ915" s="3"/>
      <c r="AR915" s="3"/>
    </row>
    <row r="916" spans="1:44" ht="16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S916" s="3"/>
      <c r="T916" s="3"/>
      <c r="U916" s="3"/>
      <c r="V916" s="3"/>
      <c r="W916" s="3"/>
      <c r="X916" s="3"/>
      <c r="Y916" s="3"/>
      <c r="Z916" s="3"/>
      <c r="AB916" s="3"/>
      <c r="AC916" s="3"/>
      <c r="AD916" s="3"/>
      <c r="AE916" s="3"/>
      <c r="AF916" s="3"/>
      <c r="AG916" s="3"/>
      <c r="AH916" s="3"/>
      <c r="AI916" s="3"/>
      <c r="AK916" s="3"/>
      <c r="AL916" s="3"/>
      <c r="AM916" s="3"/>
      <c r="AN916" s="3"/>
      <c r="AO916" s="3"/>
      <c r="AP916" s="3"/>
      <c r="AQ916" s="3"/>
      <c r="AR916" s="3"/>
    </row>
    <row r="917" spans="1:44" ht="16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S917" s="3"/>
      <c r="T917" s="3"/>
      <c r="U917" s="3"/>
      <c r="V917" s="3"/>
      <c r="W917" s="3"/>
      <c r="X917" s="3"/>
      <c r="Y917" s="3"/>
      <c r="Z917" s="3"/>
      <c r="AB917" s="3"/>
      <c r="AC917" s="3"/>
      <c r="AD917" s="3"/>
      <c r="AE917" s="3"/>
      <c r="AF917" s="3"/>
      <c r="AG917" s="3"/>
      <c r="AH917" s="3"/>
      <c r="AI917" s="3"/>
      <c r="AK917" s="3"/>
      <c r="AL917" s="3"/>
      <c r="AM917" s="3"/>
      <c r="AN917" s="3"/>
      <c r="AO917" s="3"/>
      <c r="AP917" s="3"/>
      <c r="AQ917" s="3"/>
      <c r="AR917" s="3"/>
    </row>
    <row r="918" spans="1:44" ht="16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S918" s="3"/>
      <c r="T918" s="3"/>
      <c r="U918" s="3"/>
      <c r="V918" s="3"/>
      <c r="W918" s="3"/>
      <c r="X918" s="3"/>
      <c r="Y918" s="3"/>
      <c r="Z918" s="3"/>
      <c r="AB918" s="3"/>
      <c r="AC918" s="3"/>
      <c r="AD918" s="3"/>
      <c r="AE918" s="3"/>
      <c r="AF918" s="3"/>
      <c r="AG918" s="3"/>
      <c r="AH918" s="3"/>
      <c r="AI918" s="3"/>
      <c r="AK918" s="3"/>
      <c r="AL918" s="3"/>
      <c r="AM918" s="3"/>
      <c r="AN918" s="3"/>
      <c r="AO918" s="3"/>
      <c r="AP918" s="3"/>
      <c r="AQ918" s="3"/>
      <c r="AR918" s="3"/>
    </row>
    <row r="919" spans="1:44" ht="16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S919" s="3"/>
      <c r="T919" s="3"/>
      <c r="U919" s="3"/>
      <c r="V919" s="3"/>
      <c r="W919" s="3"/>
      <c r="X919" s="3"/>
      <c r="Y919" s="3"/>
      <c r="Z919" s="3"/>
      <c r="AB919" s="3"/>
      <c r="AC919" s="3"/>
      <c r="AD919" s="3"/>
      <c r="AE919" s="3"/>
      <c r="AF919" s="3"/>
      <c r="AG919" s="3"/>
      <c r="AH919" s="3"/>
      <c r="AI919" s="3"/>
      <c r="AK919" s="3"/>
      <c r="AL919" s="3"/>
      <c r="AM919" s="3"/>
      <c r="AN919" s="3"/>
      <c r="AO919" s="3"/>
      <c r="AP919" s="3"/>
      <c r="AQ919" s="3"/>
      <c r="AR919" s="3"/>
    </row>
    <row r="920" spans="1:44" ht="16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S920" s="3"/>
      <c r="T920" s="3"/>
      <c r="U920" s="3"/>
      <c r="V920" s="3"/>
      <c r="W920" s="3"/>
      <c r="X920" s="3"/>
      <c r="Y920" s="3"/>
      <c r="Z920" s="3"/>
      <c r="AB920" s="3"/>
      <c r="AC920" s="3"/>
      <c r="AD920" s="3"/>
      <c r="AE920" s="3"/>
      <c r="AF920" s="3"/>
      <c r="AG920" s="3"/>
      <c r="AH920" s="3"/>
      <c r="AI920" s="3"/>
      <c r="AK920" s="3"/>
      <c r="AL920" s="3"/>
      <c r="AM920" s="3"/>
      <c r="AN920" s="3"/>
      <c r="AO920" s="3"/>
      <c r="AP920" s="3"/>
      <c r="AQ920" s="3"/>
      <c r="AR920" s="3"/>
    </row>
    <row r="921" spans="1:44" ht="16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S921" s="3"/>
      <c r="T921" s="3"/>
      <c r="U921" s="3"/>
      <c r="V921" s="3"/>
      <c r="W921" s="3"/>
      <c r="X921" s="3"/>
      <c r="Y921" s="3"/>
      <c r="Z921" s="3"/>
      <c r="AB921" s="3"/>
      <c r="AC921" s="3"/>
      <c r="AD921" s="3"/>
      <c r="AE921" s="3"/>
      <c r="AF921" s="3"/>
      <c r="AG921" s="3"/>
      <c r="AH921" s="3"/>
      <c r="AI921" s="3"/>
      <c r="AK921" s="3"/>
      <c r="AL921" s="3"/>
      <c r="AM921" s="3"/>
      <c r="AN921" s="3"/>
      <c r="AO921" s="3"/>
      <c r="AP921" s="3"/>
      <c r="AQ921" s="3"/>
      <c r="AR921" s="3"/>
    </row>
    <row r="922" spans="1:44" ht="16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S922" s="3"/>
      <c r="T922" s="3"/>
      <c r="U922" s="3"/>
      <c r="V922" s="3"/>
      <c r="W922" s="3"/>
      <c r="X922" s="3"/>
      <c r="Y922" s="3"/>
      <c r="Z922" s="3"/>
      <c r="AB922" s="3"/>
      <c r="AC922" s="3"/>
      <c r="AD922" s="3"/>
      <c r="AE922" s="3"/>
      <c r="AF922" s="3"/>
      <c r="AG922" s="3"/>
      <c r="AH922" s="3"/>
      <c r="AI922" s="3"/>
      <c r="AK922" s="3"/>
      <c r="AL922" s="3"/>
      <c r="AM922" s="3"/>
      <c r="AN922" s="3"/>
      <c r="AO922" s="3"/>
      <c r="AP922" s="3"/>
      <c r="AQ922" s="3"/>
      <c r="AR922" s="3"/>
    </row>
    <row r="923" spans="1:44" ht="16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S923" s="3"/>
      <c r="T923" s="3"/>
      <c r="U923" s="3"/>
      <c r="V923" s="3"/>
      <c r="W923" s="3"/>
      <c r="X923" s="3"/>
      <c r="Y923" s="3"/>
      <c r="Z923" s="3"/>
      <c r="AB923" s="3"/>
      <c r="AC923" s="3"/>
      <c r="AD923" s="3"/>
      <c r="AE923" s="3"/>
      <c r="AF923" s="3"/>
      <c r="AG923" s="3"/>
      <c r="AH923" s="3"/>
      <c r="AI923" s="3"/>
      <c r="AK923" s="3"/>
      <c r="AL923" s="3"/>
      <c r="AM923" s="3"/>
      <c r="AN923" s="3"/>
      <c r="AO923" s="3"/>
      <c r="AP923" s="3"/>
      <c r="AQ923" s="3"/>
      <c r="AR923" s="3"/>
    </row>
    <row r="924" spans="1:44" ht="16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S924" s="3"/>
      <c r="T924" s="3"/>
      <c r="U924" s="3"/>
      <c r="V924" s="3"/>
      <c r="W924" s="3"/>
      <c r="X924" s="3"/>
      <c r="Y924" s="3"/>
      <c r="Z924" s="3"/>
      <c r="AB924" s="3"/>
      <c r="AC924" s="3"/>
      <c r="AD924" s="3"/>
      <c r="AE924" s="3"/>
      <c r="AF924" s="3"/>
      <c r="AG924" s="3"/>
      <c r="AH924" s="3"/>
      <c r="AI924" s="3"/>
      <c r="AK924" s="3"/>
      <c r="AL924" s="3"/>
      <c r="AM924" s="3"/>
      <c r="AN924" s="3"/>
      <c r="AO924" s="3"/>
      <c r="AP924" s="3"/>
      <c r="AQ924" s="3"/>
      <c r="AR924" s="3"/>
    </row>
    <row r="925" spans="1:44" ht="16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S925" s="3"/>
      <c r="T925" s="3"/>
      <c r="U925" s="3"/>
      <c r="V925" s="3"/>
      <c r="W925" s="3"/>
      <c r="X925" s="3"/>
      <c r="Y925" s="3"/>
      <c r="Z925" s="3"/>
      <c r="AB925" s="3"/>
      <c r="AC925" s="3"/>
      <c r="AD925" s="3"/>
      <c r="AE925" s="3"/>
      <c r="AF925" s="3"/>
      <c r="AG925" s="3"/>
      <c r="AH925" s="3"/>
      <c r="AI925" s="3"/>
      <c r="AK925" s="3"/>
      <c r="AL925" s="3"/>
      <c r="AM925" s="3"/>
      <c r="AN925" s="3"/>
      <c r="AO925" s="3"/>
      <c r="AP925" s="3"/>
      <c r="AQ925" s="3"/>
      <c r="AR925" s="3"/>
    </row>
    <row r="926" spans="1:44" ht="16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S926" s="3"/>
      <c r="T926" s="3"/>
      <c r="U926" s="3"/>
      <c r="V926" s="3"/>
      <c r="W926" s="3"/>
      <c r="X926" s="3"/>
      <c r="Y926" s="3"/>
      <c r="Z926" s="3"/>
      <c r="AB926" s="3"/>
      <c r="AC926" s="3"/>
      <c r="AD926" s="3"/>
      <c r="AE926" s="3"/>
      <c r="AF926" s="3"/>
      <c r="AG926" s="3"/>
      <c r="AH926" s="3"/>
      <c r="AI926" s="3"/>
      <c r="AK926" s="3"/>
      <c r="AL926" s="3"/>
      <c r="AM926" s="3"/>
      <c r="AN926" s="3"/>
      <c r="AO926" s="3"/>
      <c r="AP926" s="3"/>
      <c r="AQ926" s="3"/>
      <c r="AR926" s="3"/>
    </row>
    <row r="927" spans="1:44" ht="16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S927" s="3"/>
      <c r="T927" s="3"/>
      <c r="U927" s="3"/>
      <c r="V927" s="3"/>
      <c r="W927" s="3"/>
      <c r="X927" s="3"/>
      <c r="Y927" s="3"/>
      <c r="Z927" s="3"/>
      <c r="AB927" s="3"/>
      <c r="AC927" s="3"/>
      <c r="AD927" s="3"/>
      <c r="AE927" s="3"/>
      <c r="AF927" s="3"/>
      <c r="AG927" s="3"/>
      <c r="AH927" s="3"/>
      <c r="AI927" s="3"/>
      <c r="AK927" s="3"/>
      <c r="AL927" s="3"/>
      <c r="AM927" s="3"/>
      <c r="AN927" s="3"/>
      <c r="AO927" s="3"/>
      <c r="AP927" s="3"/>
      <c r="AQ927" s="3"/>
      <c r="AR927" s="3"/>
    </row>
    <row r="928" spans="1:44" ht="16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S928" s="3"/>
      <c r="T928" s="3"/>
      <c r="U928" s="3"/>
      <c r="V928" s="3"/>
      <c r="W928" s="3"/>
      <c r="X928" s="3"/>
      <c r="Y928" s="3"/>
      <c r="Z928" s="3"/>
      <c r="AB928" s="3"/>
      <c r="AC928" s="3"/>
      <c r="AD928" s="3"/>
      <c r="AE928" s="3"/>
      <c r="AF928" s="3"/>
      <c r="AG928" s="3"/>
      <c r="AH928" s="3"/>
      <c r="AI928" s="3"/>
      <c r="AK928" s="3"/>
      <c r="AL928" s="3"/>
      <c r="AM928" s="3"/>
      <c r="AN928" s="3"/>
      <c r="AO928" s="3"/>
      <c r="AP928" s="3"/>
      <c r="AQ928" s="3"/>
      <c r="AR928" s="3"/>
    </row>
    <row r="929" spans="1:44" ht="16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S929" s="3"/>
      <c r="T929" s="3"/>
      <c r="U929" s="3"/>
      <c r="V929" s="3"/>
      <c r="W929" s="3"/>
      <c r="X929" s="3"/>
      <c r="Y929" s="3"/>
      <c r="Z929" s="3"/>
      <c r="AB929" s="3"/>
      <c r="AC929" s="3"/>
      <c r="AD929" s="3"/>
      <c r="AE929" s="3"/>
      <c r="AF929" s="3"/>
      <c r="AG929" s="3"/>
      <c r="AH929" s="3"/>
      <c r="AI929" s="3"/>
      <c r="AK929" s="3"/>
      <c r="AL929" s="3"/>
      <c r="AM929" s="3"/>
      <c r="AN929" s="3"/>
      <c r="AO929" s="3"/>
      <c r="AP929" s="3"/>
      <c r="AQ929" s="3"/>
      <c r="AR929" s="3"/>
    </row>
    <row r="930" spans="1:44" ht="16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S930" s="3"/>
      <c r="T930" s="3"/>
      <c r="U930" s="3"/>
      <c r="V930" s="3"/>
      <c r="W930" s="3"/>
      <c r="X930" s="3"/>
      <c r="Y930" s="3"/>
      <c r="Z930" s="3"/>
      <c r="AB930" s="3"/>
      <c r="AC930" s="3"/>
      <c r="AD930" s="3"/>
      <c r="AE930" s="3"/>
      <c r="AF930" s="3"/>
      <c r="AG930" s="3"/>
      <c r="AH930" s="3"/>
      <c r="AI930" s="3"/>
      <c r="AK930" s="3"/>
      <c r="AL930" s="3"/>
      <c r="AM930" s="3"/>
      <c r="AN930" s="3"/>
      <c r="AO930" s="3"/>
      <c r="AP930" s="3"/>
      <c r="AQ930" s="3"/>
      <c r="AR930" s="3"/>
    </row>
    <row r="931" spans="1:44" ht="16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S931" s="3"/>
      <c r="T931" s="3"/>
      <c r="U931" s="3"/>
      <c r="V931" s="3"/>
      <c r="W931" s="3"/>
      <c r="X931" s="3"/>
      <c r="Y931" s="3"/>
      <c r="Z931" s="3"/>
      <c r="AB931" s="3"/>
      <c r="AC931" s="3"/>
      <c r="AD931" s="3"/>
      <c r="AE931" s="3"/>
      <c r="AF931" s="3"/>
      <c r="AG931" s="3"/>
      <c r="AH931" s="3"/>
      <c r="AI931" s="3"/>
      <c r="AK931" s="3"/>
      <c r="AL931" s="3"/>
      <c r="AM931" s="3"/>
      <c r="AN931" s="3"/>
      <c r="AO931" s="3"/>
      <c r="AP931" s="3"/>
      <c r="AQ931" s="3"/>
      <c r="AR931" s="3"/>
    </row>
    <row r="932" spans="1:44" ht="16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S932" s="3"/>
      <c r="T932" s="3"/>
      <c r="U932" s="3"/>
      <c r="V932" s="3"/>
      <c r="W932" s="3"/>
      <c r="X932" s="3"/>
      <c r="Y932" s="3"/>
      <c r="Z932" s="3"/>
      <c r="AB932" s="3"/>
      <c r="AC932" s="3"/>
      <c r="AD932" s="3"/>
      <c r="AE932" s="3"/>
      <c r="AF932" s="3"/>
      <c r="AG932" s="3"/>
      <c r="AH932" s="3"/>
      <c r="AI932" s="3"/>
      <c r="AK932" s="3"/>
      <c r="AL932" s="3"/>
      <c r="AM932" s="3"/>
      <c r="AN932" s="3"/>
      <c r="AO932" s="3"/>
      <c r="AP932" s="3"/>
      <c r="AQ932" s="3"/>
      <c r="AR932" s="3"/>
    </row>
    <row r="933" spans="1:44" ht="16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S933" s="3"/>
      <c r="T933" s="3"/>
      <c r="U933" s="3"/>
      <c r="V933" s="3"/>
      <c r="W933" s="3"/>
      <c r="X933" s="3"/>
      <c r="Y933" s="3"/>
      <c r="Z933" s="3"/>
      <c r="AB933" s="3"/>
      <c r="AC933" s="3"/>
      <c r="AD933" s="3"/>
      <c r="AE933" s="3"/>
      <c r="AF933" s="3"/>
      <c r="AG933" s="3"/>
      <c r="AH933" s="3"/>
      <c r="AI933" s="3"/>
      <c r="AK933" s="3"/>
      <c r="AL933" s="3"/>
      <c r="AM933" s="3"/>
      <c r="AN933" s="3"/>
      <c r="AO933" s="3"/>
      <c r="AP933" s="3"/>
      <c r="AQ933" s="3"/>
      <c r="AR933" s="3"/>
    </row>
    <row r="934" spans="1:44" ht="16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S934" s="3"/>
      <c r="T934" s="3"/>
      <c r="U934" s="3"/>
      <c r="V934" s="3"/>
      <c r="W934" s="3"/>
      <c r="X934" s="3"/>
      <c r="Y934" s="3"/>
      <c r="Z934" s="3"/>
      <c r="AB934" s="3"/>
      <c r="AC934" s="3"/>
      <c r="AD934" s="3"/>
      <c r="AE934" s="3"/>
      <c r="AF934" s="3"/>
      <c r="AG934" s="3"/>
      <c r="AH934" s="3"/>
      <c r="AI934" s="3"/>
      <c r="AK934" s="3"/>
      <c r="AL934" s="3"/>
      <c r="AM934" s="3"/>
      <c r="AN934" s="3"/>
      <c r="AO934" s="3"/>
      <c r="AP934" s="3"/>
      <c r="AQ934" s="3"/>
      <c r="AR934" s="3"/>
    </row>
    <row r="935" spans="1:44" ht="16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S935" s="3"/>
      <c r="T935" s="3"/>
      <c r="U935" s="3"/>
      <c r="V935" s="3"/>
      <c r="W935" s="3"/>
      <c r="X935" s="3"/>
      <c r="Y935" s="3"/>
      <c r="Z935" s="3"/>
      <c r="AB935" s="3"/>
      <c r="AC935" s="3"/>
      <c r="AD935" s="3"/>
      <c r="AE935" s="3"/>
      <c r="AF935" s="3"/>
      <c r="AG935" s="3"/>
      <c r="AH935" s="3"/>
      <c r="AI935" s="3"/>
      <c r="AK935" s="3"/>
      <c r="AL935" s="3"/>
      <c r="AM935" s="3"/>
      <c r="AN935" s="3"/>
      <c r="AO935" s="3"/>
      <c r="AP935" s="3"/>
      <c r="AQ935" s="3"/>
      <c r="AR935" s="3"/>
    </row>
    <row r="936" spans="1:44" ht="16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S936" s="3"/>
      <c r="T936" s="3"/>
      <c r="U936" s="3"/>
      <c r="V936" s="3"/>
      <c r="W936" s="3"/>
      <c r="X936" s="3"/>
      <c r="Y936" s="3"/>
      <c r="Z936" s="3"/>
      <c r="AB936" s="3"/>
      <c r="AC936" s="3"/>
      <c r="AD936" s="3"/>
      <c r="AE936" s="3"/>
      <c r="AF936" s="3"/>
      <c r="AG936" s="3"/>
      <c r="AH936" s="3"/>
      <c r="AI936" s="3"/>
      <c r="AK936" s="3"/>
      <c r="AL936" s="3"/>
      <c r="AM936" s="3"/>
      <c r="AN936" s="3"/>
      <c r="AO936" s="3"/>
      <c r="AP936" s="3"/>
      <c r="AQ936" s="3"/>
      <c r="AR936" s="3"/>
    </row>
    <row r="937" spans="1:44" ht="16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S937" s="3"/>
      <c r="T937" s="3"/>
      <c r="U937" s="3"/>
      <c r="V937" s="3"/>
      <c r="W937" s="3"/>
      <c r="X937" s="3"/>
      <c r="Y937" s="3"/>
      <c r="Z937" s="3"/>
      <c r="AB937" s="3"/>
      <c r="AC937" s="3"/>
      <c r="AD937" s="3"/>
      <c r="AE937" s="3"/>
      <c r="AF937" s="3"/>
      <c r="AG937" s="3"/>
      <c r="AH937" s="3"/>
      <c r="AI937" s="3"/>
      <c r="AK937" s="3"/>
      <c r="AL937" s="3"/>
      <c r="AM937" s="3"/>
      <c r="AN937" s="3"/>
      <c r="AO937" s="3"/>
      <c r="AP937" s="3"/>
      <c r="AQ937" s="3"/>
      <c r="AR937" s="3"/>
    </row>
    <row r="938" spans="1:44" ht="16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S938" s="3"/>
      <c r="T938" s="3"/>
      <c r="U938" s="3"/>
      <c r="V938" s="3"/>
      <c r="W938" s="3"/>
      <c r="X938" s="3"/>
      <c r="Y938" s="3"/>
      <c r="Z938" s="3"/>
      <c r="AB938" s="3"/>
      <c r="AC938" s="3"/>
      <c r="AD938" s="3"/>
      <c r="AE938" s="3"/>
      <c r="AF938" s="3"/>
      <c r="AG938" s="3"/>
      <c r="AH938" s="3"/>
      <c r="AI938" s="3"/>
      <c r="AK938" s="3"/>
      <c r="AL938" s="3"/>
      <c r="AM938" s="3"/>
      <c r="AN938" s="3"/>
      <c r="AO938" s="3"/>
      <c r="AP938" s="3"/>
      <c r="AQ938" s="3"/>
      <c r="AR938" s="3"/>
    </row>
    <row r="939" spans="1:44" ht="16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S939" s="3"/>
      <c r="T939" s="3"/>
      <c r="U939" s="3"/>
      <c r="V939" s="3"/>
      <c r="W939" s="3"/>
      <c r="X939" s="3"/>
      <c r="Y939" s="3"/>
      <c r="Z939" s="3"/>
      <c r="AB939" s="3"/>
      <c r="AC939" s="3"/>
      <c r="AD939" s="3"/>
      <c r="AE939" s="3"/>
      <c r="AF939" s="3"/>
      <c r="AG939" s="3"/>
      <c r="AH939" s="3"/>
      <c r="AI939" s="3"/>
      <c r="AK939" s="3"/>
      <c r="AL939" s="3"/>
      <c r="AM939" s="3"/>
      <c r="AN939" s="3"/>
      <c r="AO939" s="3"/>
      <c r="AP939" s="3"/>
      <c r="AQ939" s="3"/>
      <c r="AR939" s="3"/>
    </row>
    <row r="940" spans="1:44" ht="16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S940" s="3"/>
      <c r="T940" s="3"/>
      <c r="U940" s="3"/>
      <c r="V940" s="3"/>
      <c r="W940" s="3"/>
      <c r="X940" s="3"/>
      <c r="Y940" s="3"/>
      <c r="Z940" s="3"/>
      <c r="AB940" s="3"/>
      <c r="AC940" s="3"/>
      <c r="AD940" s="3"/>
      <c r="AE940" s="3"/>
      <c r="AF940" s="3"/>
      <c r="AG940" s="3"/>
      <c r="AH940" s="3"/>
      <c r="AI940" s="3"/>
      <c r="AK940" s="3"/>
      <c r="AL940" s="3"/>
      <c r="AM940" s="3"/>
      <c r="AN940" s="3"/>
      <c r="AO940" s="3"/>
      <c r="AP940" s="3"/>
      <c r="AQ940" s="3"/>
      <c r="AR940" s="3"/>
    </row>
    <row r="941" spans="1:44" ht="16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S941" s="3"/>
      <c r="T941" s="3"/>
      <c r="U941" s="3"/>
      <c r="V941" s="3"/>
      <c r="W941" s="3"/>
      <c r="X941" s="3"/>
      <c r="Y941" s="3"/>
      <c r="Z941" s="3"/>
      <c r="AB941" s="3"/>
      <c r="AC941" s="3"/>
      <c r="AD941" s="3"/>
      <c r="AE941" s="3"/>
      <c r="AF941" s="3"/>
      <c r="AG941" s="3"/>
      <c r="AH941" s="3"/>
      <c r="AI941" s="3"/>
      <c r="AK941" s="3"/>
      <c r="AL941" s="3"/>
      <c r="AM941" s="3"/>
      <c r="AN941" s="3"/>
      <c r="AO941" s="3"/>
      <c r="AP941" s="3"/>
      <c r="AQ941" s="3"/>
      <c r="AR941" s="3"/>
    </row>
    <row r="942" spans="1:44" ht="16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S942" s="3"/>
      <c r="T942" s="3"/>
      <c r="U942" s="3"/>
      <c r="V942" s="3"/>
      <c r="W942" s="3"/>
      <c r="X942" s="3"/>
      <c r="Y942" s="3"/>
      <c r="Z942" s="3"/>
      <c r="AB942" s="3"/>
      <c r="AC942" s="3"/>
      <c r="AD942" s="3"/>
      <c r="AE942" s="3"/>
      <c r="AF942" s="3"/>
      <c r="AG942" s="3"/>
      <c r="AH942" s="3"/>
      <c r="AI942" s="3"/>
      <c r="AK942" s="3"/>
      <c r="AL942" s="3"/>
      <c r="AM942" s="3"/>
      <c r="AN942" s="3"/>
      <c r="AO942" s="3"/>
      <c r="AP942" s="3"/>
      <c r="AQ942" s="3"/>
      <c r="AR942" s="3"/>
    </row>
    <row r="943" spans="1:44" ht="16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S943" s="3"/>
      <c r="T943" s="3"/>
      <c r="U943" s="3"/>
      <c r="V943" s="3"/>
      <c r="W943" s="3"/>
      <c r="X943" s="3"/>
      <c r="Y943" s="3"/>
      <c r="Z943" s="3"/>
      <c r="AB943" s="3"/>
      <c r="AC943" s="3"/>
      <c r="AD943" s="3"/>
      <c r="AE943" s="3"/>
      <c r="AF943" s="3"/>
      <c r="AG943" s="3"/>
      <c r="AH943" s="3"/>
      <c r="AI943" s="3"/>
      <c r="AK943" s="3"/>
      <c r="AL943" s="3"/>
      <c r="AM943" s="3"/>
      <c r="AN943" s="3"/>
      <c r="AO943" s="3"/>
      <c r="AP943" s="3"/>
      <c r="AQ943" s="3"/>
      <c r="AR943" s="3"/>
    </row>
    <row r="944" spans="1:44" ht="16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S944" s="3"/>
      <c r="T944" s="3"/>
      <c r="U944" s="3"/>
      <c r="V944" s="3"/>
      <c r="W944" s="3"/>
      <c r="X944" s="3"/>
      <c r="Y944" s="3"/>
      <c r="Z944" s="3"/>
      <c r="AB944" s="3"/>
      <c r="AC944" s="3"/>
      <c r="AD944" s="3"/>
      <c r="AE944" s="3"/>
      <c r="AF944" s="3"/>
      <c r="AG944" s="3"/>
      <c r="AH944" s="3"/>
      <c r="AI944" s="3"/>
      <c r="AK944" s="3"/>
      <c r="AL944" s="3"/>
      <c r="AM944" s="3"/>
      <c r="AN944" s="3"/>
      <c r="AO944" s="3"/>
      <c r="AP944" s="3"/>
      <c r="AQ944" s="3"/>
      <c r="AR944" s="3"/>
    </row>
    <row r="945" spans="1:44" ht="16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S945" s="3"/>
      <c r="T945" s="3"/>
      <c r="U945" s="3"/>
      <c r="V945" s="3"/>
      <c r="W945" s="3"/>
      <c r="X945" s="3"/>
      <c r="Y945" s="3"/>
      <c r="Z945" s="3"/>
      <c r="AB945" s="3"/>
      <c r="AC945" s="3"/>
      <c r="AD945" s="3"/>
      <c r="AE945" s="3"/>
      <c r="AF945" s="3"/>
      <c r="AG945" s="3"/>
      <c r="AH945" s="3"/>
      <c r="AI945" s="3"/>
      <c r="AK945" s="3"/>
      <c r="AL945" s="3"/>
      <c r="AM945" s="3"/>
      <c r="AN945" s="3"/>
      <c r="AO945" s="3"/>
      <c r="AP945" s="3"/>
      <c r="AQ945" s="3"/>
      <c r="AR945" s="3"/>
    </row>
    <row r="946" spans="1:44" ht="16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S946" s="3"/>
      <c r="T946" s="3"/>
      <c r="U946" s="3"/>
      <c r="V946" s="3"/>
      <c r="W946" s="3"/>
      <c r="X946" s="3"/>
      <c r="Y946" s="3"/>
      <c r="Z946" s="3"/>
      <c r="AB946" s="3"/>
      <c r="AC946" s="3"/>
      <c r="AD946" s="3"/>
      <c r="AE946" s="3"/>
      <c r="AF946" s="3"/>
      <c r="AG946" s="3"/>
      <c r="AH946" s="3"/>
      <c r="AI946" s="3"/>
      <c r="AK946" s="3"/>
      <c r="AL946" s="3"/>
      <c r="AM946" s="3"/>
      <c r="AN946" s="3"/>
      <c r="AO946" s="3"/>
      <c r="AP946" s="3"/>
      <c r="AQ946" s="3"/>
      <c r="AR946" s="3"/>
    </row>
    <row r="947" spans="1:44" ht="16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S947" s="3"/>
      <c r="T947" s="3"/>
      <c r="U947" s="3"/>
      <c r="V947" s="3"/>
      <c r="W947" s="3"/>
      <c r="X947" s="3"/>
      <c r="Y947" s="3"/>
      <c r="Z947" s="3"/>
      <c r="AB947" s="3"/>
      <c r="AC947" s="3"/>
      <c r="AD947" s="3"/>
      <c r="AE947" s="3"/>
      <c r="AF947" s="3"/>
      <c r="AG947" s="3"/>
      <c r="AH947" s="3"/>
      <c r="AI947" s="3"/>
      <c r="AK947" s="3"/>
      <c r="AL947" s="3"/>
      <c r="AM947" s="3"/>
      <c r="AN947" s="3"/>
      <c r="AO947" s="3"/>
      <c r="AP947" s="3"/>
      <c r="AQ947" s="3"/>
      <c r="AR947" s="3"/>
    </row>
    <row r="948" spans="1:44" ht="16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S948" s="3"/>
      <c r="T948" s="3"/>
      <c r="U948" s="3"/>
      <c r="V948" s="3"/>
      <c r="W948" s="3"/>
      <c r="X948" s="3"/>
      <c r="Y948" s="3"/>
      <c r="Z948" s="3"/>
      <c r="AB948" s="3"/>
      <c r="AC948" s="3"/>
      <c r="AD948" s="3"/>
      <c r="AE948" s="3"/>
      <c r="AF948" s="3"/>
      <c r="AG948" s="3"/>
      <c r="AH948" s="3"/>
      <c r="AI948" s="3"/>
      <c r="AK948" s="3"/>
      <c r="AL948" s="3"/>
      <c r="AM948" s="3"/>
      <c r="AN948" s="3"/>
      <c r="AO948" s="3"/>
      <c r="AP948" s="3"/>
      <c r="AQ948" s="3"/>
      <c r="AR948" s="3"/>
    </row>
    <row r="949" spans="1:44" ht="16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S949" s="3"/>
      <c r="T949" s="3"/>
      <c r="U949" s="3"/>
      <c r="V949" s="3"/>
      <c r="W949" s="3"/>
      <c r="X949" s="3"/>
      <c r="Y949" s="3"/>
      <c r="Z949" s="3"/>
      <c r="AB949" s="3"/>
      <c r="AC949" s="3"/>
      <c r="AD949" s="3"/>
      <c r="AE949" s="3"/>
      <c r="AF949" s="3"/>
      <c r="AG949" s="3"/>
      <c r="AH949" s="3"/>
      <c r="AI949" s="3"/>
      <c r="AK949" s="3"/>
      <c r="AL949" s="3"/>
      <c r="AM949" s="3"/>
      <c r="AN949" s="3"/>
      <c r="AO949" s="3"/>
      <c r="AP949" s="3"/>
      <c r="AQ949" s="3"/>
      <c r="AR949" s="3"/>
    </row>
    <row r="950" spans="1:44" ht="16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S950" s="3"/>
      <c r="T950" s="3"/>
      <c r="U950" s="3"/>
      <c r="V950" s="3"/>
      <c r="W950" s="3"/>
      <c r="X950" s="3"/>
      <c r="Y950" s="3"/>
      <c r="Z950" s="3"/>
      <c r="AB950" s="3"/>
      <c r="AC950" s="3"/>
      <c r="AD950" s="3"/>
      <c r="AE950" s="3"/>
      <c r="AF950" s="3"/>
      <c r="AG950" s="3"/>
      <c r="AH950" s="3"/>
      <c r="AI950" s="3"/>
      <c r="AK950" s="3"/>
      <c r="AL950" s="3"/>
      <c r="AM950" s="3"/>
      <c r="AN950" s="3"/>
      <c r="AO950" s="3"/>
      <c r="AP950" s="3"/>
      <c r="AQ950" s="3"/>
      <c r="AR950" s="3"/>
    </row>
    <row r="951" spans="1:44" ht="16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S951" s="3"/>
      <c r="T951" s="3"/>
      <c r="U951" s="3"/>
      <c r="V951" s="3"/>
      <c r="W951" s="3"/>
      <c r="X951" s="3"/>
      <c r="Y951" s="3"/>
      <c r="Z951" s="3"/>
      <c r="AB951" s="3"/>
      <c r="AC951" s="3"/>
      <c r="AD951" s="3"/>
      <c r="AE951" s="3"/>
      <c r="AF951" s="3"/>
      <c r="AG951" s="3"/>
      <c r="AH951" s="3"/>
      <c r="AI951" s="3"/>
      <c r="AK951" s="3"/>
      <c r="AL951" s="3"/>
      <c r="AM951" s="3"/>
      <c r="AN951" s="3"/>
      <c r="AO951" s="3"/>
      <c r="AP951" s="3"/>
      <c r="AQ951" s="3"/>
      <c r="AR951" s="3"/>
    </row>
    <row r="952" spans="1:44" ht="16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S952" s="3"/>
      <c r="T952" s="3"/>
      <c r="U952" s="3"/>
      <c r="V952" s="3"/>
      <c r="W952" s="3"/>
      <c r="X952" s="3"/>
      <c r="Y952" s="3"/>
      <c r="Z952" s="3"/>
      <c r="AB952" s="3"/>
      <c r="AC952" s="3"/>
      <c r="AD952" s="3"/>
      <c r="AE952" s="3"/>
      <c r="AF952" s="3"/>
      <c r="AG952" s="3"/>
      <c r="AH952" s="3"/>
      <c r="AI952" s="3"/>
      <c r="AK952" s="3"/>
      <c r="AL952" s="3"/>
      <c r="AM952" s="3"/>
      <c r="AN952" s="3"/>
      <c r="AO952" s="3"/>
      <c r="AP952" s="3"/>
      <c r="AQ952" s="3"/>
      <c r="AR952" s="3"/>
    </row>
    <row r="953" spans="1:44" ht="16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S953" s="3"/>
      <c r="T953" s="3"/>
      <c r="U953" s="3"/>
      <c r="V953" s="3"/>
      <c r="W953" s="3"/>
      <c r="X953" s="3"/>
      <c r="Y953" s="3"/>
      <c r="Z953" s="3"/>
      <c r="AB953" s="3"/>
      <c r="AC953" s="3"/>
      <c r="AD953" s="3"/>
      <c r="AE953" s="3"/>
      <c r="AF953" s="3"/>
      <c r="AG953" s="3"/>
      <c r="AH953" s="3"/>
      <c r="AI953" s="3"/>
      <c r="AK953" s="3"/>
      <c r="AL953" s="3"/>
      <c r="AM953" s="3"/>
      <c r="AN953" s="3"/>
      <c r="AO953" s="3"/>
      <c r="AP953" s="3"/>
      <c r="AQ953" s="3"/>
      <c r="AR953" s="3"/>
    </row>
    <row r="954" spans="1:44" ht="16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S954" s="3"/>
      <c r="T954" s="3"/>
      <c r="U954" s="3"/>
      <c r="V954" s="3"/>
      <c r="W954" s="3"/>
      <c r="X954" s="3"/>
      <c r="Y954" s="3"/>
      <c r="Z954" s="3"/>
      <c r="AB954" s="3"/>
      <c r="AC954" s="3"/>
      <c r="AD954" s="3"/>
      <c r="AE954" s="3"/>
      <c r="AF954" s="3"/>
      <c r="AG954" s="3"/>
      <c r="AH954" s="3"/>
      <c r="AI954" s="3"/>
      <c r="AK954" s="3"/>
      <c r="AL954" s="3"/>
      <c r="AM954" s="3"/>
      <c r="AN954" s="3"/>
      <c r="AO954" s="3"/>
      <c r="AP954" s="3"/>
      <c r="AQ954" s="3"/>
      <c r="AR954" s="3"/>
    </row>
    <row r="955" spans="1:44" ht="16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S955" s="3"/>
      <c r="T955" s="3"/>
      <c r="U955" s="3"/>
      <c r="V955" s="3"/>
      <c r="W955" s="3"/>
      <c r="X955" s="3"/>
      <c r="Y955" s="3"/>
      <c r="Z955" s="3"/>
      <c r="AB955" s="3"/>
      <c r="AC955" s="3"/>
      <c r="AD955" s="3"/>
      <c r="AE955" s="3"/>
      <c r="AF955" s="3"/>
      <c r="AG955" s="3"/>
      <c r="AH955" s="3"/>
      <c r="AI955" s="3"/>
      <c r="AK955" s="3"/>
      <c r="AL955" s="3"/>
      <c r="AM955" s="3"/>
      <c r="AN955" s="3"/>
      <c r="AO955" s="3"/>
      <c r="AP955" s="3"/>
      <c r="AQ955" s="3"/>
      <c r="AR955" s="3"/>
    </row>
    <row r="956" spans="1:44" ht="16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S956" s="3"/>
      <c r="T956" s="3"/>
      <c r="U956" s="3"/>
      <c r="V956" s="3"/>
      <c r="W956" s="3"/>
      <c r="X956" s="3"/>
      <c r="Y956" s="3"/>
      <c r="Z956" s="3"/>
      <c r="AB956" s="3"/>
      <c r="AC956" s="3"/>
      <c r="AD956" s="3"/>
      <c r="AE956" s="3"/>
      <c r="AF956" s="3"/>
      <c r="AG956" s="3"/>
      <c r="AH956" s="3"/>
      <c r="AI956" s="3"/>
      <c r="AK956" s="3"/>
      <c r="AL956" s="3"/>
      <c r="AM956" s="3"/>
      <c r="AN956" s="3"/>
      <c r="AO956" s="3"/>
      <c r="AP956" s="3"/>
      <c r="AQ956" s="3"/>
      <c r="AR956" s="3"/>
    </row>
    <row r="957" spans="1:44" ht="16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S957" s="3"/>
      <c r="T957" s="3"/>
      <c r="U957" s="3"/>
      <c r="V957" s="3"/>
      <c r="W957" s="3"/>
      <c r="X957" s="3"/>
      <c r="Y957" s="3"/>
      <c r="Z957" s="3"/>
      <c r="AB957" s="3"/>
      <c r="AC957" s="3"/>
      <c r="AD957" s="3"/>
      <c r="AE957" s="3"/>
      <c r="AF957" s="3"/>
      <c r="AG957" s="3"/>
      <c r="AH957" s="3"/>
      <c r="AI957" s="3"/>
      <c r="AK957" s="3"/>
      <c r="AL957" s="3"/>
      <c r="AM957" s="3"/>
      <c r="AN957" s="3"/>
      <c r="AO957" s="3"/>
      <c r="AP957" s="3"/>
      <c r="AQ957" s="3"/>
      <c r="AR957" s="3"/>
    </row>
    <row r="958" spans="1:44" ht="16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S958" s="3"/>
      <c r="T958" s="3"/>
      <c r="U958" s="3"/>
      <c r="V958" s="3"/>
      <c r="W958" s="3"/>
      <c r="X958" s="3"/>
      <c r="Y958" s="3"/>
      <c r="Z958" s="3"/>
      <c r="AB958" s="3"/>
      <c r="AC958" s="3"/>
      <c r="AD958" s="3"/>
      <c r="AE958" s="3"/>
      <c r="AF958" s="3"/>
      <c r="AG958" s="3"/>
      <c r="AH958" s="3"/>
      <c r="AI958" s="3"/>
      <c r="AK958" s="3"/>
      <c r="AL958" s="3"/>
      <c r="AM958" s="3"/>
      <c r="AN958" s="3"/>
      <c r="AO958" s="3"/>
      <c r="AP958" s="3"/>
      <c r="AQ958" s="3"/>
      <c r="AR958" s="3"/>
    </row>
    <row r="959" spans="1:44" ht="16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S959" s="3"/>
      <c r="T959" s="3"/>
      <c r="U959" s="3"/>
      <c r="V959" s="3"/>
      <c r="W959" s="3"/>
      <c r="X959" s="3"/>
      <c r="Y959" s="3"/>
      <c r="Z959" s="3"/>
      <c r="AB959" s="3"/>
      <c r="AC959" s="3"/>
      <c r="AD959" s="3"/>
      <c r="AE959" s="3"/>
      <c r="AF959" s="3"/>
      <c r="AG959" s="3"/>
      <c r="AH959" s="3"/>
      <c r="AI959" s="3"/>
      <c r="AK959" s="3"/>
      <c r="AL959" s="3"/>
      <c r="AM959" s="3"/>
      <c r="AN959" s="3"/>
      <c r="AO959" s="3"/>
      <c r="AP959" s="3"/>
      <c r="AQ959" s="3"/>
      <c r="AR959" s="3"/>
    </row>
    <row r="960" spans="1:44" ht="16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S960" s="3"/>
      <c r="T960" s="3"/>
      <c r="U960" s="3"/>
      <c r="V960" s="3"/>
      <c r="W960" s="3"/>
      <c r="X960" s="3"/>
      <c r="Y960" s="3"/>
      <c r="Z960" s="3"/>
      <c r="AB960" s="3"/>
      <c r="AC960" s="3"/>
      <c r="AD960" s="3"/>
      <c r="AE960" s="3"/>
      <c r="AF960" s="3"/>
      <c r="AG960" s="3"/>
      <c r="AH960" s="3"/>
      <c r="AI960" s="3"/>
      <c r="AK960" s="3"/>
      <c r="AL960" s="3"/>
      <c r="AM960" s="3"/>
      <c r="AN960" s="3"/>
      <c r="AO960" s="3"/>
      <c r="AP960" s="3"/>
      <c r="AQ960" s="3"/>
      <c r="AR960" s="3"/>
    </row>
    <row r="961" spans="1:44" ht="16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S961" s="3"/>
      <c r="T961" s="3"/>
      <c r="U961" s="3"/>
      <c r="V961" s="3"/>
      <c r="W961" s="3"/>
      <c r="X961" s="3"/>
      <c r="Y961" s="3"/>
      <c r="Z961" s="3"/>
      <c r="AB961" s="3"/>
      <c r="AC961" s="3"/>
      <c r="AD961" s="3"/>
      <c r="AE961" s="3"/>
      <c r="AF961" s="3"/>
      <c r="AG961" s="3"/>
      <c r="AH961" s="3"/>
      <c r="AI961" s="3"/>
      <c r="AK961" s="3"/>
      <c r="AL961" s="3"/>
      <c r="AM961" s="3"/>
      <c r="AN961" s="3"/>
      <c r="AO961" s="3"/>
      <c r="AP961" s="3"/>
      <c r="AQ961" s="3"/>
      <c r="AR961" s="3"/>
    </row>
    <row r="962" spans="1:44" ht="16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S962" s="3"/>
      <c r="T962" s="3"/>
      <c r="U962" s="3"/>
      <c r="V962" s="3"/>
      <c r="W962" s="3"/>
      <c r="X962" s="3"/>
      <c r="Y962" s="3"/>
      <c r="Z962" s="3"/>
      <c r="AB962" s="3"/>
      <c r="AC962" s="3"/>
      <c r="AD962" s="3"/>
      <c r="AE962" s="3"/>
      <c r="AF962" s="3"/>
      <c r="AG962" s="3"/>
      <c r="AH962" s="3"/>
      <c r="AI962" s="3"/>
      <c r="AK962" s="3"/>
      <c r="AL962" s="3"/>
      <c r="AM962" s="3"/>
      <c r="AN962" s="3"/>
      <c r="AO962" s="3"/>
      <c r="AP962" s="3"/>
      <c r="AQ962" s="3"/>
      <c r="AR962" s="3"/>
    </row>
    <row r="963" spans="1:44" ht="16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S963" s="3"/>
      <c r="T963" s="3"/>
      <c r="U963" s="3"/>
      <c r="V963" s="3"/>
      <c r="W963" s="3"/>
      <c r="X963" s="3"/>
      <c r="Y963" s="3"/>
      <c r="Z963" s="3"/>
      <c r="AB963" s="3"/>
      <c r="AC963" s="3"/>
      <c r="AD963" s="3"/>
      <c r="AE963" s="3"/>
      <c r="AF963" s="3"/>
      <c r="AG963" s="3"/>
      <c r="AH963" s="3"/>
      <c r="AI963" s="3"/>
      <c r="AK963" s="3"/>
      <c r="AL963" s="3"/>
      <c r="AM963" s="3"/>
      <c r="AN963" s="3"/>
      <c r="AO963" s="3"/>
      <c r="AP963" s="3"/>
      <c r="AQ963" s="3"/>
      <c r="AR963" s="3"/>
    </row>
    <row r="964" spans="1:44" ht="16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S964" s="3"/>
      <c r="T964" s="3"/>
      <c r="U964" s="3"/>
      <c r="V964" s="3"/>
      <c r="W964" s="3"/>
      <c r="X964" s="3"/>
      <c r="Y964" s="3"/>
      <c r="Z964" s="3"/>
      <c r="AB964" s="3"/>
      <c r="AC964" s="3"/>
      <c r="AD964" s="3"/>
      <c r="AE964" s="3"/>
      <c r="AF964" s="3"/>
      <c r="AG964" s="3"/>
      <c r="AH964" s="3"/>
      <c r="AI964" s="3"/>
      <c r="AK964" s="3"/>
      <c r="AL964" s="3"/>
      <c r="AM964" s="3"/>
      <c r="AN964" s="3"/>
      <c r="AO964" s="3"/>
      <c r="AP964" s="3"/>
      <c r="AQ964" s="3"/>
      <c r="AR964" s="3"/>
    </row>
    <row r="965" spans="1:44" ht="16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S965" s="3"/>
      <c r="T965" s="3"/>
      <c r="U965" s="3"/>
      <c r="V965" s="3"/>
      <c r="W965" s="3"/>
      <c r="X965" s="3"/>
      <c r="Y965" s="3"/>
      <c r="Z965" s="3"/>
      <c r="AB965" s="3"/>
      <c r="AC965" s="3"/>
      <c r="AD965" s="3"/>
      <c r="AE965" s="3"/>
      <c r="AF965" s="3"/>
      <c r="AG965" s="3"/>
      <c r="AH965" s="3"/>
      <c r="AI965" s="3"/>
      <c r="AK965" s="3"/>
      <c r="AL965" s="3"/>
      <c r="AM965" s="3"/>
      <c r="AN965" s="3"/>
      <c r="AO965" s="3"/>
      <c r="AP965" s="3"/>
      <c r="AQ965" s="3"/>
      <c r="AR965" s="3"/>
    </row>
    <row r="966" spans="1:44" ht="16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S966" s="3"/>
      <c r="T966" s="3"/>
      <c r="U966" s="3"/>
      <c r="V966" s="3"/>
      <c r="W966" s="3"/>
      <c r="X966" s="3"/>
      <c r="Y966" s="3"/>
      <c r="Z966" s="3"/>
      <c r="AB966" s="3"/>
      <c r="AC966" s="3"/>
      <c r="AD966" s="3"/>
      <c r="AE966" s="3"/>
      <c r="AF966" s="3"/>
      <c r="AG966" s="3"/>
      <c r="AH966" s="3"/>
      <c r="AI966" s="3"/>
      <c r="AK966" s="3"/>
      <c r="AL966" s="3"/>
      <c r="AM966" s="3"/>
      <c r="AN966" s="3"/>
      <c r="AO966" s="3"/>
      <c r="AP966" s="3"/>
      <c r="AQ966" s="3"/>
      <c r="AR966" s="3"/>
    </row>
    <row r="967" spans="1:44" ht="16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S967" s="3"/>
      <c r="T967" s="3"/>
      <c r="U967" s="3"/>
      <c r="V967" s="3"/>
      <c r="W967" s="3"/>
      <c r="X967" s="3"/>
      <c r="Y967" s="3"/>
      <c r="Z967" s="3"/>
      <c r="AB967" s="3"/>
      <c r="AC967" s="3"/>
      <c r="AD967" s="3"/>
      <c r="AE967" s="3"/>
      <c r="AF967" s="3"/>
      <c r="AG967" s="3"/>
      <c r="AH967" s="3"/>
      <c r="AI967" s="3"/>
      <c r="AK967" s="3"/>
      <c r="AL967" s="3"/>
      <c r="AM967" s="3"/>
      <c r="AN967" s="3"/>
      <c r="AO967" s="3"/>
      <c r="AP967" s="3"/>
      <c r="AQ967" s="3"/>
      <c r="AR967" s="3"/>
    </row>
    <row r="968" spans="1:44" ht="16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S968" s="3"/>
      <c r="T968" s="3"/>
      <c r="U968" s="3"/>
      <c r="V968" s="3"/>
      <c r="W968" s="3"/>
      <c r="X968" s="3"/>
      <c r="Y968" s="3"/>
      <c r="Z968" s="3"/>
      <c r="AB968" s="3"/>
      <c r="AC968" s="3"/>
      <c r="AD968" s="3"/>
      <c r="AE968" s="3"/>
      <c r="AF968" s="3"/>
      <c r="AG968" s="3"/>
      <c r="AH968" s="3"/>
      <c r="AI968" s="3"/>
      <c r="AK968" s="3"/>
      <c r="AL968" s="3"/>
      <c r="AM968" s="3"/>
      <c r="AN968" s="3"/>
      <c r="AO968" s="3"/>
      <c r="AP968" s="3"/>
      <c r="AQ968" s="3"/>
      <c r="AR968" s="3"/>
    </row>
    <row r="969" spans="1:44" ht="16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S969" s="3"/>
      <c r="T969" s="3"/>
      <c r="U969" s="3"/>
      <c r="V969" s="3"/>
      <c r="W969" s="3"/>
      <c r="X969" s="3"/>
      <c r="Y969" s="3"/>
      <c r="Z969" s="3"/>
      <c r="AB969" s="3"/>
      <c r="AC969" s="3"/>
      <c r="AD969" s="3"/>
      <c r="AE969" s="3"/>
      <c r="AF969" s="3"/>
      <c r="AG969" s="3"/>
      <c r="AH969" s="3"/>
      <c r="AI969" s="3"/>
      <c r="AK969" s="3"/>
      <c r="AL969" s="3"/>
      <c r="AM969" s="3"/>
      <c r="AN969" s="3"/>
      <c r="AO969" s="3"/>
      <c r="AP969" s="3"/>
      <c r="AQ969" s="3"/>
      <c r="AR969" s="3"/>
    </row>
    <row r="970" spans="1:44" ht="16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S970" s="3"/>
      <c r="T970" s="3"/>
      <c r="U970" s="3"/>
      <c r="V970" s="3"/>
      <c r="W970" s="3"/>
      <c r="X970" s="3"/>
      <c r="Y970" s="3"/>
      <c r="Z970" s="3"/>
      <c r="AB970" s="3"/>
      <c r="AC970" s="3"/>
      <c r="AD970" s="3"/>
      <c r="AE970" s="3"/>
      <c r="AF970" s="3"/>
      <c r="AG970" s="3"/>
      <c r="AH970" s="3"/>
      <c r="AI970" s="3"/>
      <c r="AK970" s="3"/>
      <c r="AL970" s="3"/>
      <c r="AM970" s="3"/>
      <c r="AN970" s="3"/>
      <c r="AO970" s="3"/>
      <c r="AP970" s="3"/>
      <c r="AQ970" s="3"/>
      <c r="AR970" s="3"/>
    </row>
    <row r="971" spans="1:44" ht="16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S971" s="3"/>
      <c r="T971" s="3"/>
      <c r="U971" s="3"/>
      <c r="V971" s="3"/>
      <c r="W971" s="3"/>
      <c r="X971" s="3"/>
      <c r="Y971" s="3"/>
      <c r="Z971" s="3"/>
      <c r="AB971" s="3"/>
      <c r="AC971" s="3"/>
      <c r="AD971" s="3"/>
      <c r="AE971" s="3"/>
      <c r="AF971" s="3"/>
      <c r="AG971" s="3"/>
      <c r="AH971" s="3"/>
      <c r="AI971" s="3"/>
      <c r="AK971" s="3"/>
      <c r="AL971" s="3"/>
      <c r="AM971" s="3"/>
      <c r="AN971" s="3"/>
      <c r="AO971" s="3"/>
      <c r="AP971" s="3"/>
      <c r="AQ971" s="3"/>
      <c r="AR971" s="3"/>
    </row>
    <row r="972" spans="1:44" ht="16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S972" s="3"/>
      <c r="T972" s="3"/>
      <c r="U972" s="3"/>
      <c r="V972" s="3"/>
      <c r="W972" s="3"/>
      <c r="X972" s="3"/>
      <c r="Y972" s="3"/>
      <c r="Z972" s="3"/>
      <c r="AB972" s="3"/>
      <c r="AC972" s="3"/>
      <c r="AD972" s="3"/>
      <c r="AE972" s="3"/>
      <c r="AF972" s="3"/>
      <c r="AG972" s="3"/>
      <c r="AH972" s="3"/>
      <c r="AI972" s="3"/>
      <c r="AK972" s="3"/>
      <c r="AL972" s="3"/>
      <c r="AM972" s="3"/>
      <c r="AN972" s="3"/>
      <c r="AO972" s="3"/>
      <c r="AP972" s="3"/>
      <c r="AQ972" s="3"/>
      <c r="AR972" s="3"/>
    </row>
    <row r="973" spans="1:44" ht="16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S973" s="3"/>
      <c r="T973" s="3"/>
      <c r="U973" s="3"/>
      <c r="V973" s="3"/>
      <c r="W973" s="3"/>
      <c r="X973" s="3"/>
      <c r="Y973" s="3"/>
      <c r="Z973" s="3"/>
      <c r="AB973" s="3"/>
      <c r="AC973" s="3"/>
      <c r="AD973" s="3"/>
      <c r="AE973" s="3"/>
      <c r="AF973" s="3"/>
      <c r="AG973" s="3"/>
      <c r="AH973" s="3"/>
      <c r="AI973" s="3"/>
      <c r="AK973" s="3"/>
      <c r="AL973" s="3"/>
      <c r="AM973" s="3"/>
      <c r="AN973" s="3"/>
      <c r="AO973" s="3"/>
      <c r="AP973" s="3"/>
      <c r="AQ973" s="3"/>
      <c r="AR973" s="3"/>
    </row>
    <row r="974" spans="1:44" ht="16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S974" s="3"/>
      <c r="T974" s="3"/>
      <c r="U974" s="3"/>
      <c r="V974" s="3"/>
      <c r="W974" s="3"/>
      <c r="X974" s="3"/>
      <c r="Y974" s="3"/>
      <c r="Z974" s="3"/>
      <c r="AB974" s="3"/>
      <c r="AC974" s="3"/>
      <c r="AD974" s="3"/>
      <c r="AE974" s="3"/>
      <c r="AF974" s="3"/>
      <c r="AG974" s="3"/>
      <c r="AH974" s="3"/>
      <c r="AI974" s="3"/>
      <c r="AK974" s="3"/>
      <c r="AL974" s="3"/>
      <c r="AM974" s="3"/>
      <c r="AN974" s="3"/>
      <c r="AO974" s="3"/>
      <c r="AP974" s="3"/>
      <c r="AQ974" s="3"/>
      <c r="AR974" s="3"/>
    </row>
    <row r="975" spans="1:44" ht="16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S975" s="3"/>
      <c r="T975" s="3"/>
      <c r="U975" s="3"/>
      <c r="V975" s="3"/>
      <c r="W975" s="3"/>
      <c r="X975" s="3"/>
      <c r="Y975" s="3"/>
      <c r="Z975" s="3"/>
      <c r="AB975" s="3"/>
      <c r="AC975" s="3"/>
      <c r="AD975" s="3"/>
      <c r="AE975" s="3"/>
      <c r="AF975" s="3"/>
      <c r="AG975" s="3"/>
      <c r="AH975" s="3"/>
      <c r="AI975" s="3"/>
      <c r="AK975" s="3"/>
      <c r="AL975" s="3"/>
      <c r="AM975" s="3"/>
      <c r="AN975" s="3"/>
      <c r="AO975" s="3"/>
      <c r="AP975" s="3"/>
      <c r="AQ975" s="3"/>
      <c r="AR975" s="3"/>
    </row>
    <row r="976" spans="1:44" ht="16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S976" s="3"/>
      <c r="T976" s="3"/>
      <c r="U976" s="3"/>
      <c r="V976" s="3"/>
      <c r="W976" s="3"/>
      <c r="X976" s="3"/>
      <c r="Y976" s="3"/>
      <c r="Z976" s="3"/>
      <c r="AB976" s="3"/>
      <c r="AC976" s="3"/>
      <c r="AD976" s="3"/>
      <c r="AE976" s="3"/>
      <c r="AF976" s="3"/>
      <c r="AG976" s="3"/>
      <c r="AH976" s="3"/>
      <c r="AI976" s="3"/>
      <c r="AK976" s="3"/>
      <c r="AL976" s="3"/>
      <c r="AM976" s="3"/>
      <c r="AN976" s="3"/>
      <c r="AO976" s="3"/>
      <c r="AP976" s="3"/>
      <c r="AQ976" s="3"/>
      <c r="AR976" s="3"/>
    </row>
    <row r="977" spans="1:44" ht="16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S977" s="3"/>
      <c r="T977" s="3"/>
      <c r="U977" s="3"/>
      <c r="V977" s="3"/>
      <c r="W977" s="3"/>
      <c r="X977" s="3"/>
      <c r="Y977" s="3"/>
      <c r="Z977" s="3"/>
      <c r="AB977" s="3"/>
      <c r="AC977" s="3"/>
      <c r="AD977" s="3"/>
      <c r="AE977" s="3"/>
      <c r="AF977" s="3"/>
      <c r="AG977" s="3"/>
      <c r="AH977" s="3"/>
      <c r="AI977" s="3"/>
      <c r="AK977" s="3"/>
      <c r="AL977" s="3"/>
      <c r="AM977" s="3"/>
      <c r="AN977" s="3"/>
      <c r="AO977" s="3"/>
      <c r="AP977" s="3"/>
      <c r="AQ977" s="3"/>
      <c r="AR977" s="3"/>
    </row>
  </sheetData>
  <phoneticPr fontId="15" type="noConversion"/>
  <conditionalFormatting sqref="B35:E35">
    <cfRule type="cellIs" dxfId="49" priority="1" operator="lessThan">
      <formula>1</formula>
    </cfRule>
    <cfRule type="cellIs" dxfId="48" priority="2" operator="lessThan">
      <formula>2</formula>
    </cfRule>
  </conditionalFormatting>
  <dataValidations count="3">
    <dataValidation type="list" allowBlank="1" showErrorMessage="1" sqref="T28:W28 G10:H10 K10:Q10 B10:E10 T10:Z10 AL10:AR10 AC10:AI10 AC58:AF58 K28:N28 K58:N58 B28 B58 AC28:AF28 T58:W58 AL28:AO28 AL58:AO58" xr:uid="{CBB0AB73-2A1A-4CB7-B78D-15B186DD700B}">
      <formula1>"1세대1주택,주택,건물,종합합산토지,별도합산토지"</formula1>
    </dataValidation>
    <dataValidation type="list" allowBlank="1" showErrorMessage="1" sqref="K29:N29 K59:N59 T29:W29 AC29:AF29 AL59:AO59 T59:W59 AC59:AF59 AL29:AO29" xr:uid="{970FE207-377F-486F-90B7-74C3F2057DF0}">
      <formula1>"거주"</formula1>
    </dataValidation>
    <dataValidation type="list" allowBlank="1" showErrorMessage="1" sqref="B4:C4" xr:uid="{BA1C59CD-5006-4F8B-8931-EBBE6191980B}">
      <formula1>"거주용1주택,비거주1주택,3주택,4주택"</formula1>
    </dataValidation>
  </dataValidations>
  <pageMargins left="0.25" right="0.25" top="0.75" bottom="0.75" header="0" footer="0"/>
  <pageSetup paperSize="9" orientation="landscape" r:id="rId1"/>
  <headerFooter>
    <oddFooter>&amp;C&amp;P/</oddFooter>
  </headerFooter>
  <colBreaks count="2" manualBreakCount="2">
    <brk id="18" man="1"/>
    <brk id="9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71709-2738-45DE-8DE2-21EFA79902C4}">
  <sheetPr>
    <tabColor theme="9" tint="0.39997558519241921"/>
  </sheetPr>
  <dimension ref="A1:AR977"/>
  <sheetViews>
    <sheetView workbookViewId="0"/>
  </sheetViews>
  <sheetFormatPr defaultColWidth="14.42578125" defaultRowHeight="15" customHeight="1"/>
  <cols>
    <col min="1" max="1" width="22" style="19" customWidth="1"/>
    <col min="2" max="2" width="18.5703125" style="19" bestFit="1" customWidth="1"/>
    <col min="3" max="4" width="15.42578125" style="19" customWidth="1"/>
    <col min="5" max="5" width="14.85546875" style="19" customWidth="1"/>
    <col min="6" max="7" width="17.85546875" style="19" bestFit="1" customWidth="1"/>
    <col min="8" max="8" width="13" style="19" customWidth="1"/>
    <col min="9" max="9" width="5" style="19" customWidth="1"/>
    <col min="10" max="10" width="31" style="19" bestFit="1" customWidth="1"/>
    <col min="11" max="13" width="17.85546875" style="19" bestFit="1" customWidth="1"/>
    <col min="14" max="14" width="16" style="19" bestFit="1" customWidth="1"/>
    <col min="15" max="16" width="17.85546875" style="19" bestFit="1" customWidth="1"/>
    <col min="17" max="17" width="15.140625" style="19" bestFit="1" customWidth="1"/>
    <col min="18" max="18" width="4.85546875" style="19" customWidth="1"/>
    <col min="19" max="19" width="31.140625" style="19" bestFit="1" customWidth="1"/>
    <col min="20" max="22" width="18.5703125" style="19" bestFit="1" customWidth="1"/>
    <col min="23" max="23" width="16" style="19" bestFit="1" customWidth="1"/>
    <col min="24" max="25" width="18.5703125" style="19" bestFit="1" customWidth="1"/>
    <col min="26" max="26" width="15.140625" style="19" bestFit="1" customWidth="1"/>
    <col min="27" max="27" width="4.85546875" style="19" customWidth="1"/>
    <col min="28" max="28" width="31.140625" style="19" bestFit="1" customWidth="1"/>
    <col min="29" max="31" width="18.5703125" style="19" bestFit="1" customWidth="1"/>
    <col min="32" max="32" width="16" style="19" bestFit="1" customWidth="1"/>
    <col min="33" max="34" width="18.5703125" style="19" bestFit="1" customWidth="1"/>
    <col min="35" max="35" width="15.140625" style="19" bestFit="1" customWidth="1"/>
    <col min="36" max="36" width="4.85546875" style="19" customWidth="1"/>
    <col min="37" max="37" width="31.140625" style="19" bestFit="1" customWidth="1"/>
    <col min="38" max="40" width="18.5703125" style="19" bestFit="1" customWidth="1"/>
    <col min="41" max="41" width="16" style="19" bestFit="1" customWidth="1"/>
    <col min="42" max="43" width="18.5703125" style="19" bestFit="1" customWidth="1"/>
    <col min="44" max="44" width="15.140625" style="19" bestFit="1" customWidth="1"/>
    <col min="45" max="16384" width="14.42578125" style="19"/>
  </cols>
  <sheetData>
    <row r="1" spans="1:44" ht="15" customHeight="1">
      <c r="B1" s="380" t="s">
        <v>308</v>
      </c>
      <c r="C1" s="365" t="s">
        <v>309</v>
      </c>
    </row>
    <row r="2" spans="1:44" ht="16.5" customHeight="1">
      <c r="A2" s="119" t="s">
        <v>310</v>
      </c>
      <c r="B2" s="122" t="s">
        <v>292</v>
      </c>
      <c r="C2" s="379"/>
      <c r="D2" s="3"/>
      <c r="E2" s="3"/>
      <c r="F2" s="3"/>
      <c r="G2" s="359"/>
      <c r="H2" s="139"/>
      <c r="I2" s="3"/>
    </row>
    <row r="3" spans="1:44" ht="16.5" customHeight="1">
      <c r="A3" s="184" t="s">
        <v>216</v>
      </c>
      <c r="B3" s="122">
        <v>1</v>
      </c>
      <c r="C3" s="166">
        <f ca="1">INDIRECT("기초!b"&amp;(MATCH(C$2,기초!$B:$B,0)+3))</f>
        <v>0</v>
      </c>
      <c r="D3" s="3"/>
      <c r="E3" s="3"/>
      <c r="H3" s="360"/>
      <c r="I3" s="3"/>
      <c r="J3" s="361"/>
      <c r="K3" s="3"/>
      <c r="L3" s="3"/>
      <c r="M3" s="3"/>
      <c r="N3" s="3"/>
      <c r="O3" s="3"/>
      <c r="P3" s="3"/>
      <c r="Q3" s="3"/>
      <c r="T3" s="3"/>
      <c r="U3" s="3"/>
      <c r="V3" s="3"/>
      <c r="W3" s="3"/>
      <c r="X3" s="3"/>
      <c r="Y3" s="3"/>
      <c r="Z3" s="3"/>
      <c r="AC3" s="3"/>
      <c r="AD3" s="3"/>
      <c r="AE3" s="3"/>
      <c r="AF3" s="3"/>
      <c r="AG3" s="3"/>
      <c r="AH3" s="3"/>
      <c r="AI3" s="3"/>
      <c r="AL3" s="3"/>
      <c r="AM3" s="3"/>
      <c r="AN3" s="3"/>
      <c r="AO3" s="3"/>
      <c r="AP3" s="3"/>
      <c r="AQ3" s="3"/>
      <c r="AR3" s="3"/>
    </row>
    <row r="4" spans="1:44" ht="16.5" customHeight="1" thickBot="1">
      <c r="A4" s="184" t="s">
        <v>261</v>
      </c>
      <c r="B4" s="368" t="s">
        <v>318</v>
      </c>
      <c r="C4" s="368" t="s">
        <v>318</v>
      </c>
      <c r="D4" s="15"/>
      <c r="E4" s="15"/>
      <c r="H4" s="360"/>
      <c r="I4" s="3"/>
      <c r="J4" s="361"/>
      <c r="K4" s="3"/>
      <c r="L4" s="3"/>
      <c r="M4" s="3"/>
      <c r="N4" s="3"/>
      <c r="O4" s="3"/>
      <c r="P4" s="3"/>
      <c r="Q4" s="3"/>
      <c r="T4" s="3"/>
      <c r="U4" s="3"/>
      <c r="V4" s="3"/>
      <c r="W4" s="3"/>
      <c r="X4" s="3"/>
      <c r="Y4" s="3"/>
      <c r="Z4" s="3"/>
      <c r="AC4" s="3"/>
      <c r="AD4" s="3"/>
      <c r="AE4" s="3"/>
      <c r="AF4" s="3"/>
      <c r="AG4" s="3"/>
      <c r="AH4" s="3"/>
      <c r="AI4" s="3"/>
      <c r="AL4" s="3"/>
      <c r="AM4" s="3"/>
      <c r="AN4" s="3"/>
      <c r="AO4" s="3"/>
      <c r="AP4" s="3"/>
      <c r="AQ4" s="3"/>
      <c r="AR4" s="3"/>
    </row>
    <row r="5" spans="1:44" ht="16.5" customHeight="1">
      <c r="A5" s="3"/>
      <c r="B5" s="3"/>
      <c r="C5" s="43"/>
      <c r="D5" s="15"/>
      <c r="E5" s="15"/>
      <c r="F5" s="371" t="s">
        <v>96</v>
      </c>
      <c r="G5" s="247">
        <f>SUM(B20:H20)</f>
        <v>12335564</v>
      </c>
      <c r="H5" s="135"/>
      <c r="I5" s="3"/>
      <c r="O5" s="371" t="s">
        <v>96</v>
      </c>
      <c r="P5" s="247">
        <f>SUM(K20:Q20)</f>
        <v>14235068.600000001</v>
      </c>
      <c r="X5" s="371" t="s">
        <v>96</v>
      </c>
      <c r="Y5" s="247">
        <f>SUM(T20:Z20)</f>
        <v>16487883.890000001</v>
      </c>
      <c r="AG5" s="371" t="s">
        <v>96</v>
      </c>
      <c r="AH5" s="247">
        <f>SUM(AC20:AI20)</f>
        <v>19078621.473500002</v>
      </c>
      <c r="AP5" s="371" t="s">
        <v>96</v>
      </c>
      <c r="AQ5" s="247">
        <f>SUM(AL20:AR20)</f>
        <v>22057969.694525003</v>
      </c>
    </row>
    <row r="6" spans="1:44" ht="16.5" customHeight="1">
      <c r="A6" s="3"/>
      <c r="B6" s="3"/>
      <c r="C6" s="3"/>
      <c r="D6" s="3"/>
      <c r="E6" s="3"/>
      <c r="F6" s="250" t="s">
        <v>172</v>
      </c>
      <c r="G6" s="133">
        <f ca="1">B55+B85</f>
        <v>32836635.025744691</v>
      </c>
      <c r="H6" s="3"/>
      <c r="I6" s="3"/>
      <c r="K6" s="3"/>
      <c r="L6" s="3"/>
      <c r="M6" s="3"/>
      <c r="N6" s="3"/>
      <c r="O6" s="250" t="s">
        <v>172</v>
      </c>
      <c r="P6" s="133">
        <f ca="1">HLOOKUP($C$4,$K$70:$N$85,16,0)+HLOOKUP($B$4,$K$40:$N$55,16,0)</f>
        <v>37717823.412091702</v>
      </c>
      <c r="Q6" s="3"/>
      <c r="T6" s="3"/>
      <c r="U6" s="3"/>
      <c r="V6" s="3"/>
      <c r="W6" s="3"/>
      <c r="X6" s="250" t="s">
        <v>172</v>
      </c>
      <c r="Y6" s="133">
        <f ca="1">HLOOKUP($C$4,$T$70:$W$85,16,0)+HLOOKUP($B$4,$T$40:$W$55,16,0)</f>
        <v>67532330.613839015</v>
      </c>
      <c r="Z6" s="3"/>
      <c r="AC6" s="3"/>
      <c r="AD6" s="3"/>
      <c r="AE6" s="3"/>
      <c r="AF6" s="3"/>
      <c r="AG6" s="250" t="s">
        <v>172</v>
      </c>
      <c r="AH6" s="133">
        <f ca="1">HLOOKUP($C$4,$AC$70:$AF$85,16,0)+HLOOKUP($B$4,$AC$40:$AF$55,16,0)</f>
        <v>89414661.670366541</v>
      </c>
      <c r="AI6" s="3"/>
      <c r="AL6" s="3"/>
      <c r="AM6" s="3"/>
      <c r="AN6" s="3"/>
      <c r="AO6" s="3"/>
      <c r="AP6" s="250" t="s">
        <v>172</v>
      </c>
      <c r="AQ6" s="133">
        <f ca="1">HLOOKUP($C$4,$AL$70:$AO$85,16,0)+HLOOKUP($B$4,$AL$40:$AO$55,16,0)</f>
        <v>114578091.35426033</v>
      </c>
      <c r="AR6" s="3"/>
    </row>
    <row r="7" spans="1:44" ht="16.5" customHeight="1">
      <c r="A7" s="3"/>
      <c r="B7" s="3"/>
      <c r="C7" s="3"/>
      <c r="D7" s="3"/>
      <c r="E7" s="3"/>
      <c r="F7" s="372"/>
      <c r="G7" s="107"/>
      <c r="H7" s="3"/>
      <c r="I7" s="3"/>
      <c r="K7" s="3"/>
      <c r="L7" s="3"/>
      <c r="M7" s="3"/>
      <c r="N7" s="3"/>
      <c r="O7" s="372"/>
      <c r="P7" s="133"/>
      <c r="Q7" s="3"/>
      <c r="T7" s="3"/>
      <c r="U7" s="3"/>
      <c r="V7" s="3"/>
      <c r="W7" s="3"/>
      <c r="X7" s="3"/>
      <c r="Y7" s="3"/>
      <c r="Z7" s="3"/>
      <c r="AC7" s="3"/>
      <c r="AD7" s="3"/>
      <c r="AE7" s="3"/>
      <c r="AF7" s="3"/>
      <c r="AG7" s="3"/>
      <c r="AH7" s="3"/>
      <c r="AI7" s="3"/>
      <c r="AL7" s="3"/>
      <c r="AM7" s="3"/>
      <c r="AN7" s="3"/>
      <c r="AO7" s="3"/>
      <c r="AP7" s="3"/>
      <c r="AQ7" s="3"/>
      <c r="AR7" s="3"/>
    </row>
    <row r="8" spans="1:44" ht="16.5" customHeight="1">
      <c r="A8" s="3"/>
      <c r="B8" s="3"/>
      <c r="C8" s="3"/>
      <c r="D8" s="3"/>
      <c r="E8" s="3"/>
      <c r="F8" s="372"/>
      <c r="G8" s="107"/>
      <c r="H8" s="3"/>
      <c r="I8" s="3"/>
      <c r="J8" s="44" t="s">
        <v>66</v>
      </c>
      <c r="K8" s="45">
        <v>0.15</v>
      </c>
      <c r="L8" s="45">
        <v>0.15</v>
      </c>
      <c r="M8" s="45">
        <v>0.15</v>
      </c>
      <c r="N8" s="45">
        <v>0.15</v>
      </c>
      <c r="O8" s="3"/>
      <c r="P8" s="45">
        <v>0.15</v>
      </c>
      <c r="Q8" s="207"/>
      <c r="S8" s="19" t="s">
        <v>66</v>
      </c>
      <c r="T8" s="45">
        <v>0.15</v>
      </c>
      <c r="U8" s="45">
        <v>0.15</v>
      </c>
      <c r="V8" s="45">
        <v>0.15</v>
      </c>
      <c r="W8" s="45">
        <v>0.15</v>
      </c>
      <c r="X8" s="3"/>
      <c r="Y8" s="45">
        <v>0.15</v>
      </c>
      <c r="Z8" s="207"/>
      <c r="AB8" s="19" t="s">
        <v>66</v>
      </c>
      <c r="AC8" s="45">
        <v>0.15</v>
      </c>
      <c r="AD8" s="45">
        <v>0.15</v>
      </c>
      <c r="AE8" s="45">
        <v>0.15</v>
      </c>
      <c r="AF8" s="45">
        <v>0.15</v>
      </c>
      <c r="AG8" s="3"/>
      <c r="AH8" s="45">
        <v>0.15</v>
      </c>
      <c r="AI8" s="207"/>
      <c r="AK8" s="19" t="s">
        <v>66</v>
      </c>
      <c r="AL8" s="45">
        <v>0.15</v>
      </c>
      <c r="AM8" s="45">
        <v>0.15</v>
      </c>
      <c r="AN8" s="45">
        <v>0.15</v>
      </c>
      <c r="AO8" s="45">
        <v>0.15</v>
      </c>
      <c r="AP8" s="3"/>
      <c r="AQ8" s="45">
        <v>0.15</v>
      </c>
      <c r="AR8" s="207"/>
    </row>
    <row r="9" spans="1:44" ht="16.5" customHeight="1">
      <c r="A9" s="193">
        <v>2026</v>
      </c>
      <c r="B9" s="187" t="s">
        <v>8</v>
      </c>
      <c r="C9" s="99" t="s">
        <v>9</v>
      </c>
      <c r="D9" s="99" t="s">
        <v>11</v>
      </c>
      <c r="E9" s="99" t="s">
        <v>12</v>
      </c>
      <c r="F9" s="187" t="s">
        <v>69</v>
      </c>
      <c r="G9" s="99" t="s">
        <v>13</v>
      </c>
      <c r="H9" s="99" t="s">
        <v>264</v>
      </c>
      <c r="I9" s="3"/>
      <c r="J9" s="193">
        <f>A9+1</f>
        <v>2027</v>
      </c>
      <c r="K9" s="99" t="s">
        <v>8</v>
      </c>
      <c r="L9" s="99" t="s">
        <v>9</v>
      </c>
      <c r="M9" s="99" t="s">
        <v>11</v>
      </c>
      <c r="N9" s="99" t="s">
        <v>12</v>
      </c>
      <c r="O9" s="187" t="s">
        <v>69</v>
      </c>
      <c r="P9" s="99" t="s">
        <v>13</v>
      </c>
      <c r="Q9" s="99" t="s">
        <v>264</v>
      </c>
      <c r="S9" s="193">
        <f>J9+1</f>
        <v>2028</v>
      </c>
      <c r="T9" s="99" t="s">
        <v>8</v>
      </c>
      <c r="U9" s="99" t="s">
        <v>9</v>
      </c>
      <c r="V9" s="99" t="s">
        <v>11</v>
      </c>
      <c r="W9" s="99" t="s">
        <v>12</v>
      </c>
      <c r="X9" s="187" t="s">
        <v>69</v>
      </c>
      <c r="Y9" s="99" t="s">
        <v>13</v>
      </c>
      <c r="Z9" s="99" t="s">
        <v>264</v>
      </c>
      <c r="AB9" s="193">
        <f>S9+1</f>
        <v>2029</v>
      </c>
      <c r="AC9" s="99" t="s">
        <v>8</v>
      </c>
      <c r="AD9" s="99" t="s">
        <v>9</v>
      </c>
      <c r="AE9" s="99" t="s">
        <v>11</v>
      </c>
      <c r="AF9" s="99" t="s">
        <v>12</v>
      </c>
      <c r="AG9" s="187" t="s">
        <v>69</v>
      </c>
      <c r="AH9" s="99" t="s">
        <v>13</v>
      </c>
      <c r="AI9" s="99" t="s">
        <v>264</v>
      </c>
      <c r="AK9" s="193">
        <f>AB9+1</f>
        <v>2030</v>
      </c>
      <c r="AL9" s="99" t="s">
        <v>8</v>
      </c>
      <c r="AM9" s="99" t="s">
        <v>9</v>
      </c>
      <c r="AN9" s="99" t="s">
        <v>11</v>
      </c>
      <c r="AO9" s="99" t="s">
        <v>12</v>
      </c>
      <c r="AP9" s="187" t="s">
        <v>69</v>
      </c>
      <c r="AQ9" s="99" t="s">
        <v>13</v>
      </c>
      <c r="AR9" s="99" t="s">
        <v>264</v>
      </c>
    </row>
    <row r="10" spans="1:44" ht="16.5" customHeight="1">
      <c r="A10" s="3"/>
      <c r="B10" s="186" t="s">
        <v>0</v>
      </c>
      <c r="C10" s="186" t="s">
        <v>14</v>
      </c>
      <c r="D10" s="186" t="s">
        <v>14</v>
      </c>
      <c r="E10" s="186" t="s">
        <v>14</v>
      </c>
      <c r="F10" s="119" t="s">
        <v>263</v>
      </c>
      <c r="G10" s="186" t="s">
        <v>73</v>
      </c>
      <c r="H10" s="186" t="s">
        <v>18</v>
      </c>
      <c r="I10" s="3"/>
      <c r="J10" s="99"/>
      <c r="K10" s="186" t="s">
        <v>0</v>
      </c>
      <c r="L10" s="186" t="s">
        <v>14</v>
      </c>
      <c r="M10" s="186" t="s">
        <v>14</v>
      </c>
      <c r="N10" s="186" t="s">
        <v>14</v>
      </c>
      <c r="O10" s="208" t="s">
        <v>14</v>
      </c>
      <c r="P10" s="186" t="s">
        <v>73</v>
      </c>
      <c r="Q10" s="186" t="s">
        <v>18</v>
      </c>
      <c r="S10" s="99"/>
      <c r="T10" s="186" t="s">
        <v>0</v>
      </c>
      <c r="U10" s="314" t="s">
        <v>14</v>
      </c>
      <c r="V10" s="314" t="s">
        <v>14</v>
      </c>
      <c r="W10" s="314" t="s">
        <v>14</v>
      </c>
      <c r="X10" s="315" t="s">
        <v>14</v>
      </c>
      <c r="Y10" s="314" t="s">
        <v>73</v>
      </c>
      <c r="Z10" s="314" t="s">
        <v>18</v>
      </c>
      <c r="AB10" s="99"/>
      <c r="AC10" s="186" t="s">
        <v>0</v>
      </c>
      <c r="AD10" s="314" t="s">
        <v>14</v>
      </c>
      <c r="AE10" s="314" t="s">
        <v>14</v>
      </c>
      <c r="AF10" s="314" t="s">
        <v>14</v>
      </c>
      <c r="AG10" s="315" t="s">
        <v>14</v>
      </c>
      <c r="AH10" s="314" t="s">
        <v>73</v>
      </c>
      <c r="AI10" s="314" t="s">
        <v>18</v>
      </c>
      <c r="AK10" s="99"/>
      <c r="AL10" s="186" t="s">
        <v>0</v>
      </c>
      <c r="AM10" s="314" t="s">
        <v>14</v>
      </c>
      <c r="AN10" s="314" t="s">
        <v>14</v>
      </c>
      <c r="AO10" s="314" t="s">
        <v>14</v>
      </c>
      <c r="AP10" s="315" t="s">
        <v>14</v>
      </c>
      <c r="AQ10" s="314" t="s">
        <v>73</v>
      </c>
      <c r="AR10" s="314" t="s">
        <v>18</v>
      </c>
    </row>
    <row r="11" spans="1:44" s="221" customFormat="1" ht="16.5" customHeight="1">
      <c r="A11" s="195" t="s">
        <v>39</v>
      </c>
      <c r="B11" s="219">
        <f>HLOOKUP(B$9,기초!$C$5:$I$16,MATCH($A11,기초!$A$5:$A$16,0),0)</f>
        <v>4632000000</v>
      </c>
      <c r="C11" s="219">
        <f>HLOOKUP(C$9,기초!$C$5:$I$16,MATCH($A11,기초!$A$5:$A$16,0),0)</f>
        <v>2000000000</v>
      </c>
      <c r="D11" s="219">
        <f>HLOOKUP(D$9,기초!$C$5:$I$16,MATCH($A11,기초!$A$5:$A$16,0),0)</f>
        <v>700000000</v>
      </c>
      <c r="E11" s="219">
        <f>HLOOKUP(E$9,기초!$C$5:$I$16,MATCH($A11,기초!$A$5:$A$16,0),0)</f>
        <v>400000000</v>
      </c>
      <c r="F11" s="220">
        <f>SUM(B11:E11)</f>
        <v>7732000000</v>
      </c>
      <c r="G11" s="219">
        <f>HLOOKUP(G$9,기초!$C$5:$I$16,MATCH($A11,기초!$A$5:$A$16,0),0)</f>
        <v>300000000</v>
      </c>
      <c r="H11" s="219">
        <f>HLOOKUP(H$9,기초!$C$5:$I$16,MATCH($A11,기초!$A$5:$A$16,0),0)</f>
        <v>0</v>
      </c>
      <c r="I11" s="137"/>
      <c r="J11" s="229" t="s">
        <v>76</v>
      </c>
      <c r="K11" s="209">
        <f>B11*(1+K8)</f>
        <v>5326800000</v>
      </c>
      <c r="L11" s="381"/>
      <c r="M11" s="381"/>
      <c r="N11" s="381"/>
      <c r="O11" s="136">
        <f>SUM(K11:N11)</f>
        <v>5326800000</v>
      </c>
      <c r="P11" s="136">
        <f>G11*(1+P8)</f>
        <v>345000000</v>
      </c>
      <c r="Q11" s="136">
        <f>H11*(1+Q8)</f>
        <v>0</v>
      </c>
      <c r="S11" s="316" t="s">
        <v>76</v>
      </c>
      <c r="T11" s="317">
        <f>K11*(1+T8)</f>
        <v>6125820000</v>
      </c>
      <c r="U11" s="318">
        <f>L11*(1+U8)</f>
        <v>0</v>
      </c>
      <c r="V11" s="318">
        <f>M11*(1+V8)</f>
        <v>0</v>
      </c>
      <c r="W11" s="318">
        <f>N11*(1+W8)</f>
        <v>0</v>
      </c>
      <c r="X11" s="318">
        <f>SUM(T11:W11)</f>
        <v>6125820000</v>
      </c>
      <c r="Y11" s="318">
        <f>P11*(1+Y8)</f>
        <v>396749999.99999994</v>
      </c>
      <c r="Z11" s="318">
        <f>Q11*(1+Z8)</f>
        <v>0</v>
      </c>
      <c r="AB11" s="316" t="s">
        <v>76</v>
      </c>
      <c r="AC11" s="317">
        <f>T11*(1+AC8)</f>
        <v>7044692999.999999</v>
      </c>
      <c r="AD11" s="318">
        <f>U11*(1+AD8)</f>
        <v>0</v>
      </c>
      <c r="AE11" s="318">
        <f>V11*(1+AE8)</f>
        <v>0</v>
      </c>
      <c r="AF11" s="318">
        <f>W11*(1+AF8)</f>
        <v>0</v>
      </c>
      <c r="AG11" s="318">
        <f>SUM(AC11:AF11)</f>
        <v>7044692999.999999</v>
      </c>
      <c r="AH11" s="318">
        <f>Y11*(1+AH8)</f>
        <v>456262499.99999988</v>
      </c>
      <c r="AI11" s="318">
        <f>Z11*(1+AI8)</f>
        <v>0</v>
      </c>
      <c r="AK11" s="316" t="s">
        <v>76</v>
      </c>
      <c r="AL11" s="317">
        <f>AC11*(1+AL8)</f>
        <v>8101396949.9999981</v>
      </c>
      <c r="AM11" s="318">
        <f>AD11*(1+AM8)</f>
        <v>0</v>
      </c>
      <c r="AN11" s="318">
        <f>AE11*(1+AN8)</f>
        <v>0</v>
      </c>
      <c r="AO11" s="318">
        <f>AF11*(1+AO8)</f>
        <v>0</v>
      </c>
      <c r="AP11" s="318">
        <f>SUM(AL11:AO11)</f>
        <v>8101396949.9999981</v>
      </c>
      <c r="AQ11" s="318">
        <f>AH11*(1+AQ8)</f>
        <v>524701874.99999982</v>
      </c>
      <c r="AR11" s="318">
        <f>AI11*(1+AR8)</f>
        <v>0</v>
      </c>
    </row>
    <row r="12" spans="1:44" ht="16.5" customHeight="1">
      <c r="A12" s="196" t="s">
        <v>78</v>
      </c>
      <c r="B12" s="121">
        <f>IF(B$10="1세대1주택",
IF(B11&lt;=3*10^8,43%,
IF(B11&lt;=6*10^8,44%,
45%)),
VLOOKUP(B$10,t!$H$3:$I$9,2,0))</f>
        <v>0.45</v>
      </c>
      <c r="C12" s="121">
        <f>IF(C$10="1세대1주택",
IF(C11&lt;=3*10^8,43%,
IF(C11&lt;=6*10^8,44%,
45%)),
VLOOKUP(C$10,t!$H$3:$I$9,2,0))</f>
        <v>0.6</v>
      </c>
      <c r="D12" s="121">
        <f>IF(D$10="1세대1주택",
IF(D11&lt;=3*10^8,43%,
IF(D11&lt;=6*10^8,44%,
45%)),
VLOOKUP(D$10,t!$H$3:$I$9,2,0))</f>
        <v>0.6</v>
      </c>
      <c r="E12" s="121">
        <f>IF(E$10="1세대1주택",
IF(E11&lt;=3*10^8,43%,
IF(E11&lt;=6*10^8,44%,
45%)),
VLOOKUP(E$10,t!$H$3:$I$9,2,0))</f>
        <v>0.6</v>
      </c>
      <c r="F12" s="121">
        <v>0.6</v>
      </c>
      <c r="G12" s="121">
        <f>IF(G10="1세대1주택",
IF(G11&lt;=3*10^8,43%,
IF(G11&lt;=6*10^8,44%,
45%)),
VLOOKUP(G10,t!$H$3:$I$9,2,0))</f>
        <v>0.7</v>
      </c>
      <c r="H12" s="121">
        <f>IF(H10="1세대1주택",
IF(H11&lt;=3*10^8,43%,
IF(H11&lt;=6*10^8,44%,
45%)),
VLOOKUP(H10,t!$H$3:$I$9,2,0))</f>
        <v>0.7</v>
      </c>
      <c r="I12" s="3"/>
      <c r="J12" s="197" t="s">
        <v>78</v>
      </c>
      <c r="K12" s="210">
        <f>IF(K$10="1세대1주택",
IF(K11&lt;=3*10^8,43%,
IF(K11&lt;=6*10^8,44%,
45%)),
VLOOKUP(K$10,t!$H$3:$I$9,2,0))</f>
        <v>0.45</v>
      </c>
      <c r="L12" s="10">
        <f>IF(L$10="1세대1주택",
IF(L11&lt;=3*10^8,43%,
IF(L11&lt;=6*10^8,44%,
45%)),
VLOOKUP(L$10,t!$H$3:$I$9,2,0))</f>
        <v>0.6</v>
      </c>
      <c r="M12" s="10">
        <f>IF(M$10="1세대1주택",
IF(M11&lt;=3*10^8,43%,
IF(M11&lt;=6*10^8,44%,
45%)),
VLOOKUP(M$10,t!$H$3:$I$9,2,0))</f>
        <v>0.6</v>
      </c>
      <c r="N12" s="10">
        <f>IF(N$10="1세대1주택",
IF(N11&lt;=3*10^8,43%,
IF(N11&lt;=6*10^8,44%,
45%)),
VLOOKUP(N$10,t!$H$3:$I$9,2,0))</f>
        <v>0.6</v>
      </c>
      <c r="O12" s="10">
        <v>0.6</v>
      </c>
      <c r="P12" s="121">
        <f>IF(P10="1세대1주택",
IF(P11&lt;=3*10^8,43%,
IF(P11&lt;=6*10^8,44%,
45%)),
VLOOKUP(P10,t!$H$3:$I$9,2,0))</f>
        <v>0.7</v>
      </c>
      <c r="Q12" s="121">
        <f>IF(Q10="1세대1주택",
IF(Q11&lt;=3*10^8,43%,
IF(Q11&lt;=6*10^8,44%,
45%)),
VLOOKUP(Q10,t!$H$3:$I$9,2,0))</f>
        <v>0.7</v>
      </c>
      <c r="S12" s="319" t="s">
        <v>78</v>
      </c>
      <c r="T12" s="210">
        <f>IF(T$10="1세대1주택",
IF(T11&lt;=3*10^8,43%,
IF(T11&lt;=6*10^8,44%,
45%)),
VLOOKUP(T$10,t!$H$3:$I$9,2,0))</f>
        <v>0.45</v>
      </c>
      <c r="U12" s="10">
        <f>IF(U$10="1세대1주택",
IF(U11&lt;=3*10^8,43%,
IF(U11&lt;=6*10^8,44%,
45%)),
VLOOKUP(U$10,t!$H$3:$I$9,2,0))</f>
        <v>0.6</v>
      </c>
      <c r="V12" s="10">
        <f>IF(V$10="1세대1주택",
IF(V11&lt;=3*10^8,43%,
IF(V11&lt;=6*10^8,44%,
45%)),
VLOOKUP(V$10,t!$H$3:$I$9,2,0))</f>
        <v>0.6</v>
      </c>
      <c r="W12" s="10">
        <f>IF(W$10="1세대1주택",
IF(W11&lt;=3*10^8,43%,
IF(W11&lt;=6*10^8,44%,
45%)),
VLOOKUP(W$10,t!$H$3:$I$9,2,0))</f>
        <v>0.6</v>
      </c>
      <c r="X12" s="10">
        <v>0.6</v>
      </c>
      <c r="Y12" s="121">
        <f>IF(Y10="1세대1주택",
IF(Y11&lt;=3*10^8,43%,
IF(Y11&lt;=6*10^8,44%,
45%)),
VLOOKUP(Y10,t!$H$3:$I$9,2,0))</f>
        <v>0.7</v>
      </c>
      <c r="Z12" s="121">
        <f>IF(Z10="1세대1주택",
IF(Z11&lt;=3*10^8,43%,
IF(Z11&lt;=6*10^8,44%,
45%)),
VLOOKUP(Z10,t!$H$3:$I$9,2,0))</f>
        <v>0.7</v>
      </c>
      <c r="AB12" s="319" t="s">
        <v>78</v>
      </c>
      <c r="AC12" s="210">
        <f>IF(AC$10="1세대1주택",
IF(AC11&lt;=3*10^8,43%,
IF(AC11&lt;=6*10^8,44%,
45%)),
VLOOKUP(AC$10,t!$H$3:$I$9,2,0))</f>
        <v>0.45</v>
      </c>
      <c r="AD12" s="10">
        <f>IF(AD$10="1세대1주택",
IF(AD11&lt;=3*10^8,43%,
IF(AD11&lt;=6*10^8,44%,
45%)),
VLOOKUP(AD$10,t!$H$3:$I$9,2,0))</f>
        <v>0.6</v>
      </c>
      <c r="AE12" s="10">
        <f>IF(AE$10="1세대1주택",
IF(AE11&lt;=3*10^8,43%,
IF(AE11&lt;=6*10^8,44%,
45%)),
VLOOKUP(AE$10,t!$H$3:$I$9,2,0))</f>
        <v>0.6</v>
      </c>
      <c r="AF12" s="10">
        <f>IF(AF$10="1세대1주택",
IF(AF11&lt;=3*10^8,43%,
IF(AF11&lt;=6*10^8,44%,
45%)),
VLOOKUP(AF$10,t!$H$3:$I$9,2,0))</f>
        <v>0.6</v>
      </c>
      <c r="AG12" s="10">
        <v>0.6</v>
      </c>
      <c r="AH12" s="121">
        <f>IF(AH10="1세대1주택",
IF(AH11&lt;=3*10^8,43%,
IF(AH11&lt;=6*10^8,44%,
45%)),
VLOOKUP(AH10,t!$H$3:$I$9,2,0))</f>
        <v>0.7</v>
      </c>
      <c r="AI12" s="121">
        <f>IF(AI10="1세대1주택",
IF(AI11&lt;=3*10^8,43%,
IF(AI11&lt;=6*10^8,44%,
45%)),
VLOOKUP(AI10,t!$H$3:$I$9,2,0))</f>
        <v>0.7</v>
      </c>
      <c r="AK12" s="319" t="s">
        <v>78</v>
      </c>
      <c r="AL12" s="210">
        <f>IF(AL$10="1세대1주택",
IF(AL11&lt;=3*10^8,43%,
IF(AL11&lt;=6*10^8,44%,
45%)),
VLOOKUP(AL$10,t!$H$3:$I$9,2,0))</f>
        <v>0.45</v>
      </c>
      <c r="AM12" s="10">
        <f>IF(AM$10="1세대1주택",
IF(AM11&lt;=3*10^8,43%,
IF(AM11&lt;=6*10^8,44%,
45%)),
VLOOKUP(AM$10,t!$H$3:$I$9,2,0))</f>
        <v>0.6</v>
      </c>
      <c r="AN12" s="10">
        <f>IF(AN$10="1세대1주택",
IF(AN11&lt;=3*10^8,43%,
IF(AN11&lt;=6*10^8,44%,
45%)),
VLOOKUP(AN$10,t!$H$3:$I$9,2,0))</f>
        <v>0.6</v>
      </c>
      <c r="AO12" s="10">
        <f>IF(AO$10="1세대1주택",
IF(AO11&lt;=3*10^8,43%,
IF(AO11&lt;=6*10^8,44%,
45%)),
VLOOKUP(AO$10,t!$H$3:$I$9,2,0))</f>
        <v>0.6</v>
      </c>
      <c r="AP12" s="10">
        <v>0.6</v>
      </c>
      <c r="AQ12" s="121">
        <f>IF(AQ10="1세대1주택",
IF(AQ11&lt;=3*10^8,43%,
IF(AQ11&lt;=6*10^8,44%,
45%)),
VLOOKUP(AQ10,t!$H$3:$I$9,2,0))</f>
        <v>0.7</v>
      </c>
      <c r="AR12" s="121">
        <f>IF(AR10="1세대1주택",
IF(AR11&lt;=3*10^8,43%,
IF(AR11&lt;=6*10^8,44%,
45%)),
VLOOKUP(AR10,t!$H$3:$I$9,2,0))</f>
        <v>0.7</v>
      </c>
    </row>
    <row r="13" spans="1:44" ht="16.5" customHeight="1">
      <c r="A13" s="197" t="s">
        <v>86</v>
      </c>
      <c r="B13" s="170">
        <f>IF(RIGHT(B10,2)="주택",MIN(B11*B12,B23*B12+B11*B12*5%),B11*B12)</f>
        <v>414720000</v>
      </c>
      <c r="C13" s="170">
        <f t="shared" ref="C13:E13" si="0">IF(RIGHT(C10,2)="주택",MIN(C11*C12,C23*C12+C11*C12*5%),C11*C12)</f>
        <v>1200000000</v>
      </c>
      <c r="D13" s="170">
        <f t="shared" si="0"/>
        <v>420000000</v>
      </c>
      <c r="E13" s="170">
        <f t="shared" si="0"/>
        <v>240000000</v>
      </c>
      <c r="F13" s="24">
        <f>F11*F12</f>
        <v>4639200000</v>
      </c>
      <c r="G13" s="66">
        <f>IF(RIGHT(G10,2)="주택",MIN(G11*G12,G23*G12+G11*G12*5%),G11*G12)</f>
        <v>210000000</v>
      </c>
      <c r="H13" s="66">
        <f t="shared" ref="H13" si="1">IF(RIGHT(H10,2)="주택",MIN(H11*H12,H23*H12+H11*H12*5%),H11*H12)</f>
        <v>0</v>
      </c>
      <c r="I13" s="3"/>
      <c r="J13" s="197" t="s">
        <v>88</v>
      </c>
      <c r="K13" s="211">
        <f t="shared" ref="K13:N13" si="2">IF(RIGHT(K10,2)="주택",MIN(K11*K12,K23*K12+K11*K12*5%),K11*K12)</f>
        <v>2204253000</v>
      </c>
      <c r="L13" s="22">
        <f t="shared" si="2"/>
        <v>0</v>
      </c>
      <c r="M13" s="22">
        <f t="shared" si="2"/>
        <v>0</v>
      </c>
      <c r="N13" s="22">
        <f t="shared" si="2"/>
        <v>0</v>
      </c>
      <c r="O13" s="22">
        <f>O11*O12</f>
        <v>3196080000</v>
      </c>
      <c r="P13" s="66">
        <f t="shared" ref="P13:Q13" si="3">IF(RIGHT(P10,2)="주택",MIN(P11*P12,P23*P12+P11*P12*5%),P11*P12)</f>
        <v>241499999.99999997</v>
      </c>
      <c r="Q13" s="66">
        <f t="shared" si="3"/>
        <v>0</v>
      </c>
      <c r="S13" s="319" t="s">
        <v>88</v>
      </c>
      <c r="T13" s="211">
        <f t="shared" ref="T13:W13" si="4">IF(RIGHT(T10,2)="주택",MIN(T11*T12,T23*T12+T11*T12*5%),T11*T12)</f>
        <v>2534890950</v>
      </c>
      <c r="U13" s="22">
        <f t="shared" si="4"/>
        <v>0</v>
      </c>
      <c r="V13" s="22">
        <f t="shared" si="4"/>
        <v>0</v>
      </c>
      <c r="W13" s="22">
        <f t="shared" si="4"/>
        <v>0</v>
      </c>
      <c r="X13" s="22">
        <f>X11*X12</f>
        <v>3675492000</v>
      </c>
      <c r="Y13" s="66">
        <f t="shared" ref="Y13:Z13" si="5">IF(RIGHT(Y10,2)="주택",MIN(Y11*Y12,Y23*Y12+Y11*Y12*5%),Y11*Y12)</f>
        <v>277724999.99999994</v>
      </c>
      <c r="Z13" s="66">
        <f t="shared" si="5"/>
        <v>0</v>
      </c>
      <c r="AB13" s="319" t="s">
        <v>88</v>
      </c>
      <c r="AC13" s="211">
        <f t="shared" ref="AC13:AF13" si="6">IF(RIGHT(AC10,2)="주택",MIN(AC11*AC12,AC23*AC12+AC11*AC12*5%),AC11*AC12)</f>
        <v>2915124592.5</v>
      </c>
      <c r="AD13" s="22">
        <f t="shared" si="6"/>
        <v>0</v>
      </c>
      <c r="AE13" s="22">
        <f t="shared" si="6"/>
        <v>0</v>
      </c>
      <c r="AF13" s="22">
        <f t="shared" si="6"/>
        <v>0</v>
      </c>
      <c r="AG13" s="22">
        <f>AG11*AG12</f>
        <v>4226815799.999999</v>
      </c>
      <c r="AH13" s="66">
        <f t="shared" ref="AH13:AI13" si="7">IF(RIGHT(AH10,2)="주택",MIN(AH11*AH12,AH23*AH12+AH11*AH12*5%),AH11*AH12)</f>
        <v>319383749.99999988</v>
      </c>
      <c r="AI13" s="66">
        <f t="shared" si="7"/>
        <v>0</v>
      </c>
      <c r="AK13" s="319" t="s">
        <v>88</v>
      </c>
      <c r="AL13" s="211">
        <f t="shared" ref="AL13:AO13" si="8">IF(RIGHT(AL10,2)="주택",MIN(AL11*AL12,AL23*AL12+AL11*AL12*5%),AL11*AL12)</f>
        <v>3352393281.3749995</v>
      </c>
      <c r="AM13" s="22">
        <f t="shared" si="8"/>
        <v>0</v>
      </c>
      <c r="AN13" s="22">
        <f t="shared" si="8"/>
        <v>0</v>
      </c>
      <c r="AO13" s="22">
        <f t="shared" si="8"/>
        <v>0</v>
      </c>
      <c r="AP13" s="22">
        <f>AP11*AP12</f>
        <v>4860838169.999999</v>
      </c>
      <c r="AQ13" s="66">
        <f t="shared" ref="AQ13:AR13" si="9">IF(RIGHT(AQ10,2)="주택",MIN(AQ11*AQ12,AQ23*AQ12+AQ11*AQ12*5%),AQ11*AQ12)</f>
        <v>367291312.49999988</v>
      </c>
      <c r="AR13" s="66">
        <f t="shared" si="9"/>
        <v>0</v>
      </c>
    </row>
    <row r="14" spans="1:44" ht="16.5" customHeight="1">
      <c r="A14" s="198" t="s">
        <v>90</v>
      </c>
      <c r="B14" s="131" cm="1">
        <f t="array" ref="B14">IF(AND(B10="1세대1주택",B11&lt;=9*10^8),INDEX(t!$D$3:$D$6,MATCH(TRUE,B13&lt;=t!$A$3:$A$6,0)),INDEX(t!$B$3:$B$6,MATCH(TRUE,B13&lt;=t!$A$3:$A$6,0)))</f>
        <v>4.0000000000000001E-3</v>
      </c>
      <c r="C14" s="131">
        <f t="array" ref="C14">IF(C10="1세대1주택",INDEX(t!$D$3:$D$6,MATCH(TRUE,C13&lt;=t!$A$3:$A$6,0)),INDEX(t!$B$3:$B$6,MATCH(TRUE,C13&lt;=t!$A$3:$A$6,0)))</f>
        <v>4.0000000000000001E-3</v>
      </c>
      <c r="D14" s="131">
        <f t="array" ref="D14">IF(D10="1세대1주택",INDEX(t!$D$3:$D$6,MATCH(TRUE,D13&lt;=t!$A$3:$A$6,0)),INDEX(t!$B$3:$B$6,MATCH(TRUE,D13&lt;=t!$A$3:$A$6,0)))</f>
        <v>4.0000000000000001E-3</v>
      </c>
      <c r="E14" s="131">
        <f t="array" ref="E14">IF(E10="1세대1주택",INDEX(t!$D$3:$D$6,MATCH(TRUE,E13&lt;=t!$A$3:$A$6,0)),INDEX(t!$B$3:$B$6,MATCH(TRUE,E13&lt;=t!$A$3:$A$6,0)))</f>
        <v>2.5000000000000001E-3</v>
      </c>
      <c r="F14" s="14">
        <f t="array" ref="F14">INDEX(t!$B$3:$B$6,MATCH(TRUE,F13&lt;=t!$A$3:$A$6,0))</f>
        <v>4.0000000000000001E-3</v>
      </c>
      <c r="G14" s="14">
        <v>2.5000000000000001E-3</v>
      </c>
      <c r="H14" s="14">
        <v>2E-3</v>
      </c>
      <c r="I14" s="3"/>
      <c r="J14" s="197" t="s">
        <v>90</v>
      </c>
      <c r="K14" s="212">
        <f t="array" ref="K14">IF(AND(K10="1세대1주택",K11&lt;=9*10^8),INDEX(t!$D$3:$D$6,MATCH(TRUE,K13&lt;=t!$A$3:$A$6,0)),INDEX(t!$B$3:$B$6,MATCH(TRUE,K13&lt;=t!$A$3:$A$6,0)))</f>
        <v>4.0000000000000001E-3</v>
      </c>
      <c r="L14" s="14">
        <f t="array" ref="L14">IF(AND(L10="1세대1주택",L11&lt;=9*10^8),INDEX(t!$D$3:$D$6,MATCH(TRUE,L13&lt;=t!$A$3:$A$6,0)),INDEX(t!$B$3:$B$6,MATCH(TRUE,L13&lt;=t!$A$3:$A$6,0)))</f>
        <v>1E-3</v>
      </c>
      <c r="M14" s="14">
        <f t="array" ref="M14">IF(AND(M10="1세대1주택",M11&lt;=9*10^8),INDEX(t!$D$3:$D$6,MATCH(TRUE,M13&lt;=t!$A$3:$A$6,0)),INDEX(t!$B$3:$B$6,MATCH(TRUE,M13&lt;=t!$A$3:$A$6,0)))</f>
        <v>1E-3</v>
      </c>
      <c r="N14" s="14">
        <f t="array" ref="N14">IF(AND(N10="1세대1주택",N11&lt;=9*10^8),INDEX(t!$D$3:$D$6,MATCH(TRUE,N13&lt;=t!$A$3:$A$6,0)),INDEX(t!$B$3:$B$6,MATCH(TRUE,N13&lt;=t!$A$3:$A$6,0)))</f>
        <v>1E-3</v>
      </c>
      <c r="O14" s="14">
        <f t="array" ref="O14">INDEX(t!$B$3:$B$6,MATCH(TRUE,O13&lt;=t!$A$3:$A$6,0))</f>
        <v>4.0000000000000001E-3</v>
      </c>
      <c r="P14" s="14">
        <v>2.5000000000000001E-3</v>
      </c>
      <c r="Q14" s="14">
        <v>2E-3</v>
      </c>
      <c r="S14" s="320" t="s">
        <v>90</v>
      </c>
      <c r="T14" s="212">
        <f t="array" ref="T14">IF(AND(T10="1세대1주택",T11&lt;=9*10^8),INDEX(t!$D$3:$D$6,MATCH(TRUE,T13&lt;=t!$A$3:$A$6,0)),INDEX(t!$B$3:$B$6,MATCH(TRUE,T13&lt;=t!$A$3:$A$6,0)))</f>
        <v>4.0000000000000001E-3</v>
      </c>
      <c r="U14" s="14">
        <f t="array" ref="U14">IF(AND(U10="1세대1주택",U11&lt;=9*10^8),INDEX(t!$D$3:$D$6,MATCH(TRUE,U13&lt;=t!$A$3:$A$6,0)),INDEX(t!$B$3:$B$6,MATCH(TRUE,U13&lt;=t!$A$3:$A$6,0)))</f>
        <v>1E-3</v>
      </c>
      <c r="V14" s="14">
        <f t="array" ref="V14">IF(AND(V10="1세대1주택",V11&lt;=9*10^8),INDEX(t!$D$3:$D$6,MATCH(TRUE,V13&lt;=t!$A$3:$A$6,0)),INDEX(t!$B$3:$B$6,MATCH(TRUE,V13&lt;=t!$A$3:$A$6,0)))</f>
        <v>1E-3</v>
      </c>
      <c r="W14" s="14">
        <f t="array" ref="W14">IF(AND(W10="1세대1주택",W11&lt;=9*10^8),INDEX(t!$D$3:$D$6,MATCH(TRUE,W13&lt;=t!$A$3:$A$6,0)),INDEX(t!$B$3:$B$6,MATCH(TRUE,W13&lt;=t!$A$3:$A$6,0)))</f>
        <v>1E-3</v>
      </c>
      <c r="X14" s="14">
        <f t="array" ref="X14">INDEX(t!$B$3:$B$6,MATCH(TRUE,X13&lt;=t!$A$3:$A$6,0))</f>
        <v>4.0000000000000001E-3</v>
      </c>
      <c r="Y14" s="14">
        <v>2.5000000000000001E-3</v>
      </c>
      <c r="Z14" s="14">
        <v>2E-3</v>
      </c>
      <c r="AB14" s="320" t="s">
        <v>90</v>
      </c>
      <c r="AC14" s="212">
        <f t="array" ref="AC14">IF(AND(AC10="1세대1주택",AC11&lt;=9*10^8),INDEX(t!$D$3:$D$6,MATCH(TRUE,AC13&lt;=t!$A$3:$A$6,0)),INDEX(t!$B$3:$B$6,MATCH(TRUE,AC13&lt;=t!$A$3:$A$6,0)))</f>
        <v>4.0000000000000001E-3</v>
      </c>
      <c r="AD14" s="14">
        <f t="array" ref="AD14">IF(AND(AD10="1세대1주택",AD11&lt;=9*10^8),INDEX(t!$D$3:$D$6,MATCH(TRUE,AD13&lt;=t!$A$3:$A$6,0)),INDEX(t!$B$3:$B$6,MATCH(TRUE,AD13&lt;=t!$A$3:$A$6,0)))</f>
        <v>1E-3</v>
      </c>
      <c r="AE14" s="14">
        <f t="array" ref="AE14">IF(AND(AE10="1세대1주택",AE11&lt;=9*10^8),INDEX(t!$D$3:$D$6,MATCH(TRUE,AE13&lt;=t!$A$3:$A$6,0)),INDEX(t!$B$3:$B$6,MATCH(TRUE,AE13&lt;=t!$A$3:$A$6,0)))</f>
        <v>1E-3</v>
      </c>
      <c r="AF14" s="14">
        <f t="array" ref="AF14">IF(AND(AF10="1세대1주택",AF11&lt;=9*10^8),INDEX(t!$D$3:$D$6,MATCH(TRUE,AF13&lt;=t!$A$3:$A$6,0)),INDEX(t!$B$3:$B$6,MATCH(TRUE,AF13&lt;=t!$A$3:$A$6,0)))</f>
        <v>1E-3</v>
      </c>
      <c r="AG14" s="14">
        <f t="array" ref="AG14">INDEX(t!$B$3:$B$6,MATCH(TRUE,AG13&lt;=t!$A$3:$A$6,0))</f>
        <v>4.0000000000000001E-3</v>
      </c>
      <c r="AH14" s="14">
        <v>2.5000000000000001E-3</v>
      </c>
      <c r="AI14" s="14">
        <v>2E-3</v>
      </c>
      <c r="AK14" s="320" t="s">
        <v>90</v>
      </c>
      <c r="AL14" s="212">
        <f t="array" ref="AL14">IF(AND(AL10="1세대1주택",AL11&lt;=9*10^8),INDEX(t!$D$3:$D$6,MATCH(TRUE,AL13&lt;=t!$A$3:$A$6,0)),INDEX(t!$B$3:$B$6,MATCH(TRUE,AL13&lt;=t!$A$3:$A$6,0)))</f>
        <v>4.0000000000000001E-3</v>
      </c>
      <c r="AM14" s="14">
        <f t="array" ref="AM14">IF(AND(AM10="1세대1주택",AM11&lt;=9*10^8),INDEX(t!$D$3:$D$6,MATCH(TRUE,AM13&lt;=t!$A$3:$A$6,0)),INDEX(t!$B$3:$B$6,MATCH(TRUE,AM13&lt;=t!$A$3:$A$6,0)))</f>
        <v>1E-3</v>
      </c>
      <c r="AN14" s="14">
        <f t="array" ref="AN14">IF(AND(AN10="1세대1주택",AN11&lt;=9*10^8),INDEX(t!$D$3:$D$6,MATCH(TRUE,AN13&lt;=t!$A$3:$A$6,0)),INDEX(t!$B$3:$B$6,MATCH(TRUE,AN13&lt;=t!$A$3:$A$6,0)))</f>
        <v>1E-3</v>
      </c>
      <c r="AO14" s="14">
        <f t="array" ref="AO14">IF(AND(AO10="1세대1주택",AO11&lt;=9*10^8),INDEX(t!$D$3:$D$6,MATCH(TRUE,AO13&lt;=t!$A$3:$A$6,0)),INDEX(t!$B$3:$B$6,MATCH(TRUE,AO13&lt;=t!$A$3:$A$6,0)))</f>
        <v>1E-3</v>
      </c>
      <c r="AP14" s="14">
        <f t="array" ref="AP14">INDEX(t!$B$3:$B$6,MATCH(TRUE,AP13&lt;=t!$A$3:$A$6,0))</f>
        <v>4.0000000000000001E-3</v>
      </c>
      <c r="AQ14" s="14">
        <v>2.5000000000000001E-3</v>
      </c>
      <c r="AR14" s="14">
        <v>2E-3</v>
      </c>
    </row>
    <row r="15" spans="1:44" ht="16.5" customHeight="1" thickBot="1">
      <c r="A15" s="199" t="s">
        <v>64</v>
      </c>
      <c r="B15" s="64">
        <f>B13*B14-VLOOKUP(B14,IF(AND(B10="1세대1주택",B11&lt;=9*10^8),t!$D$2:$E$6,t!$B$2:$C$6),2,0)</f>
        <v>1028880</v>
      </c>
      <c r="C15" s="64">
        <f>C13*C14-VLOOKUP(C14,IF(AND(C10="1세대1주택",C11&lt;=9*10^8),t!$D$2:$E$6,t!$B$2:$C$6),2,0)</f>
        <v>4170000</v>
      </c>
      <c r="D15" s="64">
        <f>D13*D14-VLOOKUP(D14,IF(AND(D10="1세대1주택",D11&lt;=9*10^8),t!$D$2:$E$6,t!$B$2:$C$6),2,0)</f>
        <v>1050000</v>
      </c>
      <c r="E15" s="64">
        <f>E13*E14-VLOOKUP(E14,IF(AND(E10="1세대1주택",E11&lt;=9*10^8),t!$D$2:$E$6,t!$B$2:$C$6),2,0)</f>
        <v>420000</v>
      </c>
      <c r="F15" s="64">
        <f>F13*F14-VLOOKUP(F14,IF(F10="1세대1주택",t!$D$2:$E$6,t!$B$2:$C$6),2,0)</f>
        <v>17926800</v>
      </c>
      <c r="G15" s="64">
        <f>G13*0.25%</f>
        <v>525000</v>
      </c>
      <c r="H15" s="64">
        <f>H13*0.25%</f>
        <v>0</v>
      </c>
      <c r="I15" s="3"/>
      <c r="J15" s="230" t="s">
        <v>64</v>
      </c>
      <c r="K15" s="231">
        <f>K13*K14-VLOOKUP(K14,IF(AND(K10="1세대1주택",K11&lt;=9*10^8),t!$D$2:$E$6,t!$B$2:$C$6),2,0)</f>
        <v>8187012</v>
      </c>
      <c r="L15" s="64">
        <f>L13*L14-VLOOKUP(L14,IF(AND(L10="1세대1주택",L11&lt;=9*10^8),t!$D$2:$E$6,t!$B$2:$C$6),2,0)</f>
        <v>0</v>
      </c>
      <c r="M15" s="64">
        <f>M13*M14-VLOOKUP(M14,IF(AND(M10="1세대1주택",M11&lt;=9*10^8),t!$D$2:$E$6,t!$B$2:$C$6),2,0)</f>
        <v>0</v>
      </c>
      <c r="N15" s="64">
        <f>N13*N14-VLOOKUP(N14,IF(AND(N10="1세대1주택",N11&lt;=9*10^8),t!$D$2:$E$6,t!$B$2:$C$6),2,0)</f>
        <v>0</v>
      </c>
      <c r="O15" s="64">
        <f>O13*O14-VLOOKUP(O14,IF(O10="1세대1주택",t!$D$2:$E$6,t!$B$2:$C$6),2,0)</f>
        <v>12154320</v>
      </c>
      <c r="P15" s="64">
        <f>P13*0.25%</f>
        <v>603749.99999999988</v>
      </c>
      <c r="Q15" s="64">
        <f>Q13*0.25%</f>
        <v>0</v>
      </c>
      <c r="S15" s="320" t="s">
        <v>64</v>
      </c>
      <c r="T15" s="231">
        <f>T13*T14-VLOOKUP(T14,IF(AND(T10="1세대1주택",T11&lt;=9*10^8),t!$D$2:$E$6,t!$B$2:$C$6),2,0)</f>
        <v>9509563.8000000007</v>
      </c>
      <c r="U15" s="64">
        <f>U13*U14-VLOOKUP(U14,IF(AND(U10="1세대1주택",U11&lt;=9*10^8),t!$D$2:$E$6,t!$B$2:$C$6),2,0)</f>
        <v>0</v>
      </c>
      <c r="V15" s="64">
        <f>V13*V14-VLOOKUP(V14,IF(AND(V10="1세대1주택",V11&lt;=9*10^8),t!$D$2:$E$6,t!$B$2:$C$6),2,0)</f>
        <v>0</v>
      </c>
      <c r="W15" s="64">
        <f>W13*W14-VLOOKUP(W14,IF(AND(W10="1세대1주택",W11&lt;=9*10^8),t!$D$2:$E$6,t!$B$2:$C$6),2,0)</f>
        <v>0</v>
      </c>
      <c r="X15" s="64">
        <f>X13*X14-VLOOKUP(X14,IF(X10="1세대1주택",t!$D$2:$E$6,t!$B$2:$C$6),2,0)</f>
        <v>14071968</v>
      </c>
      <c r="Y15" s="64">
        <f>Y13*0.25%</f>
        <v>694312.49999999988</v>
      </c>
      <c r="Z15" s="64">
        <f>Z13*0.25%</f>
        <v>0</v>
      </c>
      <c r="AB15" s="320" t="s">
        <v>64</v>
      </c>
      <c r="AC15" s="231">
        <f>AC13*AC14-VLOOKUP(AC14,IF(AND(AC10="1세대1주택",AC11&lt;=9*10^8),t!$D$2:$E$6,t!$B$2:$C$6),2,0)</f>
        <v>11030498.370000001</v>
      </c>
      <c r="AD15" s="64">
        <f>AD13*AD14-VLOOKUP(AD14,IF(AND(AD10="1세대1주택",AD11&lt;=9*10^8),t!$D$2:$E$6,t!$B$2:$C$6),2,0)</f>
        <v>0</v>
      </c>
      <c r="AE15" s="64">
        <f>AE13*AE14-VLOOKUP(AE14,IF(AND(AE10="1세대1주택",AE11&lt;=9*10^8),t!$D$2:$E$6,t!$B$2:$C$6),2,0)</f>
        <v>0</v>
      </c>
      <c r="AF15" s="64">
        <f>AF13*AF14-VLOOKUP(AF14,IF(AND(AF10="1세대1주택",AF11&lt;=9*10^8),t!$D$2:$E$6,t!$B$2:$C$6),2,0)</f>
        <v>0</v>
      </c>
      <c r="AG15" s="64">
        <f>AG13*AG14-VLOOKUP(AG14,IF(AG10="1세대1주택",t!$D$2:$E$6,t!$B$2:$C$6),2,0)</f>
        <v>16277263.199999996</v>
      </c>
      <c r="AH15" s="64">
        <f>AH13*0.25%</f>
        <v>798459.37499999977</v>
      </c>
      <c r="AI15" s="64">
        <f>AI13*0.25%</f>
        <v>0</v>
      </c>
      <c r="AK15" s="320" t="s">
        <v>64</v>
      </c>
      <c r="AL15" s="231">
        <f>AL13*AL14-VLOOKUP(AL14,IF(AND(AL10="1세대1주택",AL11&lt;=9*10^8),t!$D$2:$E$6,t!$B$2:$C$6),2,0)</f>
        <v>12779573.125499999</v>
      </c>
      <c r="AM15" s="64">
        <f>AM13*AM14-VLOOKUP(AM14,IF(AND(AM10="1세대1주택",AM11&lt;=9*10^8),t!$D$2:$E$6,t!$B$2:$C$6),2,0)</f>
        <v>0</v>
      </c>
      <c r="AN15" s="64">
        <f>AN13*AN14-VLOOKUP(AN14,IF(AND(AN10="1세대1주택",AN11&lt;=9*10^8),t!$D$2:$E$6,t!$B$2:$C$6),2,0)</f>
        <v>0</v>
      </c>
      <c r="AO15" s="64">
        <f>AO13*AO14-VLOOKUP(AO14,IF(AND(AO10="1세대1주택",AO11&lt;=9*10^8),t!$D$2:$E$6,t!$B$2:$C$6),2,0)</f>
        <v>0</v>
      </c>
      <c r="AP15" s="64">
        <f>AP13*AP14-VLOOKUP(AP14,IF(AP10="1세대1주택",t!$D$2:$E$6,t!$B$2:$C$6),2,0)</f>
        <v>18813352.679999996</v>
      </c>
      <c r="AQ15" s="64">
        <f>AQ13*0.25%</f>
        <v>918228.28124999977</v>
      </c>
      <c r="AR15" s="64">
        <f>AR13*0.25%</f>
        <v>0</v>
      </c>
    </row>
    <row r="16" spans="1:44" ht="16.5" customHeight="1" thickBot="1">
      <c r="A16" s="200" t="s">
        <v>93</v>
      </c>
      <c r="B16" s="223">
        <f t="shared" ref="B16:E16" si="10">B15</f>
        <v>1028880</v>
      </c>
      <c r="C16" s="223">
        <f t="shared" si="10"/>
        <v>4170000</v>
      </c>
      <c r="D16" s="223">
        <f t="shared" si="10"/>
        <v>1050000</v>
      </c>
      <c r="E16" s="223">
        <f t="shared" si="10"/>
        <v>420000</v>
      </c>
      <c r="F16" s="223">
        <f>SUM(B16:E16)</f>
        <v>6668880</v>
      </c>
      <c r="G16" s="223">
        <f t="shared" ref="G16:H16" si="11">MIN(G15,G24*150%)</f>
        <v>525000</v>
      </c>
      <c r="H16" s="223">
        <f t="shared" si="11"/>
        <v>0</v>
      </c>
      <c r="I16" s="15"/>
      <c r="J16" s="232" t="s">
        <v>93</v>
      </c>
      <c r="K16" s="213">
        <f t="shared" ref="K16:N16" si="12">K15</f>
        <v>8187012</v>
      </c>
      <c r="L16" s="65">
        <f t="shared" si="12"/>
        <v>0</v>
      </c>
      <c r="M16" s="65">
        <f t="shared" si="12"/>
        <v>0</v>
      </c>
      <c r="N16" s="65">
        <f t="shared" si="12"/>
        <v>0</v>
      </c>
      <c r="O16" s="65">
        <f>SUM(K16:N16)</f>
        <v>8187012</v>
      </c>
      <c r="P16" s="223">
        <f t="shared" ref="P16:Q16" si="13">MIN(P15,P24*150%)</f>
        <v>603749.99999999988</v>
      </c>
      <c r="Q16" s="223">
        <f t="shared" si="13"/>
        <v>0</v>
      </c>
      <c r="S16" s="200" t="s">
        <v>93</v>
      </c>
      <c r="T16" s="326">
        <f t="shared" ref="T16:W16" si="14">T15</f>
        <v>9509563.8000000007</v>
      </c>
      <c r="U16" s="223">
        <f t="shared" si="14"/>
        <v>0</v>
      </c>
      <c r="V16" s="223">
        <f t="shared" si="14"/>
        <v>0</v>
      </c>
      <c r="W16" s="223">
        <f t="shared" si="14"/>
        <v>0</v>
      </c>
      <c r="X16" s="223">
        <f>SUM(T16:W16)</f>
        <v>9509563.8000000007</v>
      </c>
      <c r="Y16" s="223">
        <f t="shared" ref="Y16:Z16" si="15">MIN(Y15,Y24*150%)</f>
        <v>694312.49999999988</v>
      </c>
      <c r="Z16" s="223">
        <f t="shared" si="15"/>
        <v>0</v>
      </c>
      <c r="AB16" s="200" t="s">
        <v>93</v>
      </c>
      <c r="AC16" s="326">
        <f t="shared" ref="AC16:AF16" si="16">AC15</f>
        <v>11030498.370000001</v>
      </c>
      <c r="AD16" s="223">
        <f t="shared" si="16"/>
        <v>0</v>
      </c>
      <c r="AE16" s="223">
        <f t="shared" si="16"/>
        <v>0</v>
      </c>
      <c r="AF16" s="223">
        <f t="shared" si="16"/>
        <v>0</v>
      </c>
      <c r="AG16" s="223">
        <f>SUM(AC16:AF16)</f>
        <v>11030498.370000001</v>
      </c>
      <c r="AH16" s="223">
        <f t="shared" ref="AH16:AI16" si="17">MIN(AH15,AH24*150%)</f>
        <v>798459.37499999977</v>
      </c>
      <c r="AI16" s="223">
        <f t="shared" si="17"/>
        <v>0</v>
      </c>
      <c r="AK16" s="200" t="s">
        <v>93</v>
      </c>
      <c r="AL16" s="326">
        <f t="shared" ref="AL16:AO16" si="18">AL15</f>
        <v>12779573.125499999</v>
      </c>
      <c r="AM16" s="223">
        <f t="shared" si="18"/>
        <v>0</v>
      </c>
      <c r="AN16" s="223">
        <f t="shared" si="18"/>
        <v>0</v>
      </c>
      <c r="AO16" s="223">
        <f t="shared" si="18"/>
        <v>0</v>
      </c>
      <c r="AP16" s="223">
        <f>SUM(AL16:AO16)</f>
        <v>12779573.125499999</v>
      </c>
      <c r="AQ16" s="223">
        <f t="shared" ref="AQ16:AR16" si="19">MIN(AQ15,AQ24*150%)</f>
        <v>918228.28124999977</v>
      </c>
      <c r="AR16" s="223">
        <f t="shared" si="19"/>
        <v>0</v>
      </c>
    </row>
    <row r="17" spans="1:44" ht="16.5" customHeight="1">
      <c r="A17" s="201" t="s">
        <v>94</v>
      </c>
      <c r="B17" s="66">
        <f t="shared" ref="B17:E17" si="20">B$13*0.14%</f>
        <v>580608.00000000012</v>
      </c>
      <c r="C17" s="66">
        <f t="shared" si="20"/>
        <v>1680000.0000000002</v>
      </c>
      <c r="D17" s="66">
        <f t="shared" si="20"/>
        <v>588000.00000000012</v>
      </c>
      <c r="E17" s="66">
        <f t="shared" si="20"/>
        <v>336000.00000000006</v>
      </c>
      <c r="F17" s="222"/>
      <c r="G17" s="66">
        <f t="shared" ref="G17:H17" si="21">G$13*0.14%</f>
        <v>294000.00000000006</v>
      </c>
      <c r="H17" s="66">
        <f t="shared" si="21"/>
        <v>0</v>
      </c>
      <c r="I17" s="3"/>
      <c r="J17" s="233" t="s">
        <v>94</v>
      </c>
      <c r="K17" s="214">
        <f t="shared" ref="K17:N17" si="22">K$13*0.14%</f>
        <v>3085954.2000000007</v>
      </c>
      <c r="L17" s="67">
        <f t="shared" si="22"/>
        <v>0</v>
      </c>
      <c r="M17" s="67">
        <f t="shared" si="22"/>
        <v>0</v>
      </c>
      <c r="N17" s="67">
        <f t="shared" si="22"/>
        <v>0</v>
      </c>
      <c r="O17" s="222"/>
      <c r="P17" s="66">
        <f t="shared" ref="P17:Q17" si="23">P$13*0.14%</f>
        <v>338100</v>
      </c>
      <c r="Q17" s="66">
        <f t="shared" si="23"/>
        <v>0</v>
      </c>
      <c r="S17" s="324" t="s">
        <v>94</v>
      </c>
      <c r="T17" s="325">
        <f t="shared" ref="T17:W17" si="24">T$13*0.14%</f>
        <v>3548847.3300000005</v>
      </c>
      <c r="U17" s="66">
        <f t="shared" si="24"/>
        <v>0</v>
      </c>
      <c r="V17" s="66">
        <f t="shared" si="24"/>
        <v>0</v>
      </c>
      <c r="W17" s="66">
        <f t="shared" si="24"/>
        <v>0</v>
      </c>
      <c r="X17" s="222"/>
      <c r="Y17" s="66">
        <f t="shared" ref="Y17:Z17" si="25">Y$13*0.14%</f>
        <v>388815</v>
      </c>
      <c r="Z17" s="66">
        <f t="shared" si="25"/>
        <v>0</v>
      </c>
      <c r="AB17" s="324" t="s">
        <v>94</v>
      </c>
      <c r="AC17" s="325">
        <f t="shared" ref="AC17:AF17" si="26">AC$13*0.14%</f>
        <v>4081174.4295000006</v>
      </c>
      <c r="AD17" s="66">
        <f t="shared" si="26"/>
        <v>0</v>
      </c>
      <c r="AE17" s="66">
        <f t="shared" si="26"/>
        <v>0</v>
      </c>
      <c r="AF17" s="66">
        <f t="shared" si="26"/>
        <v>0</v>
      </c>
      <c r="AG17" s="222"/>
      <c r="AH17" s="66">
        <f t="shared" ref="AH17:AI17" si="27">AH$13*0.14%</f>
        <v>447137.24999999988</v>
      </c>
      <c r="AI17" s="66">
        <f t="shared" si="27"/>
        <v>0</v>
      </c>
      <c r="AK17" s="324" t="s">
        <v>94</v>
      </c>
      <c r="AL17" s="325">
        <f t="shared" ref="AL17:AO17" si="28">AL$13*0.14%</f>
        <v>4693350.5939250002</v>
      </c>
      <c r="AM17" s="66">
        <f t="shared" si="28"/>
        <v>0</v>
      </c>
      <c r="AN17" s="66">
        <f t="shared" si="28"/>
        <v>0</v>
      </c>
      <c r="AO17" s="66">
        <f t="shared" si="28"/>
        <v>0</v>
      </c>
      <c r="AP17" s="222"/>
      <c r="AQ17" s="66">
        <f t="shared" ref="AQ17:AR17" si="29">AQ$13*0.14%</f>
        <v>514207.83749999991</v>
      </c>
      <c r="AR17" s="66">
        <f t="shared" si="29"/>
        <v>0</v>
      </c>
    </row>
    <row r="18" spans="1:44" ht="16.5" customHeight="1">
      <c r="A18" s="357" t="s">
        <v>95</v>
      </c>
      <c r="B18" s="225"/>
      <c r="C18" s="225"/>
      <c r="D18" s="225"/>
      <c r="E18" s="225"/>
      <c r="F18" s="224"/>
      <c r="G18" s="22">
        <f>IF(G13&lt;=6000000,
 G13*0.04%,
 IF(G13&lt;=13000000,
  2400+(G13-6000000)*0.05%,
  IF(G13&lt;=26000000,
   5900+(G13-13000000)*0.06%,
   IF(G13&lt;=39000000,
    13700+(G13-26000000)*0.08%,
    IF(G13&lt;=64000000,
     24100+(G13-39000000)*0.1%,
     49100+(G13-64000000)*0.12%
    )
   )
  )
 )
)</f>
        <v>224299.99999999997</v>
      </c>
      <c r="H18" s="68"/>
      <c r="I18" s="3"/>
      <c r="J18" s="197" t="s">
        <v>95</v>
      </c>
      <c r="K18" s="215"/>
      <c r="L18" s="68"/>
      <c r="M18" s="68"/>
      <c r="N18" s="68"/>
      <c r="O18" s="224"/>
      <c r="P18" s="22">
        <f>IF(P13&lt;=6000000,
 P13*0.04%,
 IF(P13&lt;=13000000,
  2400+(P13-6000000)*0.05%,
  IF(P13&lt;=26000000,
   5900+(P13-13000000)*0.06%,
   IF(P13&lt;=39000000,
    13700+(P13-26000000)*0.08%,
    IF(P13&lt;=64000000,
     24100+(P13-39000000)*0.1%,
     49100+(P13-64000000)*0.12%
    )
   )
  )
 )
)</f>
        <v>262099.99999999994</v>
      </c>
      <c r="Q18" s="68"/>
      <c r="S18" s="321" t="s">
        <v>95</v>
      </c>
      <c r="T18" s="215"/>
      <c r="U18" s="68"/>
      <c r="V18" s="68"/>
      <c r="W18" s="68"/>
      <c r="X18" s="224"/>
      <c r="Y18" s="22">
        <f>IF(Y13&lt;=6000000,
 Y13*0.04%,
 IF(Y13&lt;=13000000,
  2400+(Y13-6000000)*0.05%,
  IF(Y13&lt;=26000000,
   5900+(Y13-13000000)*0.06%,
   IF(Y13&lt;=39000000,
    13700+(Y13-26000000)*0.08%,
    IF(Y13&lt;=64000000,
     24100+(Y13-39000000)*0.1%,
     49100+(Y13-64000000)*0.12%
    )
   )
  )
 )
)</f>
        <v>305569.99999999988</v>
      </c>
      <c r="Z18" s="68"/>
      <c r="AB18" s="321" t="s">
        <v>95</v>
      </c>
      <c r="AC18" s="215"/>
      <c r="AD18" s="68"/>
      <c r="AE18" s="68"/>
      <c r="AF18" s="68"/>
      <c r="AG18" s="224"/>
      <c r="AH18" s="22">
        <f>IF(AH13&lt;=6000000,
 AH13*0.04%,
 IF(AH13&lt;=13000000,
  2400+(AH13-6000000)*0.05%,
  IF(AH13&lt;=26000000,
   5900+(AH13-13000000)*0.06%,
   IF(AH13&lt;=39000000,
    13700+(AH13-26000000)*0.08%,
    IF(AH13&lt;=64000000,
     24100+(AH13-39000000)*0.1%,
     49100+(AH13-64000000)*0.12%
    )
   )
  )
 )
)</f>
        <v>355560.49999999983</v>
      </c>
      <c r="AI18" s="68"/>
      <c r="AK18" s="321" t="s">
        <v>95</v>
      </c>
      <c r="AL18" s="215"/>
      <c r="AM18" s="68"/>
      <c r="AN18" s="68"/>
      <c r="AO18" s="68"/>
      <c r="AP18" s="224"/>
      <c r="AQ18" s="22">
        <f>IF(AQ13&lt;=6000000,
 AQ13*0.04%,
 IF(AQ13&lt;=13000000,
  2400+(AQ13-6000000)*0.05%,
  IF(AQ13&lt;=26000000,
   5900+(AQ13-13000000)*0.06%,
   IF(AQ13&lt;=39000000,
    13700+(AQ13-26000000)*0.08%,
    IF(AQ13&lt;=64000000,
     24100+(AQ13-39000000)*0.1%,
     49100+(AQ13-64000000)*0.12%
    )
   )
  )
 )
)</f>
        <v>413049.57499999984</v>
      </c>
      <c r="AR18" s="68"/>
    </row>
    <row r="19" spans="1:44" ht="16.5" customHeight="1" thickBot="1">
      <c r="A19" s="310" t="s">
        <v>34</v>
      </c>
      <c r="B19" s="311">
        <f t="shared" ref="B19:E19" si="30">B$16*0.2</f>
        <v>205776</v>
      </c>
      <c r="C19" s="311">
        <f t="shared" si="30"/>
        <v>834000</v>
      </c>
      <c r="D19" s="311">
        <f t="shared" si="30"/>
        <v>210000</v>
      </c>
      <c r="E19" s="311">
        <f t="shared" si="30"/>
        <v>84000</v>
      </c>
      <c r="F19" s="312"/>
      <c r="G19" s="311">
        <f t="shared" ref="G19:H19" si="31">G$16*0.2</f>
        <v>105000</v>
      </c>
      <c r="H19" s="311">
        <f t="shared" si="31"/>
        <v>0</v>
      </c>
      <c r="I19" s="3"/>
      <c r="J19" s="234" t="s">
        <v>34</v>
      </c>
      <c r="K19" s="216">
        <f t="shared" ref="K19:N19" si="32">K$16*0.2</f>
        <v>1637402.4000000001</v>
      </c>
      <c r="L19" s="70">
        <f t="shared" si="32"/>
        <v>0</v>
      </c>
      <c r="M19" s="70">
        <f t="shared" si="32"/>
        <v>0</v>
      </c>
      <c r="N19" s="70">
        <f t="shared" si="32"/>
        <v>0</v>
      </c>
      <c r="O19" s="226"/>
      <c r="P19" s="70">
        <f t="shared" ref="P19:Q19" si="33">P$16*0.2</f>
        <v>120749.99999999999</v>
      </c>
      <c r="Q19" s="70">
        <f t="shared" si="33"/>
        <v>0</v>
      </c>
      <c r="S19" s="322" t="s">
        <v>34</v>
      </c>
      <c r="T19" s="216">
        <f t="shared" ref="T19:W19" si="34">T$16*0.2</f>
        <v>1901912.7600000002</v>
      </c>
      <c r="U19" s="70">
        <f t="shared" si="34"/>
        <v>0</v>
      </c>
      <c r="V19" s="70">
        <f t="shared" si="34"/>
        <v>0</v>
      </c>
      <c r="W19" s="70">
        <f t="shared" si="34"/>
        <v>0</v>
      </c>
      <c r="X19" s="226"/>
      <c r="Y19" s="70">
        <f t="shared" ref="Y19:Z19" si="35">Y$16*0.2</f>
        <v>138862.49999999997</v>
      </c>
      <c r="Z19" s="70">
        <f t="shared" si="35"/>
        <v>0</v>
      </c>
      <c r="AB19" s="322" t="s">
        <v>34</v>
      </c>
      <c r="AC19" s="216">
        <f t="shared" ref="AC19:AF19" si="36">AC$16*0.2</f>
        <v>2206099.6740000001</v>
      </c>
      <c r="AD19" s="70">
        <f t="shared" si="36"/>
        <v>0</v>
      </c>
      <c r="AE19" s="70">
        <f t="shared" si="36"/>
        <v>0</v>
      </c>
      <c r="AF19" s="70">
        <f t="shared" si="36"/>
        <v>0</v>
      </c>
      <c r="AG19" s="226"/>
      <c r="AH19" s="70">
        <f t="shared" ref="AH19:AI19" si="37">AH$16*0.2</f>
        <v>159691.87499999997</v>
      </c>
      <c r="AI19" s="70">
        <f t="shared" si="37"/>
        <v>0</v>
      </c>
      <c r="AK19" s="322" t="s">
        <v>34</v>
      </c>
      <c r="AL19" s="216">
        <f t="shared" ref="AL19:AO19" si="38">AL$16*0.2</f>
        <v>2555914.6250999998</v>
      </c>
      <c r="AM19" s="70">
        <f t="shared" si="38"/>
        <v>0</v>
      </c>
      <c r="AN19" s="70">
        <f t="shared" si="38"/>
        <v>0</v>
      </c>
      <c r="AO19" s="70">
        <f t="shared" si="38"/>
        <v>0</v>
      </c>
      <c r="AP19" s="226"/>
      <c r="AQ19" s="70">
        <f t="shared" ref="AQ19:AR19" si="39">AQ$16*0.2</f>
        <v>183645.65624999997</v>
      </c>
      <c r="AR19" s="70">
        <f t="shared" si="39"/>
        <v>0</v>
      </c>
    </row>
    <row r="20" spans="1:44" ht="16.5" customHeight="1" thickTop="1">
      <c r="A20" s="3" t="s">
        <v>315</v>
      </c>
      <c r="B20" s="170">
        <f t="shared" ref="B20:E20" si="40">SUM(B16:B19)</f>
        <v>1815264</v>
      </c>
      <c r="C20" s="170">
        <f t="shared" si="40"/>
        <v>6684000</v>
      </c>
      <c r="D20" s="170">
        <f t="shared" si="40"/>
        <v>1848000</v>
      </c>
      <c r="E20" s="170">
        <f t="shared" si="40"/>
        <v>840000</v>
      </c>
      <c r="F20" s="309"/>
      <c r="G20" s="170">
        <f t="shared" ref="G20:H20" si="41">SUM(G16:G19)</f>
        <v>1148300</v>
      </c>
      <c r="H20" s="170">
        <f t="shared" si="41"/>
        <v>0</v>
      </c>
      <c r="I20" s="3"/>
      <c r="J20" s="235" t="s">
        <v>96</v>
      </c>
      <c r="K20" s="217">
        <f t="shared" ref="K20:N20" si="42">SUM(K16:K19)</f>
        <v>12910368.600000001</v>
      </c>
      <c r="L20" s="218">
        <f t="shared" si="42"/>
        <v>0</v>
      </c>
      <c r="M20" s="218">
        <f t="shared" si="42"/>
        <v>0</v>
      </c>
      <c r="N20" s="218">
        <f t="shared" si="42"/>
        <v>0</v>
      </c>
      <c r="O20" s="222"/>
      <c r="P20" s="218">
        <f t="shared" ref="P20:Q20" si="43">SUM(P16:P19)</f>
        <v>1324699.9999999998</v>
      </c>
      <c r="Q20" s="218">
        <f t="shared" si="43"/>
        <v>0</v>
      </c>
      <c r="S20" s="323" t="s">
        <v>96</v>
      </c>
      <c r="T20" s="217">
        <f t="shared" ref="T20:W20" si="44">SUM(T16:T19)</f>
        <v>14960323.890000001</v>
      </c>
      <c r="U20" s="218">
        <f t="shared" si="44"/>
        <v>0</v>
      </c>
      <c r="V20" s="218">
        <f t="shared" si="44"/>
        <v>0</v>
      </c>
      <c r="W20" s="218">
        <f t="shared" si="44"/>
        <v>0</v>
      </c>
      <c r="X20" s="222"/>
      <c r="Y20" s="218">
        <f t="shared" ref="Y20:Z20" si="45">SUM(Y16:Y19)</f>
        <v>1527560</v>
      </c>
      <c r="Z20" s="218">
        <f t="shared" si="45"/>
        <v>0</v>
      </c>
      <c r="AB20" s="323" t="s">
        <v>96</v>
      </c>
      <c r="AC20" s="217">
        <f t="shared" ref="AC20:AF20" si="46">SUM(AC16:AC19)</f>
        <v>17317772.473500002</v>
      </c>
      <c r="AD20" s="218">
        <f t="shared" si="46"/>
        <v>0</v>
      </c>
      <c r="AE20" s="218">
        <f t="shared" si="46"/>
        <v>0</v>
      </c>
      <c r="AF20" s="218">
        <f t="shared" si="46"/>
        <v>0</v>
      </c>
      <c r="AG20" s="222"/>
      <c r="AH20" s="218">
        <f t="shared" ref="AH20:AI20" si="47">SUM(AH16:AH19)</f>
        <v>1760848.9999999993</v>
      </c>
      <c r="AI20" s="218">
        <f t="shared" si="47"/>
        <v>0</v>
      </c>
      <c r="AK20" s="323" t="s">
        <v>96</v>
      </c>
      <c r="AL20" s="217">
        <f t="shared" ref="AL20:AO20" si="48">SUM(AL16:AL19)</f>
        <v>20028838.344525002</v>
      </c>
      <c r="AM20" s="218">
        <f t="shared" si="48"/>
        <v>0</v>
      </c>
      <c r="AN20" s="218">
        <f t="shared" si="48"/>
        <v>0</v>
      </c>
      <c r="AO20" s="218">
        <f t="shared" si="48"/>
        <v>0</v>
      </c>
      <c r="AP20" s="222"/>
      <c r="AQ20" s="218">
        <f t="shared" ref="AQ20:AR20" si="49">SUM(AQ16:AQ19)</f>
        <v>2029131.3499999996</v>
      </c>
      <c r="AR20" s="218">
        <f t="shared" si="49"/>
        <v>0</v>
      </c>
    </row>
    <row r="21" spans="1:44" ht="16.5" customHeight="1">
      <c r="B21" s="313"/>
      <c r="C21" s="313"/>
      <c r="D21" s="313"/>
      <c r="E21" s="313"/>
      <c r="F21" s="313"/>
      <c r="G21" s="313"/>
      <c r="H21" s="313"/>
      <c r="I21" s="3"/>
      <c r="J21" s="250" t="s">
        <v>172</v>
      </c>
      <c r="K21" s="313"/>
      <c r="L21" s="313"/>
      <c r="M21" s="313"/>
      <c r="N21" s="313"/>
      <c r="O21" s="313"/>
      <c r="P21" s="313"/>
      <c r="Q21" s="313"/>
      <c r="S21" s="250" t="s">
        <v>172</v>
      </c>
      <c r="T21" s="313"/>
      <c r="U21" s="313"/>
      <c r="V21" s="313"/>
      <c r="W21" s="313"/>
      <c r="X21" s="313"/>
      <c r="Y21" s="313"/>
      <c r="Z21" s="313"/>
      <c r="AB21" s="250" t="s">
        <v>172</v>
      </c>
      <c r="AC21" s="313"/>
      <c r="AD21" s="313"/>
      <c r="AE21" s="313"/>
      <c r="AF21" s="313"/>
      <c r="AG21" s="313"/>
      <c r="AH21" s="313"/>
      <c r="AI21" s="313"/>
      <c r="AK21" s="250" t="s">
        <v>172</v>
      </c>
      <c r="AL21" s="313"/>
      <c r="AM21" s="313"/>
      <c r="AN21" s="313"/>
      <c r="AO21" s="313"/>
      <c r="AP21" s="313"/>
      <c r="AQ21" s="313"/>
      <c r="AR21" s="313"/>
    </row>
    <row r="22" spans="1:44" ht="16.5" customHeight="1">
      <c r="A22" s="202"/>
      <c r="B22" s="3"/>
      <c r="C22" s="3"/>
      <c r="D22" s="3"/>
      <c r="E22" s="3"/>
      <c r="F22" s="71"/>
      <c r="G22" s="3"/>
      <c r="H22" s="3"/>
      <c r="I22" s="3"/>
      <c r="J22" s="202"/>
      <c r="K22" s="3"/>
      <c r="L22" s="3"/>
      <c r="M22" s="3"/>
      <c r="N22" s="3"/>
      <c r="O22" s="71"/>
      <c r="P22" s="3"/>
      <c r="Q22" s="3"/>
      <c r="S22" s="202"/>
      <c r="T22" s="3"/>
      <c r="U22" s="3"/>
      <c r="V22" s="3"/>
      <c r="W22" s="3"/>
      <c r="X22" s="71"/>
      <c r="Y22" s="3"/>
      <c r="Z22" s="3"/>
      <c r="AB22" s="202"/>
      <c r="AC22" s="3"/>
      <c r="AD22" s="3"/>
      <c r="AE22" s="3"/>
      <c r="AF22" s="3"/>
      <c r="AG22" s="71"/>
      <c r="AH22" s="3"/>
      <c r="AI22" s="3"/>
      <c r="AK22" s="202"/>
      <c r="AL22" s="3"/>
      <c r="AM22" s="3"/>
      <c r="AN22" s="3"/>
      <c r="AO22" s="3"/>
      <c r="AP22" s="71"/>
      <c r="AQ22" s="3"/>
      <c r="AR22" s="3"/>
    </row>
    <row r="23" spans="1:44" ht="16.5" customHeight="1">
      <c r="A23" s="241" t="s">
        <v>98</v>
      </c>
      <c r="B23" s="239">
        <v>690000000</v>
      </c>
      <c r="C23" s="239">
        <v>2000000000</v>
      </c>
      <c r="D23" s="190">
        <v>700000000</v>
      </c>
      <c r="E23" s="190">
        <v>400000000</v>
      </c>
      <c r="F23" s="22">
        <f t="shared" ref="F23:F24" si="50">SUM(B23:E23)</f>
        <v>3790000000</v>
      </c>
      <c r="G23" s="72">
        <v>153363459</v>
      </c>
      <c r="H23" s="107"/>
      <c r="I23" s="3"/>
      <c r="J23" s="197" t="s">
        <v>98</v>
      </c>
      <c r="K23" s="133">
        <f>B11</f>
        <v>4632000000</v>
      </c>
      <c r="L23" s="133">
        <f>C11</f>
        <v>2000000000</v>
      </c>
      <c r="M23" s="133">
        <f>D11</f>
        <v>700000000</v>
      </c>
      <c r="N23" s="133">
        <f>E11</f>
        <v>400000000</v>
      </c>
      <c r="O23" s="133">
        <f t="shared" ref="O23:O24" si="51">SUM(K23:N23)</f>
        <v>7732000000</v>
      </c>
      <c r="P23" s="133">
        <f>G11</f>
        <v>300000000</v>
      </c>
      <c r="Q23" s="107"/>
      <c r="S23" s="197" t="s">
        <v>98</v>
      </c>
      <c r="T23" s="133">
        <f>K11</f>
        <v>5326800000</v>
      </c>
      <c r="U23" s="133">
        <f>L11</f>
        <v>0</v>
      </c>
      <c r="V23" s="133">
        <f>M11</f>
        <v>0</v>
      </c>
      <c r="W23" s="133">
        <f>N11</f>
        <v>0</v>
      </c>
      <c r="X23" s="133">
        <f t="shared" ref="X23:X24" si="52">SUM(T23:W23)</f>
        <v>5326800000</v>
      </c>
      <c r="Y23" s="133">
        <f>P11</f>
        <v>345000000</v>
      </c>
      <c r="Z23" s="107"/>
      <c r="AB23" s="197" t="s">
        <v>98</v>
      </c>
      <c r="AC23" s="133">
        <f>T11</f>
        <v>6125820000</v>
      </c>
      <c r="AD23" s="133">
        <f>U11</f>
        <v>0</v>
      </c>
      <c r="AE23" s="133">
        <f>V11</f>
        <v>0</v>
      </c>
      <c r="AF23" s="133">
        <f>W11</f>
        <v>0</v>
      </c>
      <c r="AG23" s="133">
        <f t="shared" ref="AG23:AG24" si="53">SUM(AC23:AF23)</f>
        <v>6125820000</v>
      </c>
      <c r="AH23" s="133">
        <f>Y11</f>
        <v>396749999.99999994</v>
      </c>
      <c r="AI23" s="107"/>
      <c r="AK23" s="197" t="s">
        <v>98</v>
      </c>
      <c r="AL23" s="133">
        <f>AC11</f>
        <v>7044692999.999999</v>
      </c>
      <c r="AM23" s="133">
        <f>AD11</f>
        <v>0</v>
      </c>
      <c r="AN23" s="133">
        <f>AE11</f>
        <v>0</v>
      </c>
      <c r="AO23" s="133">
        <f>AF11</f>
        <v>0</v>
      </c>
      <c r="AP23" s="133">
        <f t="shared" ref="AP23:AP24" si="54">SUM(AL23:AO23)</f>
        <v>7044692999.999999</v>
      </c>
      <c r="AQ23" s="133">
        <f>AH11</f>
        <v>456262499.99999988</v>
      </c>
      <c r="AR23" s="107"/>
    </row>
    <row r="24" spans="1:44" ht="16.5" customHeight="1">
      <c r="A24" s="241" t="s">
        <v>269</v>
      </c>
      <c r="B24" s="239">
        <v>471750</v>
      </c>
      <c r="C24" s="239">
        <v>1500000</v>
      </c>
      <c r="D24" s="190">
        <v>500000</v>
      </c>
      <c r="E24" s="190">
        <v>350000</v>
      </c>
      <c r="F24" s="22">
        <f t="shared" si="50"/>
        <v>2821750</v>
      </c>
      <c r="G24" s="72">
        <v>511066</v>
      </c>
      <c r="H24" s="107"/>
      <c r="I24" s="3"/>
      <c r="J24" s="197" t="s">
        <v>269</v>
      </c>
      <c r="K24" s="133">
        <f>B16</f>
        <v>1028880</v>
      </c>
      <c r="L24" s="133">
        <f>C16</f>
        <v>4170000</v>
      </c>
      <c r="M24" s="133">
        <f>D16</f>
        <v>1050000</v>
      </c>
      <c r="N24" s="133">
        <f>E16</f>
        <v>420000</v>
      </c>
      <c r="O24" s="133">
        <f t="shared" si="51"/>
        <v>6668880</v>
      </c>
      <c r="P24" s="133">
        <f>G16</f>
        <v>525000</v>
      </c>
      <c r="Q24" s="107"/>
      <c r="S24" s="197" t="s">
        <v>269</v>
      </c>
      <c r="T24" s="133">
        <f>K16</f>
        <v>8187012</v>
      </c>
      <c r="U24" s="133">
        <f>L16</f>
        <v>0</v>
      </c>
      <c r="V24" s="133">
        <f>M16</f>
        <v>0</v>
      </c>
      <c r="W24" s="133">
        <f>N16</f>
        <v>0</v>
      </c>
      <c r="X24" s="133">
        <f t="shared" si="52"/>
        <v>8187012</v>
      </c>
      <c r="Y24" s="133">
        <f>P16</f>
        <v>603749.99999999988</v>
      </c>
      <c r="Z24" s="107"/>
      <c r="AB24" s="197" t="s">
        <v>269</v>
      </c>
      <c r="AC24" s="133">
        <f>T16</f>
        <v>9509563.8000000007</v>
      </c>
      <c r="AD24" s="133">
        <f>U16</f>
        <v>0</v>
      </c>
      <c r="AE24" s="133">
        <f>V16</f>
        <v>0</v>
      </c>
      <c r="AF24" s="133">
        <f>W16</f>
        <v>0</v>
      </c>
      <c r="AG24" s="133">
        <f t="shared" si="53"/>
        <v>9509563.8000000007</v>
      </c>
      <c r="AH24" s="133">
        <f>Y16</f>
        <v>694312.49999999988</v>
      </c>
      <c r="AI24" s="107"/>
      <c r="AK24" s="197" t="s">
        <v>269</v>
      </c>
      <c r="AL24" s="133">
        <f>AC16</f>
        <v>11030498.370000001</v>
      </c>
      <c r="AM24" s="133">
        <f>AD16</f>
        <v>0</v>
      </c>
      <c r="AN24" s="133">
        <f>AE16</f>
        <v>0</v>
      </c>
      <c r="AO24" s="133">
        <f>AF16</f>
        <v>0</v>
      </c>
      <c r="AP24" s="133">
        <f t="shared" si="54"/>
        <v>11030498.370000001</v>
      </c>
      <c r="AQ24" s="133">
        <f>AH16</f>
        <v>798459.37499999977</v>
      </c>
      <c r="AR24" s="107"/>
    </row>
    <row r="25" spans="1:44" ht="16.5" customHeight="1">
      <c r="A25" s="241" t="s">
        <v>272</v>
      </c>
      <c r="B25" s="240"/>
      <c r="C25" s="204"/>
      <c r="D25" s="204"/>
      <c r="E25" s="204"/>
      <c r="F25" s="205">
        <v>16000000</v>
      </c>
      <c r="G25" s="68"/>
      <c r="H25" s="3"/>
      <c r="I25" s="3"/>
      <c r="J25" s="230" t="s">
        <v>272</v>
      </c>
      <c r="K25" s="238"/>
      <c r="L25" s="238"/>
      <c r="M25" s="238"/>
      <c r="N25" s="238"/>
      <c r="O25" s="133">
        <f>B53</f>
        <v>38363862.52145391</v>
      </c>
      <c r="P25" s="238"/>
      <c r="Q25" s="99"/>
      <c r="S25" s="230" t="s">
        <v>272</v>
      </c>
      <c r="T25" s="238"/>
      <c r="U25" s="238"/>
      <c r="V25" s="238"/>
      <c r="W25" s="238"/>
      <c r="X25" s="133">
        <f ca="1">HLOOKUP($C$4,$K$70:$N$85,14,0)+HLOOKUP($B$4,$K$40:$N$55,14,0)</f>
        <v>31431519.510076419</v>
      </c>
      <c r="Y25" s="238"/>
      <c r="Z25" s="99"/>
      <c r="AB25" s="230" t="s">
        <v>272</v>
      </c>
      <c r="AC25" s="238"/>
      <c r="AD25" s="238"/>
      <c r="AE25" s="238"/>
      <c r="AF25" s="238"/>
      <c r="AG25" s="133">
        <f ca="1">HLOOKUP($C$4,$T$70:$W$85,14,0)+HLOOKUP($B$4,$T$40:$W$55,14,0)</f>
        <v>56276942.178199179</v>
      </c>
      <c r="AH25" s="238"/>
      <c r="AI25" s="99"/>
      <c r="AK25" s="230" t="s">
        <v>272</v>
      </c>
      <c r="AL25" s="238"/>
      <c r="AM25" s="238"/>
      <c r="AN25" s="238"/>
      <c r="AO25" s="238"/>
      <c r="AP25" s="133">
        <f ca="1">HLOOKUP($C$4,$AC$70:$AF$85,14,0)+HLOOKUP($B$4,$AC$40:$AF$55,14,0)</f>
        <v>74512218.058638781</v>
      </c>
      <c r="AQ25" s="238"/>
      <c r="AR25" s="99"/>
    </row>
    <row r="26" spans="1:44" ht="16.5" customHeight="1">
      <c r="A26" s="119" t="s">
        <v>270</v>
      </c>
      <c r="B26" s="240"/>
      <c r="C26" s="204"/>
      <c r="D26" s="204"/>
      <c r="E26" s="204"/>
      <c r="F26" s="133">
        <f>SUM(F24:F25)*150%</f>
        <v>28232625</v>
      </c>
      <c r="G26" s="3"/>
      <c r="H26" s="3"/>
      <c r="I26" s="3"/>
      <c r="J26" s="237" t="s">
        <v>270</v>
      </c>
      <c r="K26" s="238"/>
      <c r="L26" s="238"/>
      <c r="M26" s="238"/>
      <c r="N26" s="238"/>
      <c r="O26" s="258">
        <f>SUM(O24:O25)*200%</f>
        <v>90065485.042907819</v>
      </c>
      <c r="P26" s="238"/>
      <c r="Q26" s="99"/>
      <c r="S26" s="237" t="s">
        <v>270</v>
      </c>
      <c r="T26" s="238"/>
      <c r="U26" s="238"/>
      <c r="V26" s="238"/>
      <c r="W26" s="238"/>
      <c r="X26" s="258">
        <f ca="1">SUM(X24:X25)*200%</f>
        <v>79237063.020152837</v>
      </c>
      <c r="Y26" s="238"/>
      <c r="Z26" s="99"/>
      <c r="AB26" s="237" t="s">
        <v>270</v>
      </c>
      <c r="AC26" s="238"/>
      <c r="AD26" s="238"/>
      <c r="AE26" s="238"/>
      <c r="AF26" s="238"/>
      <c r="AG26" s="258">
        <f ca="1">SUM(AG24:AG25)*200%</f>
        <v>131573011.95639837</v>
      </c>
      <c r="AH26" s="238"/>
      <c r="AI26" s="99"/>
      <c r="AK26" s="237" t="s">
        <v>270</v>
      </c>
      <c r="AL26" s="238"/>
      <c r="AM26" s="238"/>
      <c r="AN26" s="238"/>
      <c r="AO26" s="238"/>
      <c r="AP26" s="258">
        <f ca="1">SUM(AP24:AP25)*200%</f>
        <v>171085432.85727757</v>
      </c>
      <c r="AQ26" s="238"/>
      <c r="AR26" s="99"/>
    </row>
    <row r="27" spans="1:44" ht="16.5" customHeight="1">
      <c r="A27" s="202"/>
      <c r="B27" s="15"/>
      <c r="C27" s="3"/>
      <c r="D27" s="3"/>
      <c r="E27" s="3"/>
      <c r="F27" s="3"/>
      <c r="G27" s="17"/>
      <c r="H27" s="3"/>
      <c r="I27" s="3"/>
      <c r="J27" s="236"/>
      <c r="K27" s="3"/>
      <c r="L27" s="3"/>
      <c r="M27" s="3"/>
      <c r="N27" s="3"/>
      <c r="O27" s="3"/>
      <c r="P27" s="17"/>
      <c r="Q27" s="17"/>
      <c r="S27" s="236"/>
      <c r="T27" s="3"/>
      <c r="U27" s="3"/>
      <c r="V27" s="3"/>
      <c r="W27" s="3"/>
      <c r="X27" s="3"/>
      <c r="Y27" s="17"/>
      <c r="Z27" s="17"/>
      <c r="AB27" s="236"/>
      <c r="AC27" s="3"/>
      <c r="AD27" s="3"/>
      <c r="AE27" s="3"/>
      <c r="AF27" s="3"/>
      <c r="AG27" s="3"/>
      <c r="AH27" s="17"/>
      <c r="AI27" s="17"/>
      <c r="AK27" s="236"/>
      <c r="AL27" s="3"/>
      <c r="AM27" s="3"/>
      <c r="AN27" s="3"/>
      <c r="AO27" s="3"/>
      <c r="AP27" s="3"/>
      <c r="AQ27" s="17"/>
      <c r="AR27" s="17"/>
    </row>
    <row r="28" spans="1:44" ht="16.5" customHeight="1">
      <c r="A28" s="192">
        <f>A9</f>
        <v>2026</v>
      </c>
      <c r="B28" s="186" t="s">
        <v>14</v>
      </c>
      <c r="C28" s="244" t="s">
        <v>314</v>
      </c>
      <c r="D28" s="3"/>
      <c r="E28" s="3"/>
      <c r="F28" s="3"/>
      <c r="G28" s="3"/>
      <c r="H28" s="3"/>
      <c r="I28" s="3"/>
      <c r="J28" s="193">
        <f>A28+1</f>
        <v>2027</v>
      </c>
      <c r="K28" s="186" t="s">
        <v>0</v>
      </c>
      <c r="L28" s="186" t="s">
        <v>14</v>
      </c>
      <c r="M28" s="186" t="s">
        <v>14</v>
      </c>
      <c r="N28" s="186" t="s">
        <v>14</v>
      </c>
      <c r="O28" s="3"/>
      <c r="P28" s="3"/>
      <c r="Q28" s="3"/>
      <c r="S28" s="193">
        <f>J28+1</f>
        <v>2028</v>
      </c>
      <c r="T28" s="186" t="s">
        <v>0</v>
      </c>
      <c r="U28" s="186" t="s">
        <v>14</v>
      </c>
      <c r="V28" s="186" t="s">
        <v>14</v>
      </c>
      <c r="W28" s="186" t="s">
        <v>14</v>
      </c>
      <c r="X28" s="3"/>
      <c r="Y28" s="3"/>
      <c r="Z28" s="3"/>
      <c r="AB28" s="193">
        <f>S28+1</f>
        <v>2029</v>
      </c>
      <c r="AC28" s="186" t="s">
        <v>0</v>
      </c>
      <c r="AD28" s="186" t="s">
        <v>14</v>
      </c>
      <c r="AE28" s="186" t="s">
        <v>14</v>
      </c>
      <c r="AF28" s="186" t="s">
        <v>14</v>
      </c>
      <c r="AG28" s="3"/>
      <c r="AH28" s="3"/>
      <c r="AI28" s="3"/>
      <c r="AK28" s="193">
        <f>AB28+1</f>
        <v>2030</v>
      </c>
      <c r="AL28" s="186" t="s">
        <v>0</v>
      </c>
      <c r="AM28" s="186" t="s">
        <v>14</v>
      </c>
      <c r="AN28" s="186" t="s">
        <v>14</v>
      </c>
      <c r="AO28" s="186" t="s">
        <v>14</v>
      </c>
      <c r="AP28" s="3"/>
      <c r="AQ28" s="3"/>
      <c r="AR28" s="3"/>
    </row>
    <row r="29" spans="1:44" ht="16.5" customHeight="1">
      <c r="A29" s="8" t="s">
        <v>308</v>
      </c>
      <c r="B29" s="3"/>
      <c r="C29" s="3"/>
      <c r="D29" s="3"/>
      <c r="E29" s="3"/>
      <c r="F29" s="137"/>
      <c r="G29" s="137"/>
      <c r="H29" s="137"/>
      <c r="I29" s="3"/>
      <c r="J29" s="8" t="s">
        <v>276</v>
      </c>
      <c r="K29" s="186" t="s">
        <v>274</v>
      </c>
      <c r="L29" s="186"/>
      <c r="M29" s="186"/>
      <c r="N29" s="186"/>
      <c r="O29" s="244"/>
      <c r="P29" s="3"/>
      <c r="Q29" s="3"/>
      <c r="S29" s="8" t="s">
        <v>101</v>
      </c>
      <c r="T29" s="186" t="s">
        <v>274</v>
      </c>
      <c r="U29" s="186"/>
      <c r="V29" s="186"/>
      <c r="W29" s="186"/>
      <c r="X29" s="3"/>
      <c r="Y29" s="3"/>
      <c r="Z29" s="3"/>
      <c r="AB29" s="8" t="s">
        <v>101</v>
      </c>
      <c r="AC29" s="186" t="s">
        <v>274</v>
      </c>
      <c r="AD29" s="186"/>
      <c r="AE29" s="186"/>
      <c r="AF29" s="186"/>
      <c r="AG29" s="3"/>
      <c r="AH29" s="3"/>
      <c r="AI29" s="3"/>
      <c r="AK29" s="8" t="s">
        <v>101</v>
      </c>
      <c r="AL29" s="186" t="s">
        <v>274</v>
      </c>
      <c r="AM29" s="186"/>
      <c r="AN29" s="186"/>
      <c r="AO29" s="186"/>
      <c r="AP29" s="3"/>
      <c r="AQ29" s="3"/>
      <c r="AR29" s="3"/>
    </row>
    <row r="30" spans="1:44" ht="16.5" customHeight="1">
      <c r="A30" s="8" t="s">
        <v>228</v>
      </c>
      <c r="B30" s="227">
        <f>HLOOKUP(B$9,기초!$C$5:$I$16,MATCH($A30,기초!$A$5:$A$16,0),0)</f>
        <v>1</v>
      </c>
      <c r="C30" s="227">
        <f>HLOOKUP(C$9,기초!$C$5:$I$16,MATCH($A30,기초!$A$5:$A$16,0),0)</f>
        <v>0.5</v>
      </c>
      <c r="D30" s="227">
        <f>HLOOKUP(D$9,기초!$C$5:$I$16,MATCH($A30,기초!$A$5:$A$16,0),0)</f>
        <v>1</v>
      </c>
      <c r="E30" s="227">
        <f>HLOOKUP(E$9,기초!$C$5:$I$16,MATCH($A30,기초!$A$5:$A$16,0),0)</f>
        <v>1</v>
      </c>
      <c r="F30" s="17"/>
      <c r="G30" s="137"/>
      <c r="H30" s="137"/>
      <c r="I30" s="3"/>
      <c r="J30" s="8" t="s">
        <v>102</v>
      </c>
      <c r="K30" s="121">
        <f>B30</f>
        <v>1</v>
      </c>
      <c r="L30" s="121">
        <f t="shared" ref="L30:N30" si="55">C30</f>
        <v>0.5</v>
      </c>
      <c r="M30" s="121">
        <f t="shared" si="55"/>
        <v>1</v>
      </c>
      <c r="N30" s="121">
        <f t="shared" si="55"/>
        <v>1</v>
      </c>
      <c r="O30" s="3"/>
      <c r="P30" s="3"/>
      <c r="Q30" s="3"/>
      <c r="S30" s="8" t="s">
        <v>102</v>
      </c>
      <c r="T30" s="10">
        <f>K30</f>
        <v>1</v>
      </c>
      <c r="U30" s="10">
        <f t="shared" ref="U30:W30" si="56">L30</f>
        <v>0.5</v>
      </c>
      <c r="V30" s="10">
        <f t="shared" si="56"/>
        <v>1</v>
      </c>
      <c r="W30" s="10">
        <f t="shared" si="56"/>
        <v>1</v>
      </c>
      <c r="X30" s="3"/>
      <c r="Y30" s="3"/>
      <c r="Z30" s="3"/>
      <c r="AB30" s="8" t="s">
        <v>102</v>
      </c>
      <c r="AC30" s="121">
        <f>K30</f>
        <v>1</v>
      </c>
      <c r="AD30" s="121">
        <f>L30</f>
        <v>0.5</v>
      </c>
      <c r="AE30" s="121">
        <f>M30</f>
        <v>1</v>
      </c>
      <c r="AF30" s="121">
        <f>N30</f>
        <v>1</v>
      </c>
      <c r="AG30" s="3"/>
      <c r="AH30" s="3"/>
      <c r="AI30" s="3"/>
      <c r="AK30" s="8" t="s">
        <v>102</v>
      </c>
      <c r="AL30" s="10">
        <f>T30</f>
        <v>1</v>
      </c>
      <c r="AM30" s="10">
        <f>U30</f>
        <v>0.5</v>
      </c>
      <c r="AN30" s="10">
        <f>V30</f>
        <v>1</v>
      </c>
      <c r="AO30" s="10">
        <f>W30</f>
        <v>1</v>
      </c>
      <c r="AP30" s="3"/>
      <c r="AQ30" s="3"/>
      <c r="AR30" s="3"/>
    </row>
    <row r="31" spans="1:44" ht="16.5" customHeight="1">
      <c r="A31" s="191" t="s">
        <v>42</v>
      </c>
      <c r="B31" s="228">
        <f>HLOOKUP(B$9,기초!$C$5:$I$16,MATCH($A31,기초!$A$5:$A$16,0),0)</f>
        <v>10</v>
      </c>
      <c r="C31" s="219">
        <f>HLOOKUP(C$9,기초!$C$5:$I$16,MATCH($A31,기초!$A$5:$A$16,0),0)</f>
        <v>3</v>
      </c>
      <c r="D31" s="219">
        <f>HLOOKUP(D$9,기초!$C$5:$I$16,MATCH($A31,기초!$A$5:$A$16,0),0)</f>
        <v>4</v>
      </c>
      <c r="E31" s="219">
        <f>HLOOKUP(E$9,기초!$C$5:$I$16,MATCH($A31,기초!$A$5:$A$16,0),0)</f>
        <v>5</v>
      </c>
      <c r="F31" s="17"/>
      <c r="G31" s="137"/>
      <c r="H31" s="137"/>
      <c r="I31" s="3"/>
      <c r="J31" s="80" t="s">
        <v>103</v>
      </c>
      <c r="K31" s="219">
        <f>B31+1</f>
        <v>11</v>
      </c>
      <c r="L31" s="219">
        <f>C31+1</f>
        <v>4</v>
      </c>
      <c r="M31" s="219">
        <f>D31+1</f>
        <v>5</v>
      </c>
      <c r="N31" s="219">
        <f>E31+1</f>
        <v>6</v>
      </c>
      <c r="O31" s="3"/>
      <c r="P31" s="3"/>
      <c r="Q31" s="3"/>
      <c r="S31" s="81"/>
      <c r="T31" s="17"/>
      <c r="U31" s="17"/>
      <c r="V31" s="17"/>
      <c r="W31" s="17"/>
      <c r="X31" s="3"/>
      <c r="Y31" s="3"/>
      <c r="Z31" s="3"/>
      <c r="AB31" s="81"/>
      <c r="AC31" s="17"/>
      <c r="AD31" s="17"/>
      <c r="AE31" s="17"/>
      <c r="AF31" s="17"/>
      <c r="AG31" s="3"/>
      <c r="AH31" s="3"/>
      <c r="AI31" s="3"/>
      <c r="AK31" s="81"/>
      <c r="AL31" s="17"/>
      <c r="AM31" s="17"/>
      <c r="AN31" s="17"/>
      <c r="AO31" s="17"/>
      <c r="AP31" s="3"/>
      <c r="AQ31" s="3"/>
      <c r="AR31" s="3"/>
    </row>
    <row r="32" spans="1:44" ht="16.5" customHeight="1">
      <c r="A32" s="8" t="s">
        <v>104</v>
      </c>
      <c r="B32" s="10">
        <f>IF(B$10="1세대1주택",IF(B31&gt;=15,50%,IF(B31&gt;=10,40%,IF(B31&gt;=5,20%,0))))</f>
        <v>0.4</v>
      </c>
      <c r="C32" s="17"/>
      <c r="D32" s="17"/>
      <c r="E32" s="17"/>
      <c r="F32" s="17"/>
      <c r="G32" s="137"/>
      <c r="H32" s="3"/>
      <c r="I32" s="3"/>
      <c r="J32" s="8" t="s">
        <v>105</v>
      </c>
      <c r="K32" s="121">
        <f>IF(K$10="1세대1주택",IF(K31&gt;=15,25%,IF(K31&gt;=10,20%,IF(K31&gt;=5,10%,0))))</f>
        <v>0.2</v>
      </c>
      <c r="L32" s="121" t="b">
        <f t="shared" ref="L32:N32" si="57">IF(L$10="1세대1주택",IF(L31&gt;=15,25%,IF(L31&gt;=10,20%,IF(L31&gt;=5,10%,0))))</f>
        <v>0</v>
      </c>
      <c r="M32" s="121" t="b">
        <f t="shared" si="57"/>
        <v>0</v>
      </c>
      <c r="N32" s="121" t="b">
        <f t="shared" si="57"/>
        <v>0</v>
      </c>
      <c r="O32" s="17"/>
      <c r="P32" s="3"/>
      <c r="Q32" s="3"/>
      <c r="S32" s="81"/>
      <c r="T32" s="3"/>
      <c r="U32" s="17"/>
      <c r="V32" s="17"/>
      <c r="W32" s="17"/>
      <c r="X32" s="17"/>
      <c r="Y32" s="3"/>
      <c r="Z32" s="3"/>
      <c r="AB32" s="81"/>
      <c r="AC32" s="3"/>
      <c r="AD32" s="17"/>
      <c r="AE32" s="17"/>
      <c r="AF32" s="17"/>
      <c r="AG32" s="17"/>
      <c r="AH32" s="3"/>
      <c r="AI32" s="3"/>
      <c r="AK32" s="81"/>
      <c r="AL32" s="3"/>
      <c r="AM32" s="17"/>
      <c r="AN32" s="17"/>
      <c r="AO32" s="17"/>
      <c r="AP32" s="17"/>
      <c r="AQ32" s="3"/>
      <c r="AR32" s="3"/>
    </row>
    <row r="33" spans="1:44" ht="16.5" customHeight="1">
      <c r="A33" s="8" t="s">
        <v>106</v>
      </c>
      <c r="B33" s="2">
        <f>$B$3</f>
        <v>1</v>
      </c>
      <c r="C33" s="2">
        <f t="shared" ref="C33:E33" si="58">$B$3</f>
        <v>1</v>
      </c>
      <c r="D33" s="2">
        <f t="shared" si="58"/>
        <v>1</v>
      </c>
      <c r="E33" s="2">
        <f t="shared" si="58"/>
        <v>1</v>
      </c>
      <c r="G33" s="358"/>
      <c r="H33" s="3"/>
      <c r="I33" s="3"/>
      <c r="J33" s="8" t="s">
        <v>106</v>
      </c>
      <c r="K33" s="119">
        <f>$B$3</f>
        <v>1</v>
      </c>
      <c r="L33" s="119">
        <f t="shared" ref="L33:N33" si="59">$B$3</f>
        <v>1</v>
      </c>
      <c r="M33" s="119">
        <f t="shared" si="59"/>
        <v>1</v>
      </c>
      <c r="N33" s="119">
        <f t="shared" si="59"/>
        <v>1</v>
      </c>
      <c r="O33" s="17"/>
      <c r="P33" s="3"/>
      <c r="Q33" s="3"/>
      <c r="S33" s="8" t="s">
        <v>106</v>
      </c>
      <c r="T33" s="2">
        <f>K33</f>
        <v>1</v>
      </c>
      <c r="U33" s="2">
        <f>L33</f>
        <v>1</v>
      </c>
      <c r="V33" s="2">
        <f>M33</f>
        <v>1</v>
      </c>
      <c r="W33" s="2">
        <f>N33</f>
        <v>1</v>
      </c>
      <c r="X33" s="17"/>
      <c r="Y33" s="3"/>
      <c r="Z33" s="3"/>
      <c r="AB33" s="8" t="s">
        <v>106</v>
      </c>
      <c r="AC33" s="2">
        <f>T33</f>
        <v>1</v>
      </c>
      <c r="AD33" s="2">
        <f t="shared" ref="AD33:AF33" si="60">U33</f>
        <v>1</v>
      </c>
      <c r="AE33" s="2">
        <f t="shared" si="60"/>
        <v>1</v>
      </c>
      <c r="AF33" s="2">
        <f t="shared" si="60"/>
        <v>1</v>
      </c>
      <c r="AG33" s="17"/>
      <c r="AH33" s="3"/>
      <c r="AI33" s="3"/>
      <c r="AK33" s="8" t="s">
        <v>106</v>
      </c>
      <c r="AL33" s="2">
        <f>AC33</f>
        <v>1</v>
      </c>
      <c r="AM33" s="2">
        <f t="shared" ref="AM33:AO33" si="61">AD33</f>
        <v>1</v>
      </c>
      <c r="AN33" s="2">
        <f t="shared" si="61"/>
        <v>1</v>
      </c>
      <c r="AO33" s="2">
        <f t="shared" si="61"/>
        <v>1</v>
      </c>
      <c r="AP33" s="17"/>
      <c r="AQ33" s="3"/>
      <c r="AR33" s="3"/>
    </row>
    <row r="34" spans="1:44" ht="16.5" customHeight="1">
      <c r="A34" s="8" t="s">
        <v>77</v>
      </c>
      <c r="B34" s="2" t="str">
        <f>IF(B33&lt;=2,"기본세율","중과세율")</f>
        <v>기본세율</v>
      </c>
      <c r="C34" s="17"/>
      <c r="D34" s="17"/>
      <c r="E34" s="17"/>
      <c r="F34" s="17"/>
      <c r="G34" s="3"/>
      <c r="H34" s="3"/>
      <c r="I34" s="3"/>
      <c r="J34" s="8" t="s">
        <v>77</v>
      </c>
      <c r="K34" s="119" t="str">
        <f>IF(K33&lt;=2,"기본세율","중과세율")</f>
        <v>기본세율</v>
      </c>
      <c r="L34" s="119" t="str">
        <f t="shared" ref="L34:N34" si="62">IF(L33&lt;=2,"기본세율","중과세율")</f>
        <v>기본세율</v>
      </c>
      <c r="M34" s="119" t="str">
        <f t="shared" si="62"/>
        <v>기본세율</v>
      </c>
      <c r="N34" s="119" t="str">
        <f t="shared" si="62"/>
        <v>기본세율</v>
      </c>
      <c r="O34" s="17"/>
      <c r="P34" s="3"/>
      <c r="Q34" s="3"/>
      <c r="S34" s="8" t="s">
        <v>77</v>
      </c>
      <c r="T34" s="2" t="str">
        <f>IF(T33&lt;=2,"기본세율","중과세율")</f>
        <v>기본세율</v>
      </c>
      <c r="U34" s="2" t="str">
        <f t="shared" ref="U34:W34" si="63">IF(U33&lt;=2,"기본세율","중과세율")</f>
        <v>기본세율</v>
      </c>
      <c r="V34" s="2" t="str">
        <f t="shared" si="63"/>
        <v>기본세율</v>
      </c>
      <c r="W34" s="2" t="str">
        <f t="shared" si="63"/>
        <v>기본세율</v>
      </c>
      <c r="X34" s="17"/>
      <c r="Y34" s="3"/>
      <c r="Z34" s="3"/>
      <c r="AB34" s="8" t="s">
        <v>77</v>
      </c>
      <c r="AC34" s="2" t="str">
        <f>IF(AC33&lt;=2,"기본세율","중과세율")</f>
        <v>기본세율</v>
      </c>
      <c r="AD34" s="2" t="str">
        <f t="shared" ref="AD34:AF34" si="64">IF(AD33&lt;=2,"기본세율","중과세율")</f>
        <v>기본세율</v>
      </c>
      <c r="AE34" s="2" t="str">
        <f t="shared" si="64"/>
        <v>기본세율</v>
      </c>
      <c r="AF34" s="2" t="str">
        <f t="shared" si="64"/>
        <v>기본세율</v>
      </c>
      <c r="AG34" s="17"/>
      <c r="AH34" s="3"/>
      <c r="AI34" s="3"/>
      <c r="AK34" s="8" t="s">
        <v>77</v>
      </c>
      <c r="AL34" s="2" t="str">
        <f>IF(AL33&lt;=2,"기본세율","중과세율")</f>
        <v>기본세율</v>
      </c>
      <c r="AM34" s="2" t="str">
        <f t="shared" ref="AM34:AO34" si="65">IF(AM33&lt;=2,"기본세율","중과세율")</f>
        <v>기본세율</v>
      </c>
      <c r="AN34" s="2" t="str">
        <f t="shared" si="65"/>
        <v>기본세율</v>
      </c>
      <c r="AO34" s="2" t="str">
        <f t="shared" si="65"/>
        <v>기본세율</v>
      </c>
      <c r="AP34" s="17"/>
      <c r="AQ34" s="3"/>
      <c r="AR34" s="3"/>
    </row>
    <row r="35" spans="1:44" ht="16.5" customHeight="1">
      <c r="A35" s="355" t="s">
        <v>234</v>
      </c>
      <c r="B35" s="132">
        <f>HLOOKUP(B$9,기초!$C$5:$I$16,MATCH($J35,기초!$A$5:$A$16,0),0)</f>
        <v>5</v>
      </c>
      <c r="C35" s="132">
        <f>HLOOKUP(C$9,기초!$C$5:$I$16,MATCH($J35,기초!$A$5:$A$16,0),0)</f>
        <v>3</v>
      </c>
      <c r="D35" s="132">
        <f>HLOOKUP(D$9,기초!$C$5:$I$16,MATCH($J35,기초!$A$5:$A$16,0),0)</f>
        <v>3</v>
      </c>
      <c r="E35" s="132">
        <f>HLOOKUP(E$9,기초!$C$5:$I$16,MATCH($J35,기초!$A$5:$A$16,0),0)</f>
        <v>2</v>
      </c>
      <c r="F35" s="17"/>
      <c r="G35" s="3"/>
      <c r="H35" s="3"/>
      <c r="I35" s="3"/>
      <c r="J35" s="259" t="s">
        <v>277</v>
      </c>
      <c r="K35" s="219">
        <f>B35+1</f>
        <v>6</v>
      </c>
      <c r="L35" s="219">
        <f>C35+1</f>
        <v>4</v>
      </c>
      <c r="M35" s="219">
        <f>D35+1</f>
        <v>4</v>
      </c>
      <c r="N35" s="219">
        <f>E35+1</f>
        <v>3</v>
      </c>
      <c r="O35" s="17"/>
      <c r="P35" s="137"/>
      <c r="Q35" s="3"/>
      <c r="S35" s="259" t="s">
        <v>280</v>
      </c>
      <c r="T35" s="22">
        <f>K35+1</f>
        <v>7</v>
      </c>
      <c r="U35" s="22">
        <f>L35+1</f>
        <v>5</v>
      </c>
      <c r="V35" s="22">
        <f>M35+1</f>
        <v>5</v>
      </c>
      <c r="W35" s="22">
        <f>N35+1</f>
        <v>4</v>
      </c>
      <c r="X35" s="17"/>
      <c r="Y35" s="3"/>
      <c r="Z35" s="3"/>
      <c r="AB35" s="259" t="s">
        <v>280</v>
      </c>
      <c r="AC35" s="22">
        <f>T35+1</f>
        <v>8</v>
      </c>
      <c r="AD35" s="22">
        <f>U35+1</f>
        <v>6</v>
      </c>
      <c r="AE35" s="22">
        <f>V35+1</f>
        <v>6</v>
      </c>
      <c r="AF35" s="22">
        <f>W35+1</f>
        <v>5</v>
      </c>
      <c r="AG35" s="17"/>
      <c r="AH35" s="3"/>
      <c r="AI35" s="3"/>
      <c r="AK35" s="259" t="s">
        <v>280</v>
      </c>
      <c r="AL35" s="22">
        <f>AC35+1</f>
        <v>9</v>
      </c>
      <c r="AM35" s="22">
        <f t="shared" ref="AM35:AO35" si="66">AD35+1</f>
        <v>7</v>
      </c>
      <c r="AN35" s="22">
        <f t="shared" si="66"/>
        <v>7</v>
      </c>
      <c r="AO35" s="22">
        <f t="shared" si="66"/>
        <v>6</v>
      </c>
      <c r="AP35" s="17"/>
      <c r="AQ35" s="3"/>
      <c r="AR35" s="3"/>
    </row>
    <row r="36" spans="1:44" ht="16.5" customHeight="1">
      <c r="A36" s="81"/>
      <c r="B36" s="3"/>
      <c r="C36" s="17"/>
      <c r="D36" s="17"/>
      <c r="E36" s="17"/>
      <c r="F36" s="17"/>
      <c r="G36" s="3"/>
      <c r="H36" s="3"/>
      <c r="I36" s="3"/>
      <c r="J36" s="259" t="s">
        <v>278</v>
      </c>
      <c r="K36" s="121">
        <f>IF(AND(K$10="1세대1주택",K29="거주"),IF(K35&gt;=15,50%,IF(K35&gt;=10,40%,IF(K35&gt;=5,20%,0))))</f>
        <v>0.2</v>
      </c>
      <c r="L36" s="121" t="b">
        <f>IF(AND(L$10="1세대1주택",L29="거주"),IF(L35&gt;=15,50%,IF(L35&gt;=10,40%,IF(L35&gt;=5,20%,0))))</f>
        <v>0</v>
      </c>
      <c r="M36" s="121" t="b">
        <f>IF(AND(M$10="1세대1주택",M29="거주"),IF(M35&gt;=15,50%,IF(M35&gt;=10,40%,IF(M35&gt;=5,20%,0))))</f>
        <v>0</v>
      </c>
      <c r="N36" s="121" t="b">
        <f>IF(AND(N$10="1세대1주택",N29="거주"),IF(N35&gt;=15,50%,IF(N35&gt;=10,40%,IF(N35&gt;=5,20%,0))))</f>
        <v>0</v>
      </c>
      <c r="O36" s="17"/>
      <c r="P36" s="137"/>
      <c r="Q36" s="356"/>
      <c r="S36" s="259" t="s">
        <v>278</v>
      </c>
      <c r="T36" s="10">
        <f>IF(AND(T$10="1세대1주택",T29="거주"),IF(T35&gt;=15,50%,IF(T35&gt;=10,40%,IF(T35&gt;=5,20%,0))))</f>
        <v>0.2</v>
      </c>
      <c r="U36" s="10" t="b">
        <f t="shared" ref="U36:W36" si="67">IF(AND(U$10="1세대1주택",U29="거주"),IF(U35&gt;=15,50%,IF(U35&gt;=10,40%,IF(U35&gt;=5,20%,0))))</f>
        <v>0</v>
      </c>
      <c r="V36" s="10" t="b">
        <f t="shared" si="67"/>
        <v>0</v>
      </c>
      <c r="W36" s="10" t="b">
        <f t="shared" si="67"/>
        <v>0</v>
      </c>
      <c r="X36" s="17"/>
      <c r="Y36" s="3"/>
      <c r="Z36" s="3"/>
      <c r="AB36" s="259" t="s">
        <v>278</v>
      </c>
      <c r="AC36" s="10">
        <f>IF(AND(AC$10="1세대1주택",AC29="거주"),IF(AC35&gt;=15,50%,IF(AC35&gt;=10,40%,IF(AC35&gt;=5,20%,0))))</f>
        <v>0.2</v>
      </c>
      <c r="AD36" s="10" t="b">
        <f t="shared" ref="AD36:AF36" si="68">IF(AND(AD$10="1세대1주택",AD29="거주"),IF(AD35&gt;=15,50%,IF(AD35&gt;=10,40%,IF(AD35&gt;=5,20%,0))))</f>
        <v>0</v>
      </c>
      <c r="AE36" s="10" t="b">
        <f t="shared" si="68"/>
        <v>0</v>
      </c>
      <c r="AF36" s="10" t="b">
        <f t="shared" si="68"/>
        <v>0</v>
      </c>
      <c r="AG36" s="17"/>
      <c r="AH36" s="3"/>
      <c r="AI36" s="3"/>
      <c r="AK36" s="259" t="s">
        <v>278</v>
      </c>
      <c r="AL36" s="10">
        <f>IF(AND(AL28="1세대1주택",AL29="거주"),IF(AL35&gt;=15,50%,IF(AL35&gt;=10,40%,IF(AL35&gt;=5,20%,0))))</f>
        <v>0.2</v>
      </c>
      <c r="AM36" s="10" t="b">
        <f t="shared" ref="AM36:AO36" si="69">IF(AND(AM28="1세대1주택",AM29="거주"),IF(AM35&gt;=15,50%,IF(AM35&gt;=10,40%,IF(AM35&gt;=5,20%,0))))</f>
        <v>0</v>
      </c>
      <c r="AN36" s="10" t="b">
        <f t="shared" si="69"/>
        <v>0</v>
      </c>
      <c r="AO36" s="10" t="b">
        <f t="shared" si="69"/>
        <v>0</v>
      </c>
      <c r="AP36" s="17"/>
      <c r="AQ36" s="3"/>
      <c r="AR36" s="3"/>
    </row>
    <row r="37" spans="1:44" ht="16.5" customHeight="1">
      <c r="A37" s="8" t="s">
        <v>3</v>
      </c>
      <c r="B37" s="219">
        <f>기초!B2</f>
        <v>40</v>
      </c>
      <c r="C37" s="17"/>
      <c r="D37" s="17"/>
      <c r="E37" s="17"/>
      <c r="F37" s="17"/>
      <c r="G37" s="3"/>
      <c r="H37" s="137"/>
      <c r="I37" s="3"/>
      <c r="J37" s="8" t="s">
        <v>108</v>
      </c>
      <c r="K37" s="354">
        <f>B37+1</f>
        <v>41</v>
      </c>
      <c r="L37" s="219">
        <f>K37</f>
        <v>41</v>
      </c>
      <c r="M37" s="219">
        <f>L37</f>
        <v>41</v>
      </c>
      <c r="N37" s="219">
        <f>M37</f>
        <v>41</v>
      </c>
      <c r="O37" s="17"/>
      <c r="P37" s="3"/>
      <c r="Q37" s="3"/>
      <c r="S37" s="8" t="s">
        <v>108</v>
      </c>
      <c r="T37" s="49">
        <f>K37+1</f>
        <v>42</v>
      </c>
      <c r="U37" s="49">
        <f>L37+1</f>
        <v>42</v>
      </c>
      <c r="V37" s="49">
        <f>M37+1</f>
        <v>42</v>
      </c>
      <c r="W37" s="49">
        <f>N37+1</f>
        <v>42</v>
      </c>
      <c r="X37" s="17"/>
      <c r="Y37" s="3"/>
      <c r="Z37" s="3"/>
      <c r="AB37" s="8" t="s">
        <v>108</v>
      </c>
      <c r="AC37" s="49">
        <f>T37+1</f>
        <v>43</v>
      </c>
      <c r="AD37" s="49">
        <f>U37+1</f>
        <v>43</v>
      </c>
      <c r="AE37" s="49">
        <f>V37+1</f>
        <v>43</v>
      </c>
      <c r="AF37" s="49">
        <f>W37+1</f>
        <v>43</v>
      </c>
      <c r="AG37" s="17"/>
      <c r="AH37" s="3"/>
      <c r="AI37" s="3"/>
      <c r="AK37" s="8" t="s">
        <v>108</v>
      </c>
      <c r="AL37" s="49">
        <f>AC37+1</f>
        <v>44</v>
      </c>
      <c r="AM37" s="49">
        <f t="shared" ref="AM37:AO37" si="70">AD37+1</f>
        <v>44</v>
      </c>
      <c r="AN37" s="49">
        <f t="shared" si="70"/>
        <v>44</v>
      </c>
      <c r="AO37" s="49">
        <f t="shared" si="70"/>
        <v>44</v>
      </c>
      <c r="AP37" s="17"/>
      <c r="AQ37" s="3"/>
      <c r="AR37" s="3"/>
    </row>
    <row r="38" spans="1:44" ht="16.5" customHeight="1">
      <c r="A38" s="8" t="s">
        <v>110</v>
      </c>
      <c r="B38" s="10">
        <f>IF(B$10="1세대1주택",IF(B37&gt;=70,40%,IF(B37&gt;=65,30%,IF(B37&gt;=60,20%,0))))</f>
        <v>0</v>
      </c>
      <c r="C38" s="17"/>
      <c r="D38" s="17"/>
      <c r="E38" s="17"/>
      <c r="F38" s="17"/>
      <c r="G38" s="3"/>
      <c r="H38" s="137"/>
      <c r="I38" s="3"/>
      <c r="J38" s="8" t="s">
        <v>115</v>
      </c>
      <c r="K38" s="121">
        <f>IF(K$10="1세대1주택",IF(K37&gt;=70,40%,IF(K37&gt;=65,30%,IF(K37&gt;=60,20%,0))))</f>
        <v>0</v>
      </c>
      <c r="L38" s="121" t="b">
        <f>IF(L$10="1세대1주택",IF(L37&gt;=70,40%,IF(L37&gt;=65,30%,IF(L37&gt;=60,20%,0))))</f>
        <v>0</v>
      </c>
      <c r="M38" s="121" t="b">
        <f>IF(M$10="1세대1주택",IF(M37&gt;=70,40%,IF(M37&gt;=65,30%,IF(M37&gt;=60,20%,0))))</f>
        <v>0</v>
      </c>
      <c r="N38" s="121" t="b">
        <f>IF(N$10="1세대1주택",IF(N37&gt;=70,40%,IF(N37&gt;=65,30%,IF(N37&gt;=60,20%,0))))</f>
        <v>0</v>
      </c>
      <c r="O38" s="17"/>
      <c r="P38" s="3"/>
      <c r="Q38" s="3"/>
      <c r="S38" s="8" t="s">
        <v>115</v>
      </c>
      <c r="T38" s="10">
        <f>IF(T$10="1세대1주택",IF(T37&gt;=70,40%,IF(T37&gt;=65,30%,IF(T37&gt;=60,20%,0))))</f>
        <v>0</v>
      </c>
      <c r="U38" s="10" t="b">
        <f t="shared" ref="U38:W38" si="71">IF(U$10="1세대1주택",IF(U37&gt;=70,40%,IF(U37&gt;=65,30%,IF(U37&gt;=60,20%,0))))</f>
        <v>0</v>
      </c>
      <c r="V38" s="10" t="b">
        <f t="shared" si="71"/>
        <v>0</v>
      </c>
      <c r="W38" s="10" t="b">
        <f t="shared" si="71"/>
        <v>0</v>
      </c>
      <c r="X38" s="17"/>
      <c r="Y38" s="3"/>
      <c r="Z38" s="3"/>
      <c r="AB38" s="8" t="s">
        <v>115</v>
      </c>
      <c r="AC38" s="10">
        <f>IF(AC$10="1세대1주택",IF(AC37&gt;=70,40%,IF(AC37&gt;=65,30%,IF(AC37&gt;=60,20%,0))))</f>
        <v>0</v>
      </c>
      <c r="AD38" s="10" t="b">
        <f t="shared" ref="AD38:AF38" si="72">IF(AD$10="1세대1주택",IF(AD37&gt;=70,40%,IF(AD37&gt;=65,30%,IF(AD37&gt;=60,20%,0))))</f>
        <v>0</v>
      </c>
      <c r="AE38" s="10" t="b">
        <f t="shared" si="72"/>
        <v>0</v>
      </c>
      <c r="AF38" s="10" t="b">
        <f t="shared" si="72"/>
        <v>0</v>
      </c>
      <c r="AG38" s="17"/>
      <c r="AH38" s="3"/>
      <c r="AI38" s="3"/>
      <c r="AK38" s="8" t="s">
        <v>115</v>
      </c>
      <c r="AL38" s="10">
        <f>IF(AL28="1세대1주택",IF(AL37&gt;=70,40%,IF(AL37&gt;=65,30%,IF(AL37&gt;=60,20%,0))))</f>
        <v>0</v>
      </c>
      <c r="AM38" s="10" t="b">
        <f t="shared" ref="AM38:AO38" si="73">IF(AM28="1세대1주택",IF(AM37&gt;=70,40%,IF(AM37&gt;=65,30%,IF(AM37&gt;=60,20%,0))))</f>
        <v>0</v>
      </c>
      <c r="AN38" s="10" t="b">
        <f t="shared" si="73"/>
        <v>0</v>
      </c>
      <c r="AO38" s="10" t="b">
        <f t="shared" si="73"/>
        <v>0</v>
      </c>
      <c r="AP38" s="17"/>
      <c r="AQ38" s="3"/>
      <c r="AR38" s="3"/>
    </row>
    <row r="39" spans="1:44" ht="16.5" customHeight="1">
      <c r="A39" s="83"/>
      <c r="B39" s="17"/>
      <c r="C39" s="17"/>
      <c r="D39" s="17"/>
      <c r="E39" s="17"/>
      <c r="F39" s="17"/>
      <c r="G39" s="3"/>
      <c r="H39" s="3"/>
      <c r="I39" s="3"/>
      <c r="J39" s="3"/>
      <c r="K39" s="15"/>
      <c r="L39" s="17"/>
      <c r="M39" s="17"/>
      <c r="N39" s="17"/>
      <c r="O39" s="17"/>
      <c r="P39" s="3"/>
      <c r="Q39" s="3"/>
      <c r="S39" s="83"/>
      <c r="T39" s="17"/>
      <c r="U39" s="17"/>
      <c r="V39" s="17"/>
      <c r="W39" s="17"/>
      <c r="X39" s="17"/>
      <c r="Y39" s="3"/>
      <c r="Z39" s="3"/>
      <c r="AB39" s="83"/>
      <c r="AC39" s="17"/>
      <c r="AD39" s="17"/>
      <c r="AE39" s="17"/>
      <c r="AF39" s="17"/>
      <c r="AG39" s="17"/>
      <c r="AH39" s="3"/>
      <c r="AI39" s="3"/>
      <c r="AK39" s="83"/>
      <c r="AL39" s="17"/>
      <c r="AM39" s="17"/>
      <c r="AN39" s="17"/>
      <c r="AO39" s="17"/>
      <c r="AP39" s="17"/>
      <c r="AQ39" s="3"/>
      <c r="AR39" s="3"/>
    </row>
    <row r="40" spans="1:44" ht="16.5" customHeight="1">
      <c r="A40" s="192">
        <f>A9</f>
        <v>2026</v>
      </c>
      <c r="B40" s="17"/>
      <c r="C40" s="17"/>
      <c r="D40" s="17"/>
      <c r="E40" s="17"/>
      <c r="F40" s="17"/>
      <c r="G40" s="3"/>
      <c r="H40" s="3"/>
      <c r="I40" s="3"/>
      <c r="J40" s="245">
        <f>A40+1</f>
        <v>2027</v>
      </c>
      <c r="K40" s="121" t="s">
        <v>319</v>
      </c>
      <c r="L40" s="121" t="s">
        <v>317</v>
      </c>
      <c r="M40" s="121" t="s">
        <v>211</v>
      </c>
      <c r="N40" s="121" t="s">
        <v>215</v>
      </c>
      <c r="O40" s="17"/>
      <c r="P40" s="3"/>
      <c r="Q40" s="3"/>
      <c r="S40" s="245">
        <f>J40+1</f>
        <v>2028</v>
      </c>
      <c r="T40" s="121" t="s">
        <v>319</v>
      </c>
      <c r="U40" s="121" t="s">
        <v>317</v>
      </c>
      <c r="V40" s="121" t="s">
        <v>211</v>
      </c>
      <c r="W40" s="121" t="s">
        <v>215</v>
      </c>
      <c r="X40" s="17"/>
      <c r="Y40" s="3"/>
      <c r="Z40" s="3"/>
      <c r="AB40" s="245">
        <f>S40+1</f>
        <v>2029</v>
      </c>
      <c r="AC40" s="121" t="s">
        <v>319</v>
      </c>
      <c r="AD40" s="121" t="s">
        <v>317</v>
      </c>
      <c r="AE40" s="121" t="s">
        <v>211</v>
      </c>
      <c r="AF40" s="121" t="s">
        <v>215</v>
      </c>
      <c r="AG40" s="17"/>
      <c r="AH40" s="3"/>
      <c r="AI40" s="3"/>
      <c r="AK40" s="245">
        <f>AB40+1</f>
        <v>2030</v>
      </c>
      <c r="AL40" s="121" t="s">
        <v>319</v>
      </c>
      <c r="AM40" s="121" t="s">
        <v>317</v>
      </c>
      <c r="AN40" s="121" t="s">
        <v>211</v>
      </c>
      <c r="AO40" s="121" t="s">
        <v>215</v>
      </c>
      <c r="AP40" s="17"/>
      <c r="AQ40" s="3"/>
      <c r="AR40" s="3"/>
    </row>
    <row r="41" spans="1:44" ht="16.5" customHeight="1">
      <c r="A41" s="194" t="s">
        <v>142</v>
      </c>
      <c r="B41" s="15">
        <f>SUMPRODUCT($B$11:$E$11,$B$30:$E$30)</f>
        <v>6732000000</v>
      </c>
      <c r="C41" s="3"/>
      <c r="D41" s="3"/>
      <c r="E41" s="3"/>
      <c r="F41" s="3"/>
      <c r="G41" s="3"/>
      <c r="H41" s="3"/>
      <c r="I41" s="3"/>
      <c r="J41" s="246" t="s">
        <v>142</v>
      </c>
      <c r="K41" s="247">
        <f>SUMPRODUCT($K$11:$N$11,$K$30:$N$30)</f>
        <v>5326800000</v>
      </c>
      <c r="L41" s="247">
        <f t="shared" ref="L41:N41" si="74">SUMPRODUCT($K$11:$N$11,$K$30:$N$30)</f>
        <v>5326800000</v>
      </c>
      <c r="M41" s="247">
        <f t="shared" si="74"/>
        <v>5326800000</v>
      </c>
      <c r="N41" s="247">
        <f t="shared" si="74"/>
        <v>5326800000</v>
      </c>
      <c r="O41" s="15"/>
      <c r="P41" s="3"/>
      <c r="Q41" s="3"/>
      <c r="S41" s="246" t="s">
        <v>142</v>
      </c>
      <c r="T41" s="247">
        <f>SUMPRODUCT($T$11:$W$11,$T$30:$W$30)</f>
        <v>6125820000</v>
      </c>
      <c r="U41" s="247">
        <f>SUMPRODUCT($T$11:$W$11,$T$30:$W$30)</f>
        <v>6125820000</v>
      </c>
      <c r="V41" s="247">
        <f>SUMPRODUCT($T$11:$W$11,$T$30:$W$30)</f>
        <v>6125820000</v>
      </c>
      <c r="W41" s="247">
        <f>SUMPRODUCT($T$11:$W$11,$T$30:$W$30)</f>
        <v>6125820000</v>
      </c>
      <c r="X41" s="15"/>
      <c r="Y41" s="3"/>
      <c r="Z41" s="3"/>
      <c r="AB41" s="246" t="s">
        <v>142</v>
      </c>
      <c r="AC41" s="247">
        <f>SUMPRODUCT($AC$11:$AF$11,$AC$30:$AF$30)</f>
        <v>7044692999.999999</v>
      </c>
      <c r="AD41" s="247">
        <f t="shared" ref="AD41:AF41" si="75">SUMPRODUCT($AC$11:$AF$11,$AC$30:$AF$30)</f>
        <v>7044692999.999999</v>
      </c>
      <c r="AE41" s="247">
        <f t="shared" si="75"/>
        <v>7044692999.999999</v>
      </c>
      <c r="AF41" s="247">
        <f t="shared" si="75"/>
        <v>7044692999.999999</v>
      </c>
      <c r="AG41" s="15"/>
      <c r="AH41" s="3"/>
      <c r="AI41" s="3"/>
      <c r="AK41" s="246" t="s">
        <v>142</v>
      </c>
      <c r="AL41" s="247">
        <f>SUMPRODUCT($AL$11:$AO$11,$AL$30:$AO$30)</f>
        <v>8101396949.9999981</v>
      </c>
      <c r="AM41" s="247">
        <f>SUMPRODUCT($AL$11:$AO$11,$AL$30:$AO$30)</f>
        <v>8101396949.9999981</v>
      </c>
      <c r="AN41" s="247">
        <f>SUMPRODUCT($AL$11:$AO$11,$AL$30:$AO$30)</f>
        <v>8101396949.9999981</v>
      </c>
      <c r="AO41" s="247">
        <f>SUMPRODUCT($AL$11:$AO$11,$AL$30:$AO$30)</f>
        <v>8101396949.9999981</v>
      </c>
      <c r="AP41" s="15"/>
      <c r="AQ41" s="3"/>
      <c r="AR41" s="3"/>
    </row>
    <row r="42" spans="1:44" ht="16.5" customHeight="1">
      <c r="A42" s="194" t="s">
        <v>145</v>
      </c>
      <c r="B42" s="15">
        <f>IF(B28="1세대1주택",12*10^8,9*10^8)</f>
        <v>900000000</v>
      </c>
      <c r="C42" s="3"/>
      <c r="D42" s="3"/>
      <c r="E42" s="3"/>
      <c r="F42" s="3"/>
      <c r="G42" s="3"/>
      <c r="H42" s="3"/>
      <c r="I42" s="3"/>
      <c r="J42" s="246" t="s">
        <v>145</v>
      </c>
      <c r="K42" s="247">
        <v>1400000000</v>
      </c>
      <c r="L42" s="247">
        <v>900000000</v>
      </c>
      <c r="M42" s="247">
        <f ca="1">4*10^8+500000000*IFERROR(OFFSET($J$11,0,MATCH("거주",$K29:$N29,0))/$O$11,0)</f>
        <v>900000000</v>
      </c>
      <c r="N42" s="247">
        <f ca="1">4*10^8+500000000*IFERROR(OFFSET($J$11,0,MATCH("거주",$K29:$N29,0))/$O$11,0)</f>
        <v>900000000</v>
      </c>
      <c r="O42" s="15"/>
      <c r="P42" s="3"/>
      <c r="Q42" s="3"/>
      <c r="S42" s="246" t="s">
        <v>145</v>
      </c>
      <c r="T42" s="247">
        <v>1400000000</v>
      </c>
      <c r="U42" s="247">
        <v>900000000</v>
      </c>
      <c r="V42" s="247">
        <f ca="1">4*10^8+500000000*IFERROR(OFFSET($S$11,0,MATCH("거주",$T29:$W29,0))/$X$11,0)</f>
        <v>900000000</v>
      </c>
      <c r="W42" s="247">
        <f ca="1">4*10^8+500000000*IFERROR(OFFSET($S$11,0,MATCH("거주",$T29:$W29,0))/$X$11,0)</f>
        <v>900000000</v>
      </c>
      <c r="X42" s="137"/>
      <c r="Y42" s="356"/>
      <c r="Z42" s="3"/>
      <c r="AB42" s="246" t="s">
        <v>145</v>
      </c>
      <c r="AC42" s="247">
        <v>1400000000</v>
      </c>
      <c r="AD42" s="247">
        <v>900000000</v>
      </c>
      <c r="AE42" s="247">
        <f ca="1">4*10^8+500000000*IFERROR(OFFSET($AB$11,0,MATCH("거주",$AC29:$AF29,0))/$AG$11,0)</f>
        <v>900000000</v>
      </c>
      <c r="AF42" s="247">
        <f ca="1">4*10^8+500000000*IFERROR(OFFSET($AB$11,0,MATCH("거주",$AC29:$AF29,0))/$AG$11,0)</f>
        <v>900000000</v>
      </c>
      <c r="AG42" s="15"/>
      <c r="AH42" s="3"/>
      <c r="AI42" s="3"/>
      <c r="AK42" s="246" t="s">
        <v>145</v>
      </c>
      <c r="AL42" s="247">
        <v>1400000000</v>
      </c>
      <c r="AM42" s="247">
        <v>900000000</v>
      </c>
      <c r="AN42" s="247">
        <f ca="1">4*10^8+500000000*IFERROR(OFFSET($AK$11,0,MATCH("거주",$AL29:$AO29,0))/$AP$11,0)</f>
        <v>900000000</v>
      </c>
      <c r="AO42" s="247">
        <f ca="1">4*10^8+500000000*IFERROR(OFFSET($AK$11,0,MATCH("거주",$AL29:$AO29,0))/$AP$11,0)</f>
        <v>900000000</v>
      </c>
      <c r="AP42" s="15"/>
      <c r="AQ42" s="3"/>
      <c r="AR42" s="3"/>
    </row>
    <row r="43" spans="1:44" ht="16.5" customHeight="1">
      <c r="A43" s="194" t="s">
        <v>153</v>
      </c>
      <c r="B43" s="15">
        <f>IF(B41&gt;B42,B41-B42,0)</f>
        <v>5832000000</v>
      </c>
      <c r="C43" s="3"/>
      <c r="D43" s="3"/>
      <c r="E43" s="3"/>
      <c r="F43" s="3"/>
      <c r="G43" s="3"/>
      <c r="H43" s="3"/>
      <c r="I43" s="3"/>
      <c r="J43" s="246" t="s">
        <v>153</v>
      </c>
      <c r="K43" s="133">
        <f t="shared" ref="K43:N43" si="76">IF(K41&gt;K42,K41-K42,0)</f>
        <v>3926800000</v>
      </c>
      <c r="L43" s="248">
        <f t="shared" si="76"/>
        <v>4426800000</v>
      </c>
      <c r="M43" s="248">
        <f t="shared" ca="1" si="76"/>
        <v>4426800000</v>
      </c>
      <c r="N43" s="248">
        <f t="shared" ca="1" si="76"/>
        <v>4426800000</v>
      </c>
      <c r="O43" s="15"/>
      <c r="P43" s="3"/>
      <c r="Q43" s="3"/>
      <c r="S43" s="246" t="s">
        <v>153</v>
      </c>
      <c r="T43" s="133">
        <f t="shared" ref="T43:W43" si="77">IF(T41&gt;T42,T41-T42,0)</f>
        <v>4725820000</v>
      </c>
      <c r="U43" s="248">
        <f t="shared" si="77"/>
        <v>5225820000</v>
      </c>
      <c r="V43" s="248">
        <f t="shared" ca="1" si="77"/>
        <v>5225820000</v>
      </c>
      <c r="W43" s="248">
        <f t="shared" ca="1" si="77"/>
        <v>5225820000</v>
      </c>
      <c r="X43" s="137"/>
      <c r="Y43" s="3"/>
      <c r="Z43" s="3"/>
      <c r="AB43" s="246" t="s">
        <v>153</v>
      </c>
      <c r="AC43" s="133">
        <f t="shared" ref="AC43:AF43" si="78">IF(AC41&gt;AC42,AC41-AC42,0)</f>
        <v>5644692999.999999</v>
      </c>
      <c r="AD43" s="133">
        <f t="shared" si="78"/>
        <v>6144692999.999999</v>
      </c>
      <c r="AE43" s="133">
        <f t="shared" ca="1" si="78"/>
        <v>6144692999.999999</v>
      </c>
      <c r="AF43" s="133">
        <f t="shared" ca="1" si="78"/>
        <v>6144692999.999999</v>
      </c>
      <c r="AG43" s="15"/>
      <c r="AH43" s="3"/>
      <c r="AI43" s="3"/>
      <c r="AK43" s="246" t="s">
        <v>153</v>
      </c>
      <c r="AL43" s="133">
        <f t="shared" ref="AL43:AO43" si="79">IF(AL41&gt;AL42,AL41-AL42,0)</f>
        <v>6701396949.9999981</v>
      </c>
      <c r="AM43" s="248">
        <f t="shared" si="79"/>
        <v>7201396949.9999981</v>
      </c>
      <c r="AN43" s="248">
        <f t="shared" ca="1" si="79"/>
        <v>7201396949.9999981</v>
      </c>
      <c r="AO43" s="248">
        <f t="shared" ca="1" si="79"/>
        <v>7201396949.9999981</v>
      </c>
      <c r="AP43" s="15"/>
      <c r="AQ43" s="3"/>
      <c r="AR43" s="3"/>
    </row>
    <row r="44" spans="1:44" ht="16.5" customHeight="1">
      <c r="A44" s="194" t="s">
        <v>78</v>
      </c>
      <c r="B44" s="17">
        <v>0.6</v>
      </c>
      <c r="C44" s="3"/>
      <c r="D44" s="3"/>
      <c r="E44" s="3"/>
      <c r="F44" s="3"/>
      <c r="G44" s="3"/>
      <c r="H44" s="3"/>
      <c r="I44" s="3"/>
      <c r="J44" s="260" t="s">
        <v>279</v>
      </c>
      <c r="K44" s="261">
        <v>0.7</v>
      </c>
      <c r="L44" s="261">
        <v>0.7</v>
      </c>
      <c r="M44" s="261">
        <v>0.7</v>
      </c>
      <c r="N44" s="261">
        <v>0.7</v>
      </c>
      <c r="O44" s="17"/>
      <c r="P44" s="3"/>
      <c r="Q44" s="3"/>
      <c r="R44" s="25"/>
      <c r="S44" s="262" t="s">
        <v>78</v>
      </c>
      <c r="T44" s="263">
        <v>0.7</v>
      </c>
      <c r="U44" s="263">
        <v>0.7</v>
      </c>
      <c r="V44" s="261">
        <v>0.8</v>
      </c>
      <c r="W44" s="261">
        <v>0.8</v>
      </c>
      <c r="X44" s="17"/>
      <c r="Y44" s="3"/>
      <c r="Z44" s="3"/>
      <c r="AA44" s="25"/>
      <c r="AB44" s="262" t="s">
        <v>78</v>
      </c>
      <c r="AC44" s="263">
        <v>0.7</v>
      </c>
      <c r="AD44" s="263">
        <v>0.7</v>
      </c>
      <c r="AE44" s="263">
        <v>0.8</v>
      </c>
      <c r="AF44" s="263">
        <v>0.8</v>
      </c>
      <c r="AG44" s="17"/>
      <c r="AH44" s="3"/>
      <c r="AI44" s="3"/>
      <c r="AJ44" s="25"/>
      <c r="AK44" s="262" t="s">
        <v>78</v>
      </c>
      <c r="AL44" s="263">
        <v>0.7</v>
      </c>
      <c r="AM44" s="263">
        <v>0.7</v>
      </c>
      <c r="AN44" s="261">
        <v>0.8</v>
      </c>
      <c r="AO44" s="261">
        <v>0.8</v>
      </c>
      <c r="AP44" s="17"/>
      <c r="AQ44" s="3"/>
      <c r="AR44" s="3"/>
    </row>
    <row r="45" spans="1:44" ht="16.5" customHeight="1">
      <c r="A45" s="194" t="s">
        <v>62</v>
      </c>
      <c r="B45" s="15">
        <f>B43*B44</f>
        <v>3499200000</v>
      </c>
      <c r="C45" s="3"/>
      <c r="D45" s="15"/>
      <c r="E45" s="3"/>
      <c r="F45" s="3"/>
      <c r="G45" s="3"/>
      <c r="H45" s="3"/>
      <c r="I45" s="3"/>
      <c r="J45" s="246" t="s">
        <v>62</v>
      </c>
      <c r="K45" s="133">
        <f t="shared" ref="K45:N45" si="80">IF(K43&gt;0,K43*K44,0)</f>
        <v>2748760000</v>
      </c>
      <c r="L45" s="133">
        <f t="shared" si="80"/>
        <v>3098760000</v>
      </c>
      <c r="M45" s="133">
        <f t="shared" ca="1" si="80"/>
        <v>3098760000</v>
      </c>
      <c r="N45" s="133">
        <f t="shared" ca="1" si="80"/>
        <v>3098760000</v>
      </c>
      <c r="O45" s="15"/>
      <c r="P45" s="3"/>
      <c r="Q45" s="3"/>
      <c r="R45" s="25"/>
      <c r="S45" s="246" t="s">
        <v>62</v>
      </c>
      <c r="T45" s="133">
        <f t="shared" ref="T45:W45" si="81">IF(T43&gt;0,T43*T44,0)</f>
        <v>3308074000</v>
      </c>
      <c r="U45" s="133">
        <f t="shared" si="81"/>
        <v>3658074000</v>
      </c>
      <c r="V45" s="133">
        <f t="shared" ca="1" si="81"/>
        <v>4180656000</v>
      </c>
      <c r="W45" s="133">
        <f t="shared" ca="1" si="81"/>
        <v>4180656000</v>
      </c>
      <c r="X45" s="15"/>
      <c r="Y45" s="3"/>
      <c r="Z45" s="3"/>
      <c r="AA45" s="25"/>
      <c r="AB45" s="246" t="s">
        <v>62</v>
      </c>
      <c r="AC45" s="133">
        <f t="shared" ref="AC45:AF45" si="82">IF(AC43&gt;0,AC43*AC44,0)</f>
        <v>3951285099.999999</v>
      </c>
      <c r="AD45" s="133">
        <f t="shared" si="82"/>
        <v>4301285099.999999</v>
      </c>
      <c r="AE45" s="133">
        <f t="shared" ca="1" si="82"/>
        <v>4915754399.999999</v>
      </c>
      <c r="AF45" s="133">
        <f t="shared" ca="1" si="82"/>
        <v>4915754399.999999</v>
      </c>
      <c r="AG45" s="15"/>
      <c r="AH45" s="3"/>
      <c r="AI45" s="3"/>
      <c r="AJ45" s="25"/>
      <c r="AK45" s="246" t="s">
        <v>62</v>
      </c>
      <c r="AL45" s="133">
        <f t="shared" ref="AL45:AO45" si="83">IF(AL43&gt;0,AL43*AL44,0)</f>
        <v>4690977864.9999981</v>
      </c>
      <c r="AM45" s="133">
        <f t="shared" si="83"/>
        <v>5040977864.9999981</v>
      </c>
      <c r="AN45" s="133">
        <f t="shared" ca="1" si="83"/>
        <v>5761117559.999999</v>
      </c>
      <c r="AO45" s="133">
        <f t="shared" ca="1" si="83"/>
        <v>5761117559.999999</v>
      </c>
      <c r="AP45" s="15"/>
      <c r="AQ45" s="3"/>
      <c r="AR45" s="3"/>
    </row>
    <row r="46" spans="1:44" ht="16.5" customHeight="1">
      <c r="A46" s="194" t="s">
        <v>63</v>
      </c>
      <c r="B46" s="20">
        <f t="array" ref="B46">IF(B34="기본세율",
INDEX(t!$M$3:$M$9,MATCH(TRUE,$B$45&lt;=t!$L$3:$L$9,0)),
INDEX(t!$O$3:$O$9,MATCH(TRUE,$B$45&lt;=t!$L$3:$L$9,0)))</f>
        <v>1.4999999999999999E-2</v>
      </c>
      <c r="C46" s="3"/>
      <c r="D46" s="3"/>
      <c r="E46" s="3"/>
      <c r="F46" s="3"/>
      <c r="G46" s="3"/>
      <c r="H46" s="3"/>
      <c r="I46" s="3"/>
      <c r="J46" s="246" t="s">
        <v>63</v>
      </c>
      <c r="K46" s="249">
        <f t="array" ref="K46">INDEX(t!$M$13:$M$19,MATCH(TRUE,K45&lt;=t!$L$13:$L$19,0))</f>
        <v>0.02</v>
      </c>
      <c r="L46" s="249">
        <f t="array" ref="L46">INDEX(t!$M$13:$M$19,MATCH(TRUE,L45&lt;=t!$L$13:$L$19,0))</f>
        <v>0.02</v>
      </c>
      <c r="M46" s="249">
        <f t="array" aca="1" ref="M46" ca="1">INDEX(t!$O$13:$O$19,MATCH(TRUE,M45&lt;=t!$L$13:$L$19,0))</f>
        <v>0.03</v>
      </c>
      <c r="N46" s="249">
        <f t="array" aca="1" ref="N46" ca="1">INDEX(t!$O$13:$O$19,MATCH(TRUE,N45&lt;=t!$L$13:$L$19,0))</f>
        <v>0.03</v>
      </c>
      <c r="O46" s="15"/>
      <c r="P46" s="3"/>
      <c r="Q46" s="3"/>
      <c r="R46" s="7"/>
      <c r="S46" s="246" t="s">
        <v>63</v>
      </c>
      <c r="T46" s="249">
        <f t="array" ref="T46">INDEX(t!$M$23:$M$29,MATCH(TRUE,T45&lt;=t!$L$23:$L$29,0))</f>
        <v>0.03</v>
      </c>
      <c r="U46" s="249">
        <f t="array" ref="U46">INDEX(t!$M$23:$M$29,MATCH(TRUE,U45&lt;=t!$L$23:$L$29,0))</f>
        <v>0.03</v>
      </c>
      <c r="V46" s="249">
        <f t="array" aca="1" ref="V46" ca="1">INDEX(t!$M$23:$M$29,MATCH(TRUE,V45&lt;=t!$L$23:$L$29,0))</f>
        <v>0.03</v>
      </c>
      <c r="W46" s="249">
        <f t="array" aca="1" ref="W46" ca="1">INDEX(t!$M$23:$M$29,MATCH(TRUE,W45&lt;=t!$L$23:$L$29,0))</f>
        <v>0.03</v>
      </c>
      <c r="X46" s="15"/>
      <c r="Y46" s="3"/>
      <c r="Z46" s="3"/>
      <c r="AA46" s="7"/>
      <c r="AB46" s="246" t="s">
        <v>63</v>
      </c>
      <c r="AC46" s="249">
        <f t="array" ref="AC46">INDEX(t!$M$23:$M$29,MATCH(TRUE,AC45&lt;=t!$L$23:$L$29,0))</f>
        <v>0.03</v>
      </c>
      <c r="AD46" s="249">
        <f t="array" ref="AD46">INDEX(t!$M$23:$M$29,MATCH(TRUE,AD45&lt;=t!$L$23:$L$29,0))</f>
        <v>0.03</v>
      </c>
      <c r="AE46" s="249">
        <f t="array" aca="1" ref="AE46" ca="1">INDEX(t!$M$23:$M$29,MATCH(TRUE,AE45&lt;=t!$L$23:$L$29,0))</f>
        <v>0.03</v>
      </c>
      <c r="AF46" s="249">
        <f t="array" aca="1" ref="AF46" ca="1">INDEX(t!$M$23:$M$29,MATCH(TRUE,AF45&lt;=t!$L$23:$L$29,0))</f>
        <v>0.03</v>
      </c>
      <c r="AG46" s="15"/>
      <c r="AH46" s="3"/>
      <c r="AI46" s="3"/>
      <c r="AJ46" s="7"/>
      <c r="AK46" s="246" t="s">
        <v>63</v>
      </c>
      <c r="AL46" s="249">
        <f t="array" ref="AL46">INDEX(t!$M$23:$M$29,MATCH(TRUE,AL45&lt;=t!$L$23:$L$29,0))</f>
        <v>0.03</v>
      </c>
      <c r="AM46" s="249">
        <f t="array" ref="AM46">INDEX(t!$M$23:$M$29,MATCH(TRUE,AM45&lt;=t!$L$23:$L$29,0))</f>
        <v>0.04</v>
      </c>
      <c r="AN46" s="249">
        <f t="array" aca="1" ref="AN46" ca="1">INDEX(t!$M$23:$M$29,MATCH(TRUE,AN45&lt;=t!$L$23:$L$29,0))</f>
        <v>0.04</v>
      </c>
      <c r="AO46" s="249">
        <f t="array" aca="1" ref="AO46" ca="1">INDEX(t!$M$23:$M$29,MATCH(TRUE,AO45&lt;=t!$L$23:$L$29,0))</f>
        <v>0.04</v>
      </c>
      <c r="AP46" s="15"/>
      <c r="AQ46" s="3"/>
      <c r="AR46" s="3"/>
    </row>
    <row r="47" spans="1:44" ht="16.5" customHeight="1">
      <c r="A47" s="194" t="s">
        <v>167</v>
      </c>
      <c r="B47" s="15">
        <f>B45*B46-VLOOKUP(B46,IF(B34="기본세율",t!$M$2:$N$9,t!$O$2:$P$9),2,0)</f>
        <v>41488000</v>
      </c>
      <c r="C47" s="3"/>
      <c r="D47" s="3"/>
      <c r="E47" s="3"/>
      <c r="F47" s="3"/>
      <c r="G47" s="3"/>
      <c r="H47" s="3"/>
      <c r="I47" s="3"/>
      <c r="J47" s="246" t="s">
        <v>167</v>
      </c>
      <c r="K47" s="133">
        <f>K45*K46-VLOOKUP(K46,t!$M$13:$N$19,2,0)</f>
        <v>35875200</v>
      </c>
      <c r="L47" s="133">
        <f>L45*L46-VLOOKUP(L46,t!$M$13:$N$19,2,0)</f>
        <v>42875200</v>
      </c>
      <c r="M47" s="133">
        <f ca="1">M45*M46-VLOOKUP(M46,t!$O$13:$P$19,2,0)</f>
        <v>55362800</v>
      </c>
      <c r="N47" s="133">
        <f ca="1">N45*N46-VLOOKUP(N46,t!$O$13:$P$19,2,0)</f>
        <v>55362800</v>
      </c>
      <c r="O47" s="15"/>
      <c r="P47" s="3"/>
      <c r="Q47" s="3"/>
      <c r="R47" s="25"/>
      <c r="S47" s="246" t="s">
        <v>167</v>
      </c>
      <c r="T47" s="133">
        <f>T45*T46-VLOOKUP(T46,t!$M$22:$N$29,2,0)</f>
        <v>61642220</v>
      </c>
      <c r="U47" s="133">
        <f>U45*U46-VLOOKUP(U46,t!$M$22:$N$29,2,0)</f>
        <v>72142220</v>
      </c>
      <c r="V47" s="133">
        <f ca="1">V45*V46-VLOOKUP(V46,t!$M$22:$N$29,2,0)</f>
        <v>87819680</v>
      </c>
      <c r="W47" s="133">
        <f ca="1">W45*W46-VLOOKUP(W46,t!$M$22:$N$29,2,0)</f>
        <v>87819680</v>
      </c>
      <c r="X47" s="15"/>
      <c r="Y47" s="3"/>
      <c r="Z47" s="3"/>
      <c r="AA47" s="25"/>
      <c r="AB47" s="246" t="s">
        <v>167</v>
      </c>
      <c r="AC47" s="133">
        <f>AC45*AC46-VLOOKUP(AC46,t!$M$22:$N$29,2,0)</f>
        <v>80938552.99999997</v>
      </c>
      <c r="AD47" s="133">
        <f>AD45*AD46-VLOOKUP(AD46,t!$M$22:$N$29,2,0)</f>
        <v>91438552.99999997</v>
      </c>
      <c r="AE47" s="133">
        <f ca="1">AE45*AE46-VLOOKUP(AE46,t!$M$22:$N$29,2,0)</f>
        <v>109872631.99999997</v>
      </c>
      <c r="AF47" s="133">
        <f ca="1">AF45*AF46-VLOOKUP(AF46,t!$M$22:$N$29,2,0)</f>
        <v>109872631.99999997</v>
      </c>
      <c r="AG47" s="15"/>
      <c r="AH47" s="3"/>
      <c r="AI47" s="3"/>
      <c r="AJ47" s="25"/>
      <c r="AK47" s="246" t="s">
        <v>167</v>
      </c>
      <c r="AL47" s="133">
        <f>AL45*AL46-VLOOKUP(AL46,t!$M$22:$N$29,2,0)</f>
        <v>103129335.94999993</v>
      </c>
      <c r="AM47" s="133">
        <f>AM45*AM46-VLOOKUP(AM46,t!$M$22:$N$29,2,0)</f>
        <v>114039114.59999993</v>
      </c>
      <c r="AN47" s="133">
        <f ca="1">AN45*AN46-VLOOKUP(AN46,t!$M$22:$N$29,2,0)</f>
        <v>142844702.39999998</v>
      </c>
      <c r="AO47" s="133">
        <f ca="1">AO45*AO46-VLOOKUP(AO46,t!$M$22:$N$29,2,0)</f>
        <v>142844702.39999998</v>
      </c>
      <c r="AP47" s="15"/>
      <c r="AQ47" s="3"/>
      <c r="AR47" s="3"/>
    </row>
    <row r="48" spans="1:44" ht="16.5" customHeight="1">
      <c r="A48" s="194" t="s">
        <v>168</v>
      </c>
      <c r="B48" s="103">
        <f>F16*(B45*60%*$F$14)/$F$15</f>
        <v>3124137.4785460876</v>
      </c>
      <c r="C48" s="93"/>
      <c r="D48" s="94"/>
      <c r="E48" s="94"/>
      <c r="F48" s="42"/>
      <c r="G48" s="42"/>
      <c r="H48" s="42"/>
      <c r="I48" s="42"/>
      <c r="J48" s="246" t="s">
        <v>168</v>
      </c>
      <c r="K48" s="103">
        <f>$O$16*(K45*60%*$O$14)/$O$15</f>
        <v>4443680.4899235824</v>
      </c>
      <c r="L48" s="103">
        <f>$O$16*(L45*60%*$O$14)/$O$15</f>
        <v>5009494.9558912385</v>
      </c>
      <c r="M48" s="103">
        <f ca="1">$O$16*(M45*60%*$O$14)/$O$15</f>
        <v>5009494.9558912385</v>
      </c>
      <c r="N48" s="103">
        <f ca="1">$O$16*(N45*60%*$O$14)/$O$15</f>
        <v>5009494.9558912385</v>
      </c>
      <c r="O48" s="61"/>
      <c r="P48" s="42"/>
      <c r="Q48" s="42"/>
      <c r="R48" s="29"/>
      <c r="S48" s="246" t="s">
        <v>168</v>
      </c>
      <c r="T48" s="103">
        <f>$X$16*(T45*60%*$X$14)/$X$15</f>
        <v>5365277.8218008233</v>
      </c>
      <c r="U48" s="103">
        <f t="shared" ref="U48:W48" si="84">$X$16*(U45*60%*$X$14)/$X$15</f>
        <v>5932933.5748554068</v>
      </c>
      <c r="V48" s="103">
        <f t="shared" ca="1" si="84"/>
        <v>6780495.5141204651</v>
      </c>
      <c r="W48" s="103">
        <f t="shared" ca="1" si="84"/>
        <v>6780495.5141204651</v>
      </c>
      <c r="X48" s="61"/>
      <c r="Y48" s="42"/>
      <c r="Z48" s="42"/>
      <c r="AA48" s="29"/>
      <c r="AB48" s="246" t="s">
        <v>168</v>
      </c>
      <c r="AC48" s="103">
        <f>$AG$16*(AC45*60%*$AG$14)/$AG$15</f>
        <v>6426334.9413611935</v>
      </c>
      <c r="AD48" s="103">
        <f t="shared" ref="AD48:AF48" si="85">$AG$16*(AD45*60%*$AG$14)/$AG$15</f>
        <v>6995571.8282353953</v>
      </c>
      <c r="AE48" s="103">
        <f t="shared" ca="1" si="85"/>
        <v>7994939.2322690226</v>
      </c>
      <c r="AF48" s="103">
        <f t="shared" ca="1" si="85"/>
        <v>7994939.2322690226</v>
      </c>
      <c r="AG48" s="61"/>
      <c r="AH48" s="42"/>
      <c r="AI48" s="42"/>
      <c r="AJ48" s="29"/>
      <c r="AK48" s="246" t="s">
        <v>168</v>
      </c>
      <c r="AL48" s="103">
        <f>$AP$16*(AL45*60%*$AP$14)/$AP$15</f>
        <v>7647593.1547830012</v>
      </c>
      <c r="AM48" s="103">
        <f>$AP$16*(AM45*60%*$AP$14)/$AP$15</f>
        <v>8218190.0923948679</v>
      </c>
      <c r="AN48" s="103">
        <f ca="1">$AP$16*(AN45*60%*$AP$14)/$AP$15</f>
        <v>9392217.2484512795</v>
      </c>
      <c r="AO48" s="103">
        <f ca="1">$AP$16*(AO45*60%*$AP$14)/$AP$15</f>
        <v>9392217.2484512795</v>
      </c>
      <c r="AP48" s="61"/>
      <c r="AQ48" s="42"/>
      <c r="AR48" s="42"/>
    </row>
    <row r="49" spans="1:44" ht="16.5" customHeight="1">
      <c r="A49" s="194" t="s">
        <v>64</v>
      </c>
      <c r="B49" s="15">
        <f>B47-B48</f>
        <v>38363862.52145391</v>
      </c>
      <c r="C49" s="15"/>
      <c r="D49" s="3"/>
      <c r="E49" s="3"/>
      <c r="F49" s="3"/>
      <c r="G49" s="3"/>
      <c r="H49" s="3"/>
      <c r="I49" s="3"/>
      <c r="J49" s="246" t="s">
        <v>64</v>
      </c>
      <c r="K49" s="133">
        <f t="shared" ref="K49:N49" si="86">IF(K47-K48&lt;0,0,K47-K48)</f>
        <v>31431519.510076419</v>
      </c>
      <c r="L49" s="133">
        <f t="shared" si="86"/>
        <v>37865705.044108763</v>
      </c>
      <c r="M49" s="133">
        <f t="shared" ca="1" si="86"/>
        <v>50353305.044108763</v>
      </c>
      <c r="N49" s="133">
        <f t="shared" ca="1" si="86"/>
        <v>50353305.044108763</v>
      </c>
      <c r="O49" s="15"/>
      <c r="P49" s="3"/>
      <c r="Q49" s="3"/>
      <c r="R49" s="7"/>
      <c r="S49" s="246" t="s">
        <v>64</v>
      </c>
      <c r="T49" s="133">
        <f t="shared" ref="T49:W49" si="87">IF(T47-T48&lt;0,0,T47-T48)</f>
        <v>56276942.178199179</v>
      </c>
      <c r="U49" s="133">
        <f t="shared" si="87"/>
        <v>66209286.42514459</v>
      </c>
      <c r="V49" s="133">
        <f t="shared" ca="1" si="87"/>
        <v>81039184.48587954</v>
      </c>
      <c r="W49" s="133">
        <f t="shared" ca="1" si="87"/>
        <v>81039184.48587954</v>
      </c>
      <c r="X49" s="15"/>
      <c r="Y49" s="3"/>
      <c r="Z49" s="3"/>
      <c r="AA49" s="7"/>
      <c r="AB49" s="246" t="s">
        <v>64</v>
      </c>
      <c r="AC49" s="133">
        <f t="shared" ref="AC49:AF49" si="88">IF(AC47-AC48&lt;0,0,AC47-AC48)</f>
        <v>74512218.058638781</v>
      </c>
      <c r="AD49" s="133">
        <f t="shared" si="88"/>
        <v>84442981.171764582</v>
      </c>
      <c r="AE49" s="133">
        <f t="shared" ca="1" si="88"/>
        <v>101877692.76773095</v>
      </c>
      <c r="AF49" s="133">
        <f t="shared" ca="1" si="88"/>
        <v>101877692.76773095</v>
      </c>
      <c r="AG49" s="15"/>
      <c r="AH49" s="3"/>
      <c r="AI49" s="3"/>
      <c r="AJ49" s="7"/>
      <c r="AK49" s="246" t="s">
        <v>64</v>
      </c>
      <c r="AL49" s="133">
        <f t="shared" ref="AL49:AO49" si="89">IF(AL47-AL48&lt;0,0,AL47-AL48)</f>
        <v>95481742.795216933</v>
      </c>
      <c r="AM49" s="133">
        <f t="shared" si="89"/>
        <v>105820924.50760506</v>
      </c>
      <c r="AN49" s="133">
        <f t="shared" ca="1" si="89"/>
        <v>133452485.1515487</v>
      </c>
      <c r="AO49" s="133">
        <f t="shared" ca="1" si="89"/>
        <v>133452485.1515487</v>
      </c>
      <c r="AP49" s="15"/>
      <c r="AQ49" s="3"/>
      <c r="AR49" s="3"/>
    </row>
    <row r="50" spans="1:44" ht="16.5" customHeight="1">
      <c r="A50" s="194" t="s">
        <v>268</v>
      </c>
      <c r="B50" s="17">
        <f>IF(B10="1세대1주택",MIN(80%,SUM(B38,B32)),0)</f>
        <v>0.4</v>
      </c>
      <c r="C50" s="15"/>
      <c r="D50" s="3"/>
      <c r="E50" s="3"/>
      <c r="F50" s="3"/>
      <c r="G50" s="3"/>
      <c r="H50" s="3"/>
      <c r="I50" s="3"/>
      <c r="J50" s="246" t="s">
        <v>268</v>
      </c>
      <c r="K50" s="121">
        <f>IF(K28="1세대1주택",MIN(80%,K32+MAX(K36,K38)),0)</f>
        <v>0.4</v>
      </c>
      <c r="L50" s="121">
        <f t="shared" ref="L50:N50" si="90">IF(L28="1세대1주택",MIN(80%,L32+MAX(L36,L38)),0)</f>
        <v>0</v>
      </c>
      <c r="M50" s="121">
        <f t="shared" si="90"/>
        <v>0</v>
      </c>
      <c r="N50" s="121">
        <f t="shared" si="90"/>
        <v>0</v>
      </c>
      <c r="O50" s="15"/>
      <c r="P50" s="3"/>
      <c r="Q50" s="3"/>
      <c r="R50" s="7"/>
      <c r="S50" s="246" t="s">
        <v>268</v>
      </c>
      <c r="T50" s="121">
        <f>IF(T28="1세대1주택",MIN(80%,SUM(T36,T38)),0)</f>
        <v>0.2</v>
      </c>
      <c r="U50" s="121">
        <f t="shared" ref="U50:W50" si="91">IF(U28="1세대1주택",MIN(80%,SUM(U36,U38)),0)</f>
        <v>0</v>
      </c>
      <c r="V50" s="121">
        <f t="shared" si="91"/>
        <v>0</v>
      </c>
      <c r="W50" s="121">
        <f t="shared" si="91"/>
        <v>0</v>
      </c>
      <c r="X50" s="15"/>
      <c r="Y50" s="3"/>
      <c r="Z50" s="3"/>
      <c r="AA50" s="7"/>
      <c r="AB50" s="246" t="s">
        <v>268</v>
      </c>
      <c r="AC50" s="121">
        <f>IF(AC28="1세대1주택",MIN(80%,SUM(AC36,AC38)),0)</f>
        <v>0.2</v>
      </c>
      <c r="AD50" s="121">
        <f t="shared" ref="AD50:AF50" si="92">IF(AD28="1세대1주택",MIN(80%,SUM(AD36,AD38)),0)</f>
        <v>0</v>
      </c>
      <c r="AE50" s="121">
        <f t="shared" si="92"/>
        <v>0</v>
      </c>
      <c r="AF50" s="121">
        <f t="shared" si="92"/>
        <v>0</v>
      </c>
      <c r="AG50" s="15"/>
      <c r="AH50" s="3"/>
      <c r="AI50" s="3"/>
      <c r="AJ50" s="7"/>
      <c r="AK50" s="246" t="s">
        <v>268</v>
      </c>
      <c r="AL50" s="121">
        <f>IF(AL28="1세대1주택",MIN(80%,SUM(AL36,AL38)),0)</f>
        <v>0.2</v>
      </c>
      <c r="AM50" s="121">
        <f t="shared" ref="AM50:AO50" si="93">IF(AM28="1세대1주택",MIN(80%,SUM(AM36,AM38)),0)</f>
        <v>0</v>
      </c>
      <c r="AN50" s="121">
        <f t="shared" si="93"/>
        <v>0</v>
      </c>
      <c r="AO50" s="121">
        <f t="shared" si="93"/>
        <v>0</v>
      </c>
      <c r="AP50" s="15"/>
      <c r="AQ50" s="3"/>
      <c r="AR50" s="3"/>
    </row>
    <row r="51" spans="1:44" ht="16.5" customHeight="1">
      <c r="A51" s="194" t="s">
        <v>271</v>
      </c>
      <c r="B51" s="15">
        <f>B49*(1-B50)</f>
        <v>23018317.512872346</v>
      </c>
      <c r="D51" s="3"/>
      <c r="E51" s="3"/>
      <c r="F51" s="3"/>
      <c r="G51" s="3"/>
      <c r="H51" s="3"/>
      <c r="I51" s="3"/>
      <c r="J51" s="246" t="s">
        <v>271</v>
      </c>
      <c r="K51" s="133">
        <f>K49*(1-K50)</f>
        <v>18858911.706045851</v>
      </c>
      <c r="L51" s="133">
        <f t="shared" ref="L51:N51" si="94">L49*(1-L50)</f>
        <v>37865705.044108763</v>
      </c>
      <c r="M51" s="133">
        <f t="shared" ca="1" si="94"/>
        <v>50353305.044108763</v>
      </c>
      <c r="N51" s="133">
        <f t="shared" ca="1" si="94"/>
        <v>50353305.044108763</v>
      </c>
      <c r="O51" s="15"/>
      <c r="P51" s="3"/>
      <c r="Q51" s="3"/>
      <c r="R51" s="25"/>
      <c r="S51" s="246" t="s">
        <v>271</v>
      </c>
      <c r="T51" s="133">
        <f>T49*(1-T50)</f>
        <v>45021553.742559344</v>
      </c>
      <c r="U51" s="133"/>
      <c r="V51" s="133"/>
      <c r="W51" s="133"/>
      <c r="X51" s="15"/>
      <c r="Y51" s="3"/>
      <c r="Z51" s="3"/>
      <c r="AA51" s="25"/>
      <c r="AB51" s="246" t="s">
        <v>271</v>
      </c>
      <c r="AC51" s="133">
        <f>AC49*(1-AC50)</f>
        <v>59609774.44691103</v>
      </c>
      <c r="AD51" s="133">
        <f t="shared" ref="AD51:AF51" si="95">AD49*(1-AD50)</f>
        <v>84442981.171764582</v>
      </c>
      <c r="AE51" s="133">
        <f t="shared" ca="1" si="95"/>
        <v>101877692.76773095</v>
      </c>
      <c r="AF51" s="133">
        <f t="shared" ca="1" si="95"/>
        <v>101877692.76773095</v>
      </c>
      <c r="AG51" s="15"/>
      <c r="AH51" s="3"/>
      <c r="AI51" s="3"/>
      <c r="AJ51" s="25"/>
      <c r="AK51" s="246" t="s">
        <v>271</v>
      </c>
      <c r="AL51" s="133">
        <f>AL49*(1-AL50)</f>
        <v>76385394.236173555</v>
      </c>
      <c r="AM51" s="133">
        <f t="shared" ref="AM51:AO51" si="96">AM49*(1-AM50)</f>
        <v>105820924.50760506</v>
      </c>
      <c r="AN51" s="133">
        <f t="shared" ca="1" si="96"/>
        <v>133452485.1515487</v>
      </c>
      <c r="AO51" s="133">
        <f t="shared" ca="1" si="96"/>
        <v>133452485.1515487</v>
      </c>
      <c r="AP51" s="15"/>
      <c r="AQ51" s="3"/>
      <c r="AR51" s="3"/>
    </row>
    <row r="52" spans="1:44" ht="16.5" customHeight="1" thickBot="1">
      <c r="A52" s="194" t="s">
        <v>169</v>
      </c>
      <c r="B52" s="15">
        <f>IF(B51&gt;$F$26,$F$26-B51,0)</f>
        <v>0</v>
      </c>
      <c r="C52" s="15"/>
      <c r="D52" s="15"/>
      <c r="E52" s="3"/>
      <c r="F52" s="3"/>
      <c r="G52" s="3"/>
      <c r="H52" s="3"/>
      <c r="I52" s="3"/>
      <c r="J52" s="254" t="s">
        <v>169</v>
      </c>
      <c r="K52" s="107">
        <f>IF(K51&gt;$O$26,$O$26-K51,0)</f>
        <v>0</v>
      </c>
      <c r="L52" s="107">
        <f t="shared" ref="L52:N52" si="97">IF(L51&gt;$O$26,$O$26-L51,0)</f>
        <v>0</v>
      </c>
      <c r="M52" s="107">
        <f t="shared" ca="1" si="97"/>
        <v>0</v>
      </c>
      <c r="N52" s="107">
        <f t="shared" ca="1" si="97"/>
        <v>0</v>
      </c>
      <c r="O52" s="15"/>
      <c r="P52" s="3"/>
      <c r="Q52" s="3"/>
      <c r="S52" s="254" t="s">
        <v>169</v>
      </c>
      <c r="T52" s="107">
        <f ca="1">IF(T51&gt;$X$26,$X$26-T51,0)</f>
        <v>0</v>
      </c>
      <c r="U52" s="107">
        <f ca="1">IF(U51&gt;$X$26,$X$26-U51,0)</f>
        <v>0</v>
      </c>
      <c r="V52" s="107">
        <f ca="1">IF(V51&gt;$X$26,$X$26-V51,0)</f>
        <v>0</v>
      </c>
      <c r="W52" s="107">
        <f ca="1">IF(W51&gt;$X$26,$X$26-W51,0)</f>
        <v>0</v>
      </c>
      <c r="X52" s="15"/>
      <c r="Y52" s="3"/>
      <c r="Z52" s="3"/>
      <c r="AB52" s="254" t="s">
        <v>169</v>
      </c>
      <c r="AC52" s="107">
        <f ca="1">IF(AC51&gt;$AG$26,$AG$26-AC51,0)</f>
        <v>0</v>
      </c>
      <c r="AD52" s="107">
        <f t="shared" ref="AD52:AF52" ca="1" si="98">IF(AD51&gt;$AG$26,$AG$26-AD51,0)</f>
        <v>0</v>
      </c>
      <c r="AE52" s="107">
        <f t="shared" ca="1" si="98"/>
        <v>0</v>
      </c>
      <c r="AF52" s="107">
        <f t="shared" ca="1" si="98"/>
        <v>0</v>
      </c>
      <c r="AG52" s="15"/>
      <c r="AH52" s="3"/>
      <c r="AI52" s="3"/>
      <c r="AK52" s="254" t="s">
        <v>169</v>
      </c>
      <c r="AL52" s="107">
        <f ca="1">IF(AL51&gt;$AP$26,$AP$26-AL51,0)</f>
        <v>0</v>
      </c>
      <c r="AM52" s="107">
        <f t="shared" ref="AM52:AO52" ca="1" si="99">IF(AM51&gt;$AP$26,$AP$26-AM51,0)</f>
        <v>0</v>
      </c>
      <c r="AN52" s="107">
        <f t="shared" ca="1" si="99"/>
        <v>0</v>
      </c>
      <c r="AO52" s="107">
        <f t="shared" ca="1" si="99"/>
        <v>0</v>
      </c>
      <c r="AP52" s="15"/>
      <c r="AQ52" s="3"/>
      <c r="AR52" s="3"/>
    </row>
    <row r="53" spans="1:44" ht="16.5" customHeight="1" thickBot="1">
      <c r="A53" s="206" t="s">
        <v>171</v>
      </c>
      <c r="B53" s="95">
        <f>B49-B52</f>
        <v>38363862.52145391</v>
      </c>
      <c r="C53" s="15"/>
      <c r="D53" s="3"/>
      <c r="E53" s="3"/>
      <c r="F53" s="15"/>
      <c r="G53" s="15"/>
      <c r="H53" s="3"/>
      <c r="I53" s="3"/>
      <c r="J53" s="251" t="s">
        <v>171</v>
      </c>
      <c r="K53" s="252">
        <f>K49-K52</f>
        <v>31431519.510076419</v>
      </c>
      <c r="L53" s="252">
        <f t="shared" ref="L53:N53" si="100">L49-L52</f>
        <v>37865705.044108763</v>
      </c>
      <c r="M53" s="253">
        <f t="shared" ca="1" si="100"/>
        <v>50353305.044108763</v>
      </c>
      <c r="N53" s="253">
        <f t="shared" ca="1" si="100"/>
        <v>50353305.044108763</v>
      </c>
      <c r="O53" s="15"/>
      <c r="P53" s="3"/>
      <c r="Q53" s="3"/>
      <c r="S53" s="251" t="s">
        <v>171</v>
      </c>
      <c r="T53" s="252">
        <f ca="1">T49-T52</f>
        <v>56276942.178199179</v>
      </c>
      <c r="U53" s="252">
        <f t="shared" ref="U53:W53" ca="1" si="101">U49-U52</f>
        <v>66209286.42514459</v>
      </c>
      <c r="V53" s="252">
        <f t="shared" ca="1" si="101"/>
        <v>81039184.48587954</v>
      </c>
      <c r="W53" s="252">
        <f t="shared" ca="1" si="101"/>
        <v>81039184.48587954</v>
      </c>
      <c r="X53" s="15"/>
      <c r="Y53" s="3"/>
      <c r="Z53" s="3"/>
      <c r="AB53" s="251" t="s">
        <v>171</v>
      </c>
      <c r="AC53" s="252">
        <f ca="1">AC49-AC52</f>
        <v>74512218.058638781</v>
      </c>
      <c r="AD53" s="252">
        <f t="shared" ref="AD53:AF53" ca="1" si="102">AD49-AD52</f>
        <v>84442981.171764582</v>
      </c>
      <c r="AE53" s="252">
        <f t="shared" ca="1" si="102"/>
        <v>101877692.76773095</v>
      </c>
      <c r="AF53" s="252">
        <f t="shared" ca="1" si="102"/>
        <v>101877692.76773095</v>
      </c>
      <c r="AG53" s="15"/>
      <c r="AH53" s="3"/>
      <c r="AI53" s="3"/>
      <c r="AK53" s="251" t="s">
        <v>171</v>
      </c>
      <c r="AL53" s="252">
        <f ca="1">AL49-AL52</f>
        <v>95481742.795216933</v>
      </c>
      <c r="AM53" s="252">
        <f t="shared" ref="AM53:AO53" ca="1" si="103">AM49-AM52</f>
        <v>105820924.50760506</v>
      </c>
      <c r="AN53" s="252">
        <f t="shared" ca="1" si="103"/>
        <v>133452485.1515487</v>
      </c>
      <c r="AO53" s="252">
        <f t="shared" ca="1" si="103"/>
        <v>133452485.1515487</v>
      </c>
      <c r="AP53" s="15"/>
      <c r="AQ53" s="3"/>
      <c r="AR53" s="3"/>
    </row>
    <row r="54" spans="1:44" ht="16.5" customHeight="1" thickBot="1">
      <c r="A54" s="194" t="s">
        <v>54</v>
      </c>
      <c r="B54" s="15">
        <f>B53*0.2</f>
        <v>7672772.5042907819</v>
      </c>
      <c r="C54" s="3"/>
      <c r="D54" s="3"/>
      <c r="E54" s="3"/>
      <c r="F54" s="3"/>
      <c r="G54" s="3"/>
      <c r="H54" s="3"/>
      <c r="I54" s="3"/>
      <c r="J54" s="254" t="s">
        <v>54</v>
      </c>
      <c r="K54" s="255">
        <f t="shared" ref="K54:N54" si="104">K53*0.2</f>
        <v>6286303.9020152837</v>
      </c>
      <c r="L54" s="255">
        <f t="shared" si="104"/>
        <v>7573141.0088217529</v>
      </c>
      <c r="M54" s="255">
        <f t="shared" ca="1" si="104"/>
        <v>10070661.008821754</v>
      </c>
      <c r="N54" s="255">
        <f t="shared" ca="1" si="104"/>
        <v>10070661.008821754</v>
      </c>
      <c r="O54" s="3"/>
      <c r="P54" s="3"/>
      <c r="Q54" s="3"/>
      <c r="S54" s="254" t="s">
        <v>54</v>
      </c>
      <c r="T54" s="255">
        <f t="shared" ref="T54:W54" ca="1" si="105">T53*0.2</f>
        <v>11255388.435639836</v>
      </c>
      <c r="U54" s="255">
        <f t="shared" ca="1" si="105"/>
        <v>13241857.28502892</v>
      </c>
      <c r="V54" s="255">
        <f t="shared" ca="1" si="105"/>
        <v>16207836.897175908</v>
      </c>
      <c r="W54" s="255">
        <f t="shared" ca="1" si="105"/>
        <v>16207836.897175908</v>
      </c>
      <c r="X54" s="3"/>
      <c r="Y54" s="3"/>
      <c r="Z54" s="3"/>
      <c r="AB54" s="254" t="s">
        <v>54</v>
      </c>
      <c r="AC54" s="255">
        <f t="shared" ref="AC54:AF54" ca="1" si="106">AC53*0.2</f>
        <v>14902443.611727757</v>
      </c>
      <c r="AD54" s="255">
        <f t="shared" ca="1" si="106"/>
        <v>16888596.234352916</v>
      </c>
      <c r="AE54" s="255">
        <f t="shared" ca="1" si="106"/>
        <v>20375538.55354619</v>
      </c>
      <c r="AF54" s="255">
        <f t="shared" ca="1" si="106"/>
        <v>20375538.55354619</v>
      </c>
      <c r="AG54" s="3"/>
      <c r="AH54" s="3"/>
      <c r="AI54" s="3"/>
      <c r="AK54" s="254" t="s">
        <v>54</v>
      </c>
      <c r="AL54" s="255">
        <f t="shared" ref="AL54:AO54" ca="1" si="107">AL53*0.2</f>
        <v>19096348.559043389</v>
      </c>
      <c r="AM54" s="255">
        <f t="shared" ca="1" si="107"/>
        <v>21164184.901521012</v>
      </c>
      <c r="AN54" s="255">
        <f t="shared" ca="1" si="107"/>
        <v>26690497.03030974</v>
      </c>
      <c r="AO54" s="255">
        <f t="shared" ca="1" si="107"/>
        <v>26690497.03030974</v>
      </c>
      <c r="AP54" s="3"/>
      <c r="AQ54" s="3"/>
      <c r="AR54" s="3"/>
    </row>
    <row r="55" spans="1:44" ht="16.5" customHeight="1" thickBot="1">
      <c r="A55" s="206" t="s">
        <v>172</v>
      </c>
      <c r="B55" s="143">
        <f>SUM(B53:B54)</f>
        <v>46036635.025744691</v>
      </c>
      <c r="C55" s="3"/>
      <c r="D55" s="3"/>
      <c r="E55" s="3"/>
      <c r="F55" s="3"/>
      <c r="G55" s="3"/>
      <c r="H55" s="3"/>
      <c r="I55" s="3"/>
      <c r="J55" s="251" t="s">
        <v>172</v>
      </c>
      <c r="K55" s="252">
        <f t="shared" ref="K55:N55" si="108">SUM(K53:K54)</f>
        <v>37717823.412091702</v>
      </c>
      <c r="L55" s="252">
        <f t="shared" si="108"/>
        <v>45438846.052930519</v>
      </c>
      <c r="M55" s="253">
        <f t="shared" ca="1" si="108"/>
        <v>60423966.052930519</v>
      </c>
      <c r="N55" s="253">
        <f t="shared" ca="1" si="108"/>
        <v>60423966.052930519</v>
      </c>
      <c r="O55" s="3"/>
      <c r="P55" s="3"/>
      <c r="Q55" s="3"/>
      <c r="S55" s="251" t="s">
        <v>172</v>
      </c>
      <c r="T55" s="252">
        <f t="shared" ref="T55:W55" ca="1" si="109">SUM(T53:T54)</f>
        <v>67532330.613839015</v>
      </c>
      <c r="U55" s="252">
        <f t="shared" ca="1" si="109"/>
        <v>79451143.710173517</v>
      </c>
      <c r="V55" s="252">
        <f t="shared" ca="1" si="109"/>
        <v>97247021.383055449</v>
      </c>
      <c r="W55" s="252">
        <f t="shared" ca="1" si="109"/>
        <v>97247021.383055449</v>
      </c>
      <c r="X55" s="3"/>
      <c r="Y55" s="3"/>
      <c r="Z55" s="3"/>
      <c r="AB55" s="251" t="s">
        <v>172</v>
      </c>
      <c r="AC55" s="252">
        <f t="shared" ref="AC55:AF55" ca="1" si="110">SUM(AC53:AC54)</f>
        <v>89414661.670366541</v>
      </c>
      <c r="AD55" s="252">
        <f t="shared" ca="1" si="110"/>
        <v>101331577.4061175</v>
      </c>
      <c r="AE55" s="252">
        <f t="shared" ca="1" si="110"/>
        <v>122253231.32127714</v>
      </c>
      <c r="AF55" s="252">
        <f t="shared" ca="1" si="110"/>
        <v>122253231.32127714</v>
      </c>
      <c r="AG55" s="3"/>
      <c r="AH55" s="3"/>
      <c r="AI55" s="3"/>
      <c r="AK55" s="251" t="s">
        <v>172</v>
      </c>
      <c r="AL55" s="252">
        <f t="shared" ref="AL55:AO55" ca="1" si="111">SUM(AL53:AL54)</f>
        <v>114578091.35426033</v>
      </c>
      <c r="AM55" s="252">
        <f t="shared" ca="1" si="111"/>
        <v>126985109.40912607</v>
      </c>
      <c r="AN55" s="252">
        <f t="shared" ca="1" si="111"/>
        <v>160142982.18185845</v>
      </c>
      <c r="AO55" s="252">
        <f t="shared" ca="1" si="111"/>
        <v>160142982.18185845</v>
      </c>
      <c r="AP55" s="3"/>
      <c r="AQ55" s="3"/>
      <c r="AR55" s="3"/>
    </row>
    <row r="56" spans="1:44" ht="16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15"/>
      <c r="L56" s="3"/>
      <c r="M56" s="3"/>
      <c r="N56" s="3"/>
      <c r="O56" s="3"/>
      <c r="P56" s="3"/>
      <c r="Q56" s="3"/>
      <c r="S56" s="3"/>
      <c r="T56" s="15"/>
      <c r="U56" s="3"/>
      <c r="V56" s="3"/>
      <c r="W56" s="3"/>
      <c r="X56" s="3"/>
      <c r="Y56" s="3"/>
      <c r="Z56" s="3"/>
      <c r="AB56" s="3"/>
      <c r="AC56" s="15"/>
      <c r="AD56" s="3"/>
      <c r="AE56" s="3"/>
      <c r="AF56" s="3"/>
      <c r="AG56" s="3"/>
      <c r="AH56" s="3"/>
      <c r="AI56" s="3"/>
      <c r="AK56" s="3"/>
      <c r="AL56" s="15"/>
      <c r="AM56" s="3"/>
      <c r="AN56" s="3"/>
      <c r="AO56" s="3"/>
      <c r="AP56" s="3"/>
      <c r="AQ56" s="3"/>
      <c r="AR56" s="3"/>
    </row>
    <row r="57" spans="1:44" ht="16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S57" s="3"/>
      <c r="T57" s="3"/>
      <c r="U57" s="3"/>
      <c r="V57" s="3"/>
      <c r="W57" s="3"/>
      <c r="X57" s="3"/>
      <c r="Y57" s="3"/>
      <c r="Z57" s="3"/>
      <c r="AB57" s="3"/>
      <c r="AC57" s="3"/>
      <c r="AD57" s="3"/>
      <c r="AE57" s="3"/>
      <c r="AF57" s="3"/>
      <c r="AG57" s="3"/>
      <c r="AH57" s="3"/>
      <c r="AI57" s="3"/>
      <c r="AK57" s="3"/>
      <c r="AL57" s="3"/>
      <c r="AM57" s="3"/>
      <c r="AN57" s="3"/>
      <c r="AO57" s="3"/>
      <c r="AP57" s="3"/>
      <c r="AQ57" s="3"/>
      <c r="AR57" s="3"/>
    </row>
    <row r="58" spans="1:44" ht="16.5" customHeight="1">
      <c r="A58" s="192">
        <f>A28</f>
        <v>2026</v>
      </c>
      <c r="B58" s="186" t="s">
        <v>14</v>
      </c>
      <c r="C58" s="244" t="s">
        <v>314</v>
      </c>
      <c r="D58" s="3"/>
      <c r="E58" s="3"/>
      <c r="F58" s="3"/>
      <c r="G58" s="3"/>
      <c r="H58" s="3"/>
      <c r="I58" s="3"/>
      <c r="J58" s="193">
        <f>A58+1</f>
        <v>2027</v>
      </c>
      <c r="K58" s="186" t="s">
        <v>14</v>
      </c>
      <c r="L58" s="186" t="s">
        <v>14</v>
      </c>
      <c r="M58" s="186" t="s">
        <v>14</v>
      </c>
      <c r="N58" s="186" t="s">
        <v>14</v>
      </c>
      <c r="O58" s="3"/>
      <c r="P58" s="3"/>
      <c r="Q58" s="3"/>
      <c r="S58" s="193">
        <f>J58+1</f>
        <v>2028</v>
      </c>
      <c r="T58" s="186" t="s">
        <v>14</v>
      </c>
      <c r="U58" s="186" t="s">
        <v>14</v>
      </c>
      <c r="V58" s="186" t="s">
        <v>14</v>
      </c>
      <c r="W58" s="186" t="s">
        <v>14</v>
      </c>
      <c r="X58" s="3"/>
      <c r="Y58" s="3"/>
      <c r="Z58" s="3"/>
      <c r="AB58" s="193">
        <f>S58+1</f>
        <v>2029</v>
      </c>
      <c r="AC58" s="186" t="s">
        <v>14</v>
      </c>
      <c r="AD58" s="186" t="s">
        <v>14</v>
      </c>
      <c r="AE58" s="186" t="s">
        <v>14</v>
      </c>
      <c r="AF58" s="186" t="s">
        <v>14</v>
      </c>
      <c r="AG58" s="3"/>
      <c r="AH58" s="3"/>
      <c r="AI58" s="3"/>
      <c r="AK58" s="193">
        <f>AB58+1</f>
        <v>2030</v>
      </c>
      <c r="AL58" s="186" t="s">
        <v>14</v>
      </c>
      <c r="AM58" s="186" t="s">
        <v>14</v>
      </c>
      <c r="AN58" s="186" t="s">
        <v>14</v>
      </c>
      <c r="AO58" s="186" t="s">
        <v>14</v>
      </c>
      <c r="AP58" s="3"/>
      <c r="AQ58" s="3"/>
      <c r="AR58" s="3"/>
    </row>
    <row r="59" spans="1:44" ht="16.5" customHeight="1">
      <c r="A59" s="366" t="s">
        <v>309</v>
      </c>
      <c r="B59" s="3"/>
      <c r="C59" s="3"/>
      <c r="D59" s="3"/>
      <c r="E59" s="3"/>
      <c r="F59" s="3"/>
      <c r="G59" s="3"/>
      <c r="H59" s="3"/>
      <c r="I59" s="3"/>
      <c r="J59" s="366" t="s">
        <v>316</v>
      </c>
      <c r="K59" s="186"/>
      <c r="L59" s="186" t="s">
        <v>274</v>
      </c>
      <c r="M59" s="186"/>
      <c r="N59" s="186"/>
      <c r="O59" s="3"/>
      <c r="P59" s="3"/>
      <c r="Q59" s="3"/>
      <c r="S59" s="366" t="s">
        <v>316</v>
      </c>
      <c r="T59" s="186"/>
      <c r="U59" s="186" t="s">
        <v>274</v>
      </c>
      <c r="V59" s="186"/>
      <c r="W59" s="186"/>
      <c r="X59" s="3"/>
      <c r="Y59" s="3"/>
      <c r="Z59" s="3"/>
      <c r="AB59" s="366" t="s">
        <v>316</v>
      </c>
      <c r="AC59" s="186"/>
      <c r="AD59" s="186" t="s">
        <v>274</v>
      </c>
      <c r="AE59" s="186"/>
      <c r="AF59" s="186"/>
      <c r="AG59" s="3"/>
      <c r="AH59" s="3"/>
      <c r="AI59" s="3"/>
      <c r="AK59" s="366" t="s">
        <v>316</v>
      </c>
      <c r="AL59" s="186"/>
      <c r="AM59" s="186" t="s">
        <v>274</v>
      </c>
      <c r="AN59" s="186"/>
      <c r="AO59" s="186"/>
      <c r="AP59" s="3"/>
      <c r="AQ59" s="3"/>
      <c r="AR59" s="3"/>
    </row>
    <row r="60" spans="1:44" ht="16.5" customHeight="1">
      <c r="A60" s="366" t="s">
        <v>228</v>
      </c>
      <c r="B60" s="374">
        <f ca="1">INDIRECT("기초!c"&amp;(MATCH($C$2,기초!$B:$B,0)+9))</f>
        <v>0</v>
      </c>
      <c r="C60" s="374">
        <f ca="1">INDIRECT("기초!d"&amp;(MATCH($C$2,기초!$B:$B,0)+9))</f>
        <v>0</v>
      </c>
      <c r="D60" s="374">
        <f ca="1">INDIRECT("기초!e"&amp;(MATCH($C$2,기초!$B:$B,0)+9))</f>
        <v>0</v>
      </c>
      <c r="E60" s="374">
        <f ca="1">INDIRECT("기초!f"&amp;(MATCH($C$2,기초!$B:$B,0)+9))</f>
        <v>0</v>
      </c>
      <c r="F60" s="3"/>
      <c r="G60" s="3"/>
      <c r="H60" s="3"/>
      <c r="I60" s="3"/>
      <c r="J60" s="366" t="s">
        <v>102</v>
      </c>
      <c r="K60" s="121">
        <f ca="1">B60</f>
        <v>0</v>
      </c>
      <c r="L60" s="121">
        <f ca="1">C60</f>
        <v>0</v>
      </c>
      <c r="M60" s="121">
        <f ca="1">D60</f>
        <v>0</v>
      </c>
      <c r="N60" s="121">
        <f ca="1">E60</f>
        <v>0</v>
      </c>
      <c r="O60" s="3"/>
      <c r="P60" s="3"/>
      <c r="Q60" s="3"/>
      <c r="S60" s="366" t="s">
        <v>102</v>
      </c>
      <c r="T60" s="121">
        <f ca="1">K60</f>
        <v>0</v>
      </c>
      <c r="U60" s="121">
        <f t="shared" ref="U60:W60" ca="1" si="112">L60</f>
        <v>0</v>
      </c>
      <c r="V60" s="121">
        <f t="shared" ca="1" si="112"/>
        <v>0</v>
      </c>
      <c r="W60" s="121">
        <f t="shared" ca="1" si="112"/>
        <v>0</v>
      </c>
      <c r="X60" s="3"/>
      <c r="Y60" s="3"/>
      <c r="Z60" s="3"/>
      <c r="AB60" s="366" t="s">
        <v>102</v>
      </c>
      <c r="AC60" s="121">
        <f ca="1">T60</f>
        <v>0</v>
      </c>
      <c r="AD60" s="121">
        <f t="shared" ref="AD60:AF60" ca="1" si="113">U60</f>
        <v>0</v>
      </c>
      <c r="AE60" s="121">
        <f t="shared" ca="1" si="113"/>
        <v>0</v>
      </c>
      <c r="AF60" s="121">
        <f t="shared" ca="1" si="113"/>
        <v>0</v>
      </c>
      <c r="AG60" s="3"/>
      <c r="AH60" s="3"/>
      <c r="AI60" s="3"/>
      <c r="AK60" s="366" t="s">
        <v>102</v>
      </c>
      <c r="AL60" s="121">
        <f ca="1">AC60</f>
        <v>0</v>
      </c>
      <c r="AM60" s="121">
        <f t="shared" ref="AM60:AO60" ca="1" si="114">AD60</f>
        <v>0</v>
      </c>
      <c r="AN60" s="121">
        <f t="shared" ca="1" si="114"/>
        <v>0</v>
      </c>
      <c r="AO60" s="121">
        <f t="shared" ca="1" si="114"/>
        <v>0</v>
      </c>
      <c r="AP60" s="3"/>
      <c r="AQ60" s="3"/>
      <c r="AR60" s="3"/>
    </row>
    <row r="61" spans="1:44" ht="16.5" customHeight="1">
      <c r="A61" s="376" t="s">
        <v>42</v>
      </c>
      <c r="B61" s="375">
        <f ca="1">INDIRECT("기초!c"&amp;(MATCH($C$2,기초!$B:$B,0)+7))</f>
        <v>0</v>
      </c>
      <c r="C61" s="375">
        <f ca="1">INDIRECT("기초!d"&amp;(MATCH($C$2,기초!$B:$B,0)+7))</f>
        <v>0</v>
      </c>
      <c r="D61" s="375">
        <f ca="1">INDIRECT("기초!e"&amp;(MATCH($C$2,기초!$B:$B,0)+7))</f>
        <v>0</v>
      </c>
      <c r="E61" s="375">
        <f ca="1">INDIRECT("기초!e"&amp;(MATCH($C$2,기초!$B:$B,0)+7))</f>
        <v>0</v>
      </c>
      <c r="F61" s="3"/>
      <c r="G61" s="3"/>
      <c r="H61" s="3"/>
      <c r="I61" s="3"/>
      <c r="J61" s="373" t="s">
        <v>103</v>
      </c>
      <c r="K61" s="219">
        <f ca="1">B61+1</f>
        <v>1</v>
      </c>
      <c r="L61" s="219">
        <f ca="1">C61+1</f>
        <v>1</v>
      </c>
      <c r="M61" s="219">
        <f ca="1">D61+1</f>
        <v>1</v>
      </c>
      <c r="N61" s="219">
        <f ca="1">E61+1</f>
        <v>1</v>
      </c>
      <c r="O61" s="3"/>
      <c r="P61" s="3"/>
      <c r="Q61" s="3"/>
      <c r="S61" s="373"/>
      <c r="T61" s="219"/>
      <c r="U61" s="219"/>
      <c r="V61" s="219"/>
      <c r="W61" s="219"/>
      <c r="X61" s="3"/>
      <c r="Y61" s="3"/>
      <c r="Z61" s="3"/>
      <c r="AB61" s="373"/>
      <c r="AC61" s="219"/>
      <c r="AD61" s="219"/>
      <c r="AE61" s="219"/>
      <c r="AF61" s="219"/>
      <c r="AG61" s="3"/>
      <c r="AH61" s="3"/>
      <c r="AI61" s="3"/>
      <c r="AK61" s="373"/>
      <c r="AL61" s="219"/>
      <c r="AM61" s="219"/>
      <c r="AN61" s="219"/>
      <c r="AO61" s="219"/>
      <c r="AP61" s="3"/>
      <c r="AQ61" s="3"/>
      <c r="AR61" s="3"/>
    </row>
    <row r="62" spans="1:44" ht="16.5" customHeight="1">
      <c r="A62" s="366" t="s">
        <v>104</v>
      </c>
      <c r="B62" s="10">
        <f ca="1">IF(B$10="1세대1주택",IF(B61&gt;=15,50%,IF(B61&gt;=10,40%,IF(B61&gt;=5,20%,0))))</f>
        <v>0</v>
      </c>
      <c r="C62" s="17"/>
      <c r="D62" s="17"/>
      <c r="E62" s="17"/>
      <c r="F62" s="3"/>
      <c r="G62" s="3"/>
      <c r="H62" s="3"/>
      <c r="I62" s="3"/>
      <c r="J62" s="366" t="s">
        <v>105</v>
      </c>
      <c r="K62" s="121">
        <f ca="1">IF(K$10="1세대1주택",IF(K61&gt;=15,25%,IF(K61&gt;=10,20%,IF(K61&gt;=5,10%,0))))</f>
        <v>0</v>
      </c>
      <c r="L62" s="121" t="b">
        <f t="shared" ref="L62:N62" si="115">IF(L$10="1세대1주택",IF(L61&gt;=15,25%,IF(L61&gt;=10,20%,IF(L61&gt;=5,10%,0))))</f>
        <v>0</v>
      </c>
      <c r="M62" s="121" t="b">
        <f t="shared" si="115"/>
        <v>0</v>
      </c>
      <c r="N62" s="121" t="b">
        <f t="shared" si="115"/>
        <v>0</v>
      </c>
      <c r="O62" s="3"/>
      <c r="P62" s="3"/>
      <c r="Q62" s="3"/>
      <c r="S62" s="366"/>
      <c r="T62" s="121"/>
      <c r="U62" s="121"/>
      <c r="V62" s="121"/>
      <c r="W62" s="121"/>
      <c r="X62" s="3"/>
      <c r="Y62" s="3"/>
      <c r="Z62" s="3"/>
      <c r="AB62" s="366"/>
      <c r="AC62" s="121"/>
      <c r="AD62" s="121"/>
      <c r="AE62" s="121"/>
      <c r="AF62" s="121"/>
      <c r="AG62" s="3"/>
      <c r="AH62" s="3"/>
      <c r="AI62" s="3"/>
      <c r="AK62" s="366"/>
      <c r="AL62" s="121"/>
      <c r="AM62" s="121"/>
      <c r="AN62" s="121"/>
      <c r="AO62" s="121"/>
      <c r="AP62" s="3"/>
      <c r="AQ62" s="3"/>
      <c r="AR62" s="3"/>
    </row>
    <row r="63" spans="1:44" ht="16.5" customHeight="1">
      <c r="A63" s="366" t="s">
        <v>106</v>
      </c>
      <c r="B63" s="2">
        <f>$B$3</f>
        <v>1</v>
      </c>
      <c r="C63" s="2">
        <f t="shared" ref="C63:E63" si="116">$B$3</f>
        <v>1</v>
      </c>
      <c r="D63" s="2">
        <f t="shared" si="116"/>
        <v>1</v>
      </c>
      <c r="E63" s="2">
        <f t="shared" si="116"/>
        <v>1</v>
      </c>
      <c r="F63" s="3"/>
      <c r="G63" s="3"/>
      <c r="H63" s="3"/>
      <c r="I63" s="3"/>
      <c r="J63" s="366" t="s">
        <v>106</v>
      </c>
      <c r="K63" s="119">
        <f>$B$3</f>
        <v>1</v>
      </c>
      <c r="L63" s="119">
        <f t="shared" ref="L63:N63" si="117">$B$3</f>
        <v>1</v>
      </c>
      <c r="M63" s="119">
        <f t="shared" si="117"/>
        <v>1</v>
      </c>
      <c r="N63" s="119">
        <f t="shared" si="117"/>
        <v>1</v>
      </c>
      <c r="O63" s="3"/>
      <c r="P63" s="3"/>
      <c r="Q63" s="3"/>
      <c r="S63" s="366" t="s">
        <v>106</v>
      </c>
      <c r="T63" s="119">
        <f>$B$3</f>
        <v>1</v>
      </c>
      <c r="U63" s="119">
        <f t="shared" ref="U63:W63" si="118">$B$3</f>
        <v>1</v>
      </c>
      <c r="V63" s="119">
        <f t="shared" si="118"/>
        <v>1</v>
      </c>
      <c r="W63" s="119">
        <f t="shared" si="118"/>
        <v>1</v>
      </c>
      <c r="X63" s="3"/>
      <c r="Y63" s="3"/>
      <c r="Z63" s="3"/>
      <c r="AB63" s="366" t="s">
        <v>106</v>
      </c>
      <c r="AC63" s="119">
        <f>$B$3</f>
        <v>1</v>
      </c>
      <c r="AD63" s="119">
        <f t="shared" ref="AD63:AF63" si="119">$B$3</f>
        <v>1</v>
      </c>
      <c r="AE63" s="119">
        <f t="shared" si="119"/>
        <v>1</v>
      </c>
      <c r="AF63" s="119">
        <f t="shared" si="119"/>
        <v>1</v>
      </c>
      <c r="AG63" s="3"/>
      <c r="AH63" s="3"/>
      <c r="AI63" s="3"/>
      <c r="AK63" s="366" t="s">
        <v>106</v>
      </c>
      <c r="AL63" s="119">
        <f>$B$3</f>
        <v>1</v>
      </c>
      <c r="AM63" s="119">
        <f t="shared" ref="AM63:AO63" si="120">$B$3</f>
        <v>1</v>
      </c>
      <c r="AN63" s="119">
        <f t="shared" si="120"/>
        <v>1</v>
      </c>
      <c r="AO63" s="119">
        <f t="shared" si="120"/>
        <v>1</v>
      </c>
      <c r="AP63" s="3"/>
      <c r="AQ63" s="3"/>
      <c r="AR63" s="3"/>
    </row>
    <row r="64" spans="1:44" ht="16.5" customHeight="1">
      <c r="A64" s="366" t="s">
        <v>77</v>
      </c>
      <c r="B64" s="2" t="str">
        <f>IF(B63&lt;=2,"기본세율","중과세율")</f>
        <v>기본세율</v>
      </c>
      <c r="C64" s="17"/>
      <c r="D64" s="17"/>
      <c r="E64" s="17"/>
      <c r="F64" s="3"/>
      <c r="G64" s="3"/>
      <c r="H64" s="3"/>
      <c r="I64" s="3"/>
      <c r="J64" s="366" t="s">
        <v>77</v>
      </c>
      <c r="K64" s="119" t="str">
        <f>IF(K63&lt;=2,"기본세율","중과세율")</f>
        <v>기본세율</v>
      </c>
      <c r="L64" s="119" t="str">
        <f t="shared" ref="L64:N64" si="121">IF(L63&lt;=2,"기본세율","중과세율")</f>
        <v>기본세율</v>
      </c>
      <c r="M64" s="119" t="str">
        <f t="shared" si="121"/>
        <v>기본세율</v>
      </c>
      <c r="N64" s="119" t="str">
        <f t="shared" si="121"/>
        <v>기본세율</v>
      </c>
      <c r="O64" s="3"/>
      <c r="P64" s="3"/>
      <c r="Q64" s="3"/>
      <c r="S64" s="366" t="s">
        <v>77</v>
      </c>
      <c r="T64" s="119" t="str">
        <f>IF(T63&lt;=2,"기본세율","중과세율")</f>
        <v>기본세율</v>
      </c>
      <c r="U64" s="119" t="str">
        <f t="shared" ref="U64:W64" si="122">IF(U63&lt;=2,"기본세율","중과세율")</f>
        <v>기본세율</v>
      </c>
      <c r="V64" s="119" t="str">
        <f t="shared" si="122"/>
        <v>기본세율</v>
      </c>
      <c r="W64" s="119" t="str">
        <f t="shared" si="122"/>
        <v>기본세율</v>
      </c>
      <c r="X64" s="3"/>
      <c r="Y64" s="3"/>
      <c r="Z64" s="3"/>
      <c r="AB64" s="366" t="s">
        <v>77</v>
      </c>
      <c r="AC64" s="119" t="str">
        <f>IF(AC63&lt;=2,"기본세율","중과세율")</f>
        <v>기본세율</v>
      </c>
      <c r="AD64" s="119" t="str">
        <f t="shared" ref="AD64:AF64" si="123">IF(AD63&lt;=2,"기본세율","중과세율")</f>
        <v>기본세율</v>
      </c>
      <c r="AE64" s="119" t="str">
        <f t="shared" si="123"/>
        <v>기본세율</v>
      </c>
      <c r="AF64" s="119" t="str">
        <f t="shared" si="123"/>
        <v>기본세율</v>
      </c>
      <c r="AG64" s="3"/>
      <c r="AH64" s="3"/>
      <c r="AI64" s="3"/>
      <c r="AK64" s="366" t="s">
        <v>77</v>
      </c>
      <c r="AL64" s="119" t="str">
        <f>IF(AL63&lt;=2,"기본세율","중과세율")</f>
        <v>기본세율</v>
      </c>
      <c r="AM64" s="119" t="str">
        <f t="shared" ref="AM64:AO64" si="124">IF(AM63&lt;=2,"기본세율","중과세율")</f>
        <v>기본세율</v>
      </c>
      <c r="AN64" s="119" t="str">
        <f t="shared" si="124"/>
        <v>기본세율</v>
      </c>
      <c r="AO64" s="119" t="str">
        <f t="shared" si="124"/>
        <v>기본세율</v>
      </c>
      <c r="AP64" s="3"/>
      <c r="AQ64" s="3"/>
      <c r="AR64" s="3"/>
    </row>
    <row r="65" spans="1:44" ht="16.5" customHeight="1">
      <c r="A65" s="366" t="s">
        <v>234</v>
      </c>
      <c r="B65" s="375">
        <f ca="1">INDIRECT("기초!c"&amp;(MATCH($C$2,기초!$B:$B,0)+8))</f>
        <v>0</v>
      </c>
      <c r="C65" s="375">
        <f ca="1">INDIRECT("기초!d"&amp;(MATCH($C$2,기초!$B:$B,0)+8))</f>
        <v>0</v>
      </c>
      <c r="D65" s="375">
        <f ca="1">INDIRECT("기초!e"&amp;(MATCH($C$2,기초!$B:$B,0)+8))</f>
        <v>0</v>
      </c>
      <c r="E65" s="375">
        <f ca="1">INDIRECT("기초!e"&amp;(MATCH($C$2,기초!$B:$B,0)+8))</f>
        <v>0</v>
      </c>
      <c r="F65" s="3"/>
      <c r="G65" s="3"/>
      <c r="H65" s="3"/>
      <c r="I65" s="3"/>
      <c r="J65" s="259" t="s">
        <v>277</v>
      </c>
      <c r="K65" s="219">
        <f ca="1">B65+1</f>
        <v>1</v>
      </c>
      <c r="L65" s="219">
        <f ca="1">C65+1</f>
        <v>1</v>
      </c>
      <c r="M65" s="219">
        <f ca="1">D65+1</f>
        <v>1</v>
      </c>
      <c r="N65" s="219">
        <f ca="1">E65+1</f>
        <v>1</v>
      </c>
      <c r="O65" s="3"/>
      <c r="P65" s="3"/>
      <c r="Q65" s="3"/>
      <c r="S65" s="259" t="s">
        <v>277</v>
      </c>
      <c r="T65" s="219">
        <f ca="1">K65+1</f>
        <v>2</v>
      </c>
      <c r="U65" s="219">
        <f t="shared" ref="U65:W65" ca="1" si="125">L65+1</f>
        <v>2</v>
      </c>
      <c r="V65" s="219">
        <f t="shared" ca="1" si="125"/>
        <v>2</v>
      </c>
      <c r="W65" s="219">
        <f t="shared" ca="1" si="125"/>
        <v>2</v>
      </c>
      <c r="X65" s="3"/>
      <c r="Y65" s="3"/>
      <c r="Z65" s="3"/>
      <c r="AB65" s="259" t="s">
        <v>277</v>
      </c>
      <c r="AC65" s="219">
        <f ca="1">T65+1</f>
        <v>3</v>
      </c>
      <c r="AD65" s="219">
        <f t="shared" ref="AD65:AF65" ca="1" si="126">U65+1</f>
        <v>3</v>
      </c>
      <c r="AE65" s="219">
        <f t="shared" ca="1" si="126"/>
        <v>3</v>
      </c>
      <c r="AF65" s="219">
        <f t="shared" ca="1" si="126"/>
        <v>3</v>
      </c>
      <c r="AG65" s="3"/>
      <c r="AH65" s="3"/>
      <c r="AI65" s="3"/>
      <c r="AK65" s="259" t="s">
        <v>277</v>
      </c>
      <c r="AL65" s="219">
        <f ca="1">AC65+1</f>
        <v>4</v>
      </c>
      <c r="AM65" s="219">
        <f t="shared" ref="AM65:AO65" ca="1" si="127">AD65+1</f>
        <v>4</v>
      </c>
      <c r="AN65" s="219">
        <f t="shared" ca="1" si="127"/>
        <v>4</v>
      </c>
      <c r="AO65" s="219">
        <f t="shared" ca="1" si="127"/>
        <v>4</v>
      </c>
      <c r="AP65" s="3"/>
      <c r="AQ65" s="3"/>
      <c r="AR65" s="3"/>
    </row>
    <row r="66" spans="1:44" ht="16.5" customHeight="1">
      <c r="A66" s="367"/>
      <c r="B66" s="3"/>
      <c r="C66" s="17"/>
      <c r="D66" s="17"/>
      <c r="E66" s="17"/>
      <c r="F66" s="3"/>
      <c r="G66" s="3"/>
      <c r="H66" s="3"/>
      <c r="I66" s="3"/>
      <c r="J66" s="259" t="s">
        <v>278</v>
      </c>
      <c r="K66" s="121" t="b">
        <f>IF(AND(K$58="1세대1주택",K59="거주"),IF(K65&gt;=15,50%,IF(K65&gt;=10,40%,IF(K65&gt;=5,20%,0))))</f>
        <v>0</v>
      </c>
      <c r="L66" s="121" t="b">
        <f>IF(AND(L$58="1세대1주택",L59="거주"),IF(L65&gt;=15,50%,IF(L65&gt;=10,40%,IF(L65&gt;=5,20%,0))))</f>
        <v>0</v>
      </c>
      <c r="M66" s="121" t="b">
        <f>IF(AND(M$58="1세대1주택",M59="거주"),IF(M65&gt;=15,50%,IF(M65&gt;=10,40%,IF(M65&gt;=5,20%,0))))</f>
        <v>0</v>
      </c>
      <c r="N66" s="121" t="b">
        <f>IF(AND(N$58="1세대1주택",N59="거주"),IF(N65&gt;=15,50%,IF(N65&gt;=10,40%,IF(N65&gt;=5,20%,0))))</f>
        <v>0</v>
      </c>
      <c r="O66" s="3"/>
      <c r="P66" s="3"/>
      <c r="Q66" s="3"/>
      <c r="S66" s="259" t="s">
        <v>278</v>
      </c>
      <c r="T66" s="10" t="b">
        <f>IF(AND(T$58="1세대1주택",T59="거주"),IF(T65&gt;=15,50%,IF(T65&gt;=10,40%,IF(T65&gt;=5,20%,0))))</f>
        <v>0</v>
      </c>
      <c r="U66" s="10" t="b">
        <f t="shared" ref="U66:W66" si="128">IF(AND(U$58="1세대1주택",U59="거주"),IF(U65&gt;=15,50%,IF(U65&gt;=10,40%,IF(U65&gt;=5,20%,0))))</f>
        <v>0</v>
      </c>
      <c r="V66" s="10" t="b">
        <f t="shared" si="128"/>
        <v>0</v>
      </c>
      <c r="W66" s="10" t="b">
        <f t="shared" si="128"/>
        <v>0</v>
      </c>
      <c r="X66" s="3"/>
      <c r="Y66" s="3"/>
      <c r="Z66" s="3"/>
      <c r="AB66" s="259" t="s">
        <v>278</v>
      </c>
      <c r="AC66" s="10" t="b">
        <f>IF(AND(AC$58="1세대1주택",AC59="거주"),IF(AC65&gt;=15,50%,IF(AC65&gt;=10,40%,IF(AC65&gt;=5,20%,0))))</f>
        <v>0</v>
      </c>
      <c r="AD66" s="10" t="b">
        <f t="shared" ref="AD66:AF66" si="129">IF(AND(AD$58="1세대1주택",AD59="거주"),IF(AD65&gt;=15,50%,IF(AD65&gt;=10,40%,IF(AD65&gt;=5,20%,0))))</f>
        <v>0</v>
      </c>
      <c r="AE66" s="10" t="b">
        <f t="shared" si="129"/>
        <v>0</v>
      </c>
      <c r="AF66" s="10" t="b">
        <f t="shared" si="129"/>
        <v>0</v>
      </c>
      <c r="AG66" s="3"/>
      <c r="AH66" s="3"/>
      <c r="AI66" s="3"/>
      <c r="AK66" s="259" t="s">
        <v>278</v>
      </c>
      <c r="AL66" s="10" t="b">
        <f>IF(AND(AL58="1세대1주택",AL59="거주"),IF(AL65&gt;=15,50%,IF(AL65&gt;=10,40%,IF(AL65&gt;=5,20%,0))))</f>
        <v>0</v>
      </c>
      <c r="AM66" s="10" t="b">
        <f t="shared" ref="AM66:AO66" si="130">IF(AND(AM58="1세대1주택",AM59="거주"),IF(AM65&gt;=15,50%,IF(AM65&gt;=10,40%,IF(AM65&gt;=5,20%,0))))</f>
        <v>0</v>
      </c>
      <c r="AN66" s="10" t="b">
        <f t="shared" si="130"/>
        <v>0</v>
      </c>
      <c r="AO66" s="10" t="b">
        <f t="shared" si="130"/>
        <v>0</v>
      </c>
      <c r="AP66" s="3"/>
      <c r="AQ66" s="3"/>
      <c r="AR66" s="3"/>
    </row>
    <row r="67" spans="1:44" ht="16.5" customHeight="1">
      <c r="A67" s="366" t="s">
        <v>3</v>
      </c>
      <c r="B67" s="219">
        <f>기초!B32</f>
        <v>0</v>
      </c>
      <c r="C67" s="17"/>
      <c r="D67" s="17"/>
      <c r="E67" s="17"/>
      <c r="F67" s="3"/>
      <c r="G67" s="3"/>
      <c r="H67" s="3"/>
      <c r="I67" s="3"/>
      <c r="J67" s="366" t="s">
        <v>108</v>
      </c>
      <c r="K67" s="354">
        <f>B67+1</f>
        <v>1</v>
      </c>
      <c r="L67" s="219">
        <f>K67</f>
        <v>1</v>
      </c>
      <c r="M67" s="219">
        <f>L67</f>
        <v>1</v>
      </c>
      <c r="N67" s="219">
        <f>M67</f>
        <v>1</v>
      </c>
      <c r="O67" s="3"/>
      <c r="P67" s="3"/>
      <c r="Q67" s="3"/>
      <c r="S67" s="366" t="s">
        <v>108</v>
      </c>
      <c r="T67" s="49">
        <f>K67+1</f>
        <v>2</v>
      </c>
      <c r="U67" s="49">
        <f t="shared" ref="U67:W67" si="131">L67+1</f>
        <v>2</v>
      </c>
      <c r="V67" s="49">
        <f t="shared" si="131"/>
        <v>2</v>
      </c>
      <c r="W67" s="49">
        <f t="shared" si="131"/>
        <v>2</v>
      </c>
      <c r="X67" s="3"/>
      <c r="Y67" s="3"/>
      <c r="Z67" s="3"/>
      <c r="AB67" s="366" t="s">
        <v>108</v>
      </c>
      <c r="AC67" s="49">
        <f>T67+1</f>
        <v>3</v>
      </c>
      <c r="AD67" s="49">
        <f t="shared" ref="AD67:AF67" si="132">U67+1</f>
        <v>3</v>
      </c>
      <c r="AE67" s="49">
        <f t="shared" si="132"/>
        <v>3</v>
      </c>
      <c r="AF67" s="49">
        <f t="shared" si="132"/>
        <v>3</v>
      </c>
      <c r="AG67" s="3"/>
      <c r="AH67" s="3"/>
      <c r="AI67" s="3"/>
      <c r="AK67" s="366" t="s">
        <v>108</v>
      </c>
      <c r="AL67" s="49">
        <f>AC67+1</f>
        <v>4</v>
      </c>
      <c r="AM67" s="49">
        <f t="shared" ref="AM67:AO67" si="133">AD67+1</f>
        <v>4</v>
      </c>
      <c r="AN67" s="49">
        <f t="shared" si="133"/>
        <v>4</v>
      </c>
      <c r="AO67" s="49">
        <f t="shared" si="133"/>
        <v>4</v>
      </c>
      <c r="AP67" s="3"/>
      <c r="AQ67" s="3"/>
      <c r="AR67" s="3"/>
    </row>
    <row r="68" spans="1:44" ht="16.5" customHeight="1">
      <c r="A68" s="366" t="s">
        <v>110</v>
      </c>
      <c r="B68" s="10">
        <f>IF(B$10="1세대1주택",IF(B67&gt;=70,40%,IF(B67&gt;=65,30%,IF(B67&gt;=60,20%,0))))</f>
        <v>0</v>
      </c>
      <c r="C68" s="17"/>
      <c r="D68" s="17"/>
      <c r="E68" s="17"/>
      <c r="F68" s="3"/>
      <c r="G68" s="3"/>
      <c r="H68" s="3"/>
      <c r="I68" s="3"/>
      <c r="J68" s="366" t="s">
        <v>115</v>
      </c>
      <c r="K68" s="121" t="b">
        <f>IF(K$58="1세대1주택",IF(K67&gt;=70,40%,IF(K67&gt;=65,30%,IF(K67&gt;=60,20%,0))))</f>
        <v>0</v>
      </c>
      <c r="L68" s="121" t="b">
        <f>IF(L$58="1세대1주택",IF(L67&gt;=70,40%,IF(L67&gt;=65,30%,IF(L67&gt;=60,20%,0))))</f>
        <v>0</v>
      </c>
      <c r="M68" s="121" t="b">
        <f>IF(M$58="1세대1주택",IF(M67&gt;=70,40%,IF(M67&gt;=65,30%,IF(M67&gt;=60,20%,0))))</f>
        <v>0</v>
      </c>
      <c r="N68" s="121" t="b">
        <f>IF(N$58="1세대1주택",IF(N67&gt;=70,40%,IF(N67&gt;=65,30%,IF(N67&gt;=60,20%,0))))</f>
        <v>0</v>
      </c>
      <c r="O68" s="3"/>
      <c r="P68" s="3"/>
      <c r="Q68" s="3"/>
      <c r="S68" s="366" t="s">
        <v>115</v>
      </c>
      <c r="T68" s="10" t="b">
        <f>IF(T$58="1세대1주택",IF(T67&gt;=70,40%,IF(T67&gt;=65,30%,IF(T67&gt;=60,20%,0))))</f>
        <v>0</v>
      </c>
      <c r="U68" s="10" t="b">
        <f>IF(U$58="1세대1주택",IF(U67&gt;=70,40%,IF(U67&gt;=65,30%,IF(U67&gt;=60,20%,0))))</f>
        <v>0</v>
      </c>
      <c r="V68" s="10" t="b">
        <f>IF(V$58="1세대1주택",IF(V67&gt;=70,40%,IF(V67&gt;=65,30%,IF(V67&gt;=60,20%,0))))</f>
        <v>0</v>
      </c>
      <c r="W68" s="10" t="b">
        <f>IF(W$58="1세대1주택",IF(W67&gt;=70,40%,IF(W67&gt;=65,30%,IF(W67&gt;=60,20%,0))))</f>
        <v>0</v>
      </c>
      <c r="X68" s="3"/>
      <c r="Y68" s="3"/>
      <c r="Z68" s="3"/>
      <c r="AB68" s="366" t="s">
        <v>115</v>
      </c>
      <c r="AC68" s="10" t="b">
        <f>IF(AC$58="1세대1주택",IF(AC67&gt;=70,40%,IF(AC67&gt;=65,30%,IF(AC67&gt;=60,20%,0))))</f>
        <v>0</v>
      </c>
      <c r="AD68" s="10" t="b">
        <f>IF(AD$58="1세대1주택",IF(AD67&gt;=70,40%,IF(AD67&gt;=65,30%,IF(AD67&gt;=60,20%,0))))</f>
        <v>0</v>
      </c>
      <c r="AE68" s="10" t="b">
        <f>IF(AE$58="1세대1주택",IF(AE67&gt;=70,40%,IF(AE67&gt;=65,30%,IF(AE67&gt;=60,20%,0))))</f>
        <v>0</v>
      </c>
      <c r="AF68" s="10" t="b">
        <f>IF(AF$58="1세대1주택",IF(AF67&gt;=70,40%,IF(AF67&gt;=65,30%,IF(AF67&gt;=60,20%,0))))</f>
        <v>0</v>
      </c>
      <c r="AG68" s="3"/>
      <c r="AH68" s="3"/>
      <c r="AI68" s="3"/>
      <c r="AK68" s="366" t="s">
        <v>115</v>
      </c>
      <c r="AL68" s="10" t="b">
        <f>IF(AL58="1세대1주택",IF(AL67&gt;=70,40%,IF(AL67&gt;=65,30%,IF(AL67&gt;=60,20%,0))))</f>
        <v>0</v>
      </c>
      <c r="AM68" s="10" t="b">
        <f t="shared" ref="AM68:AO68" si="134">IF(AM58="1세대1주택",IF(AM67&gt;=70,40%,IF(AM67&gt;=65,30%,IF(AM67&gt;=60,20%,0))))</f>
        <v>0</v>
      </c>
      <c r="AN68" s="10" t="b">
        <f t="shared" si="134"/>
        <v>0</v>
      </c>
      <c r="AO68" s="10" t="b">
        <f t="shared" si="134"/>
        <v>0</v>
      </c>
      <c r="AP68" s="3"/>
      <c r="AQ68" s="3"/>
      <c r="AR68" s="3"/>
    </row>
    <row r="69" spans="1:44" ht="16.5" customHeight="1">
      <c r="A69" s="83"/>
      <c r="B69" s="17"/>
      <c r="C69" s="17"/>
      <c r="D69" s="17"/>
      <c r="E69" s="17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S69" s="3"/>
      <c r="T69" s="3"/>
      <c r="U69" s="3"/>
      <c r="V69" s="3"/>
      <c r="W69" s="3"/>
      <c r="X69" s="3"/>
      <c r="Y69" s="3"/>
      <c r="Z69" s="3"/>
      <c r="AB69" s="3"/>
      <c r="AC69" s="3"/>
      <c r="AD69" s="3"/>
      <c r="AE69" s="3"/>
      <c r="AF69" s="3"/>
      <c r="AG69" s="3"/>
      <c r="AH69" s="3"/>
      <c r="AI69" s="3"/>
      <c r="AK69" s="3"/>
      <c r="AL69" s="3"/>
      <c r="AM69" s="3"/>
      <c r="AN69" s="3"/>
      <c r="AO69" s="3"/>
      <c r="AP69" s="3"/>
      <c r="AQ69" s="3"/>
      <c r="AR69" s="3"/>
    </row>
    <row r="70" spans="1:44" ht="16.5" customHeight="1">
      <c r="A70" s="192">
        <f>A58</f>
        <v>2026</v>
      </c>
      <c r="B70" s="17"/>
      <c r="C70" s="17"/>
      <c r="D70" s="17"/>
      <c r="E70" s="17"/>
      <c r="F70" s="3"/>
      <c r="G70" s="3"/>
      <c r="H70" s="3"/>
      <c r="I70" s="3"/>
      <c r="J70" s="245">
        <f>A70+1</f>
        <v>2027</v>
      </c>
      <c r="K70" s="121" t="s">
        <v>319</v>
      </c>
      <c r="L70" s="121" t="s">
        <v>317</v>
      </c>
      <c r="M70" s="121" t="s">
        <v>211</v>
      </c>
      <c r="N70" s="121" t="s">
        <v>215</v>
      </c>
      <c r="O70" s="3"/>
      <c r="P70" s="3"/>
      <c r="Q70" s="3"/>
      <c r="S70" s="245">
        <f>J70+1</f>
        <v>2028</v>
      </c>
      <c r="T70" s="121" t="s">
        <v>319</v>
      </c>
      <c r="U70" s="121" t="s">
        <v>317</v>
      </c>
      <c r="V70" s="121" t="s">
        <v>211</v>
      </c>
      <c r="W70" s="121" t="s">
        <v>215</v>
      </c>
      <c r="X70" s="3"/>
      <c r="Y70" s="3"/>
      <c r="Z70" s="3"/>
      <c r="AB70" s="245">
        <f>S70+1</f>
        <v>2029</v>
      </c>
      <c r="AC70" s="121" t="s">
        <v>319</v>
      </c>
      <c r="AD70" s="121" t="s">
        <v>317</v>
      </c>
      <c r="AE70" s="121" t="s">
        <v>211</v>
      </c>
      <c r="AF70" s="121" t="s">
        <v>215</v>
      </c>
      <c r="AG70" s="3"/>
      <c r="AH70" s="3"/>
      <c r="AI70" s="3"/>
      <c r="AK70" s="245">
        <f>AB70+1</f>
        <v>2030</v>
      </c>
      <c r="AL70" s="121" t="s">
        <v>319</v>
      </c>
      <c r="AM70" s="121" t="s">
        <v>317</v>
      </c>
      <c r="AN70" s="121" t="s">
        <v>211</v>
      </c>
      <c r="AO70" s="121" t="s">
        <v>215</v>
      </c>
      <c r="AP70" s="3"/>
      <c r="AQ70" s="3"/>
      <c r="AR70" s="3"/>
    </row>
    <row r="71" spans="1:44" ht="16.5" customHeight="1">
      <c r="A71" s="194" t="s">
        <v>142</v>
      </c>
      <c r="B71" s="15">
        <f ca="1">SUMPRODUCT($B$11:$E$11,$B$60:$E$60)</f>
        <v>0</v>
      </c>
      <c r="C71" s="3"/>
      <c r="D71" s="3"/>
      <c r="E71" s="3"/>
      <c r="F71" s="3"/>
      <c r="G71" s="3"/>
      <c r="H71" s="3"/>
      <c r="I71" s="3"/>
      <c r="J71" s="246" t="s">
        <v>142</v>
      </c>
      <c r="K71" s="247">
        <f ca="1">SUMPRODUCT($K$11:$N$11,$K$60:$N$60)</f>
        <v>0</v>
      </c>
      <c r="L71" s="247">
        <f t="shared" ref="L71:N71" ca="1" si="135">SUMPRODUCT($K$11:$N$11,$K$60:$N$60)</f>
        <v>0</v>
      </c>
      <c r="M71" s="247">
        <f t="shared" ca="1" si="135"/>
        <v>0</v>
      </c>
      <c r="N71" s="247">
        <f t="shared" ca="1" si="135"/>
        <v>0</v>
      </c>
      <c r="O71" s="3"/>
      <c r="P71" s="3"/>
      <c r="Q71" s="3"/>
      <c r="S71" s="246" t="s">
        <v>142</v>
      </c>
      <c r="T71" s="247">
        <f ca="1">SUMPRODUCT($T$11:$W$11,$T$60:$W$60)</f>
        <v>0</v>
      </c>
      <c r="U71" s="247">
        <f t="shared" ref="U71:W71" ca="1" si="136">SUMPRODUCT($T$11:$W$11,$T$60:$W$60)</f>
        <v>0</v>
      </c>
      <c r="V71" s="247">
        <f t="shared" ca="1" si="136"/>
        <v>0</v>
      </c>
      <c r="W71" s="247">
        <f t="shared" ca="1" si="136"/>
        <v>0</v>
      </c>
      <c r="X71" s="3"/>
      <c r="Y71" s="3"/>
      <c r="Z71" s="3"/>
      <c r="AB71" s="246" t="s">
        <v>142</v>
      </c>
      <c r="AC71" s="247">
        <f ca="1">SUMPRODUCT($AC$11:$AF$11,$AC$60:$AF$60)</f>
        <v>0</v>
      </c>
      <c r="AD71" s="247">
        <f t="shared" ref="AD71:AF71" ca="1" si="137">SUMPRODUCT($AC$11:$AF$11,$AC$60:$AF$60)</f>
        <v>0</v>
      </c>
      <c r="AE71" s="247">
        <f t="shared" ca="1" si="137"/>
        <v>0</v>
      </c>
      <c r="AF71" s="247">
        <f t="shared" ca="1" si="137"/>
        <v>0</v>
      </c>
      <c r="AG71" s="3"/>
      <c r="AH71" s="3"/>
      <c r="AI71" s="3"/>
      <c r="AK71" s="246" t="s">
        <v>142</v>
      </c>
      <c r="AL71" s="247">
        <f ca="1">SUMPRODUCT($AL$11:$AO$11,$AL$60:$AO$60)</f>
        <v>0</v>
      </c>
      <c r="AM71" s="247">
        <f t="shared" ref="AM71:AO71" ca="1" si="138">SUMPRODUCT($AL$11:$AO$11,$AL$60:$AO$60)</f>
        <v>0</v>
      </c>
      <c r="AN71" s="247">
        <f t="shared" ca="1" si="138"/>
        <v>0</v>
      </c>
      <c r="AO71" s="247">
        <f t="shared" ca="1" si="138"/>
        <v>0</v>
      </c>
      <c r="AP71" s="3"/>
      <c r="AQ71" s="3"/>
      <c r="AR71" s="3"/>
    </row>
    <row r="72" spans="1:44" ht="16.5" customHeight="1">
      <c r="A72" s="194" t="s">
        <v>145</v>
      </c>
      <c r="B72" s="15">
        <f>IF(B58="1세대1주택",12*10^8,9*10^8)</f>
        <v>900000000</v>
      </c>
      <c r="C72" s="3"/>
      <c r="D72" s="3"/>
      <c r="E72" s="3"/>
      <c r="F72" s="3"/>
      <c r="G72" s="3"/>
      <c r="H72" s="3"/>
      <c r="I72" s="3"/>
      <c r="J72" s="246" t="s">
        <v>145</v>
      </c>
      <c r="K72" s="247">
        <v>1400000000</v>
      </c>
      <c r="L72" s="247">
        <v>900000000</v>
      </c>
      <c r="M72" s="247">
        <f ca="1">4*10^8+500000000*IFERROR(OFFSET($J$11,0,MATCH("거주",$K59:$N59,0))/$O$11,0)</f>
        <v>400000000</v>
      </c>
      <c r="N72" s="247">
        <f ca="1">4*10^8+500000000*IFERROR(OFFSET($J$11,0,MATCH("거주",$K59:$N59,0))/$O$11,0)</f>
        <v>400000000</v>
      </c>
      <c r="O72" s="3"/>
      <c r="P72" s="3"/>
      <c r="Q72" s="3"/>
      <c r="S72" s="246" t="s">
        <v>145</v>
      </c>
      <c r="T72" s="247">
        <v>1400000000</v>
      </c>
      <c r="U72" s="247">
        <v>900000000</v>
      </c>
      <c r="V72" s="247">
        <f ca="1">4*10^8+500000000*IFERROR(OFFSET($S$11,0,MATCH("거주",$T59:$W59,0))/$X$11,0)</f>
        <v>400000000</v>
      </c>
      <c r="W72" s="247">
        <f ca="1">4*10^8+500000000*IFERROR(OFFSET($S$11,0,MATCH("거주",$T59:$W59,0))/$X$11,0)</f>
        <v>400000000</v>
      </c>
      <c r="X72" s="3"/>
      <c r="Y72" s="3"/>
      <c r="Z72" s="3"/>
      <c r="AB72" s="246" t="s">
        <v>145</v>
      </c>
      <c r="AC72" s="247">
        <v>1400000000</v>
      </c>
      <c r="AD72" s="247">
        <v>900000000</v>
      </c>
      <c r="AE72" s="247">
        <f ca="1">4*10^8+500000000*IFERROR(OFFSET($AB$11,0,MATCH("거주",$AC59:$AF59,0))/$AG$11,0)</f>
        <v>400000000</v>
      </c>
      <c r="AF72" s="247">
        <f ca="1">4*10^8+500000000*IFERROR(OFFSET($AB$11,0,MATCH("거주",$AC59:$AF59,0))/$AG$11,0)</f>
        <v>400000000</v>
      </c>
      <c r="AG72" s="3"/>
      <c r="AH72" s="3"/>
      <c r="AI72" s="3"/>
      <c r="AK72" s="246" t="s">
        <v>145</v>
      </c>
      <c r="AL72" s="247">
        <f ca="1">IF(AL70="거주용1주택",14*10^8,IF(AL70="비거주1주택",9*10^8,400000000+500000000*IFERROR(OFFSET(AL$29,0,MATCH("거주",$K59:$N59,0))/$AQ$11,0)))</f>
        <v>1400000000</v>
      </c>
      <c r="AM72" s="247">
        <f ca="1">IF(AM70="거주용1주택",14*10^8,IF(AM70="비거주1주택",9*10^8,400000000+500000000*IFERROR(OFFSET(AM$29,0,MATCH("거주",$K59:$N59,0))/$AQ$11,0)))</f>
        <v>900000000</v>
      </c>
      <c r="AN72" s="247">
        <f ca="1">4*10^8+500000000*IFERROR(OFFSET($AK$11,0,MATCH("거주",$AL59:$AO59,0))/$AP$11,0)</f>
        <v>400000000</v>
      </c>
      <c r="AO72" s="247">
        <f ca="1">4*10^8+500000000*IFERROR(OFFSET($AK$11,0,MATCH("거주",$AL59:$AO59,0))/$AP$11,0)</f>
        <v>400000000</v>
      </c>
      <c r="AP72" s="3"/>
      <c r="AQ72" s="3"/>
      <c r="AR72" s="3"/>
    </row>
    <row r="73" spans="1:44" ht="16.5" customHeight="1">
      <c r="A73" s="194" t="s">
        <v>153</v>
      </c>
      <c r="B73" s="15">
        <f ca="1">IF(B71&gt;B72,B71-B72,0)</f>
        <v>0</v>
      </c>
      <c r="C73" s="3"/>
      <c r="D73" s="3"/>
      <c r="E73" s="3"/>
      <c r="F73" s="3"/>
      <c r="G73" s="3"/>
      <c r="H73" s="3"/>
      <c r="I73" s="3"/>
      <c r="J73" s="246" t="s">
        <v>153</v>
      </c>
      <c r="K73" s="133">
        <f t="shared" ref="K73:N73" ca="1" si="139">IF(K71&gt;K72,K71-K72,0)</f>
        <v>0</v>
      </c>
      <c r="L73" s="133">
        <f t="shared" ca="1" si="139"/>
        <v>0</v>
      </c>
      <c r="M73" s="133">
        <f t="shared" ca="1" si="139"/>
        <v>0</v>
      </c>
      <c r="N73" s="133">
        <f t="shared" ca="1" si="139"/>
        <v>0</v>
      </c>
      <c r="O73" s="3"/>
      <c r="P73" s="3"/>
      <c r="Q73" s="3"/>
      <c r="S73" s="246" t="s">
        <v>153</v>
      </c>
      <c r="T73" s="133">
        <f t="shared" ref="T73:W73" ca="1" si="140">IF(T71&gt;T72,T71-T72,0)</f>
        <v>0</v>
      </c>
      <c r="U73" s="133">
        <f t="shared" ca="1" si="140"/>
        <v>0</v>
      </c>
      <c r="V73" s="133">
        <f t="shared" ca="1" si="140"/>
        <v>0</v>
      </c>
      <c r="W73" s="133">
        <f t="shared" ca="1" si="140"/>
        <v>0</v>
      </c>
      <c r="X73" s="3"/>
      <c r="Y73" s="3"/>
      <c r="Z73" s="3"/>
      <c r="AB73" s="246" t="s">
        <v>153</v>
      </c>
      <c r="AC73" s="133">
        <f t="shared" ref="AC73:AF73" ca="1" si="141">IF(AC71&gt;AC72,AC71-AC72,0)</f>
        <v>0</v>
      </c>
      <c r="AD73" s="133">
        <f t="shared" ca="1" si="141"/>
        <v>0</v>
      </c>
      <c r="AE73" s="133">
        <f t="shared" ca="1" si="141"/>
        <v>0</v>
      </c>
      <c r="AF73" s="133">
        <f t="shared" ca="1" si="141"/>
        <v>0</v>
      </c>
      <c r="AG73" s="3"/>
      <c r="AH73" s="3"/>
      <c r="AI73" s="3"/>
      <c r="AK73" s="246" t="s">
        <v>153</v>
      </c>
      <c r="AL73" s="133">
        <f t="shared" ref="AL73:AO73" ca="1" si="142">IF(AL71&gt;AL72,AL71-AL72,0)</f>
        <v>0</v>
      </c>
      <c r="AM73" s="248">
        <f t="shared" ca="1" si="142"/>
        <v>0</v>
      </c>
      <c r="AN73" s="248">
        <f t="shared" ca="1" si="142"/>
        <v>0</v>
      </c>
      <c r="AO73" s="248">
        <f t="shared" ca="1" si="142"/>
        <v>0</v>
      </c>
      <c r="AP73" s="3"/>
      <c r="AQ73" s="3"/>
      <c r="AR73" s="3"/>
    </row>
    <row r="74" spans="1:44" ht="16.5" customHeight="1">
      <c r="A74" s="194" t="s">
        <v>78</v>
      </c>
      <c r="B74" s="17">
        <v>0.6</v>
      </c>
      <c r="C74" s="3"/>
      <c r="D74" s="3"/>
      <c r="E74" s="3"/>
      <c r="F74" s="3"/>
      <c r="G74" s="3"/>
      <c r="H74" s="3"/>
      <c r="I74" s="3"/>
      <c r="J74" s="260" t="s">
        <v>279</v>
      </c>
      <c r="K74" s="261">
        <v>0.7</v>
      </c>
      <c r="L74" s="261">
        <v>0.7</v>
      </c>
      <c r="M74" s="261">
        <v>0.7</v>
      </c>
      <c r="N74" s="261">
        <v>0.7</v>
      </c>
      <c r="O74" s="3"/>
      <c r="P74" s="3"/>
      <c r="Q74" s="3"/>
      <c r="S74" s="260" t="s">
        <v>279</v>
      </c>
      <c r="T74" s="263">
        <v>0.7</v>
      </c>
      <c r="U74" s="263">
        <v>0.7</v>
      </c>
      <c r="V74" s="261">
        <v>0.8</v>
      </c>
      <c r="W74" s="261">
        <v>0.8</v>
      </c>
      <c r="X74" s="3"/>
      <c r="Y74" s="3"/>
      <c r="Z74" s="3"/>
      <c r="AB74" s="260" t="s">
        <v>279</v>
      </c>
      <c r="AC74" s="263">
        <v>0.7</v>
      </c>
      <c r="AD74" s="263">
        <v>0.7</v>
      </c>
      <c r="AE74" s="261">
        <v>0.8</v>
      </c>
      <c r="AF74" s="261">
        <v>0.8</v>
      </c>
      <c r="AG74" s="3"/>
      <c r="AH74" s="3"/>
      <c r="AI74" s="3"/>
      <c r="AK74" s="260" t="s">
        <v>279</v>
      </c>
      <c r="AL74" s="263">
        <v>0.7</v>
      </c>
      <c r="AM74" s="263">
        <v>0.7</v>
      </c>
      <c r="AN74" s="261">
        <v>0.8</v>
      </c>
      <c r="AO74" s="261">
        <v>0.8</v>
      </c>
      <c r="AP74" s="3"/>
      <c r="AQ74" s="3"/>
      <c r="AR74" s="3"/>
    </row>
    <row r="75" spans="1:44" ht="16.5" customHeight="1">
      <c r="A75" s="194" t="s">
        <v>62</v>
      </c>
      <c r="B75" s="15">
        <f ca="1">B73*B74</f>
        <v>0</v>
      </c>
      <c r="C75" s="3"/>
      <c r="D75" s="15"/>
      <c r="E75" s="3"/>
      <c r="F75" s="3"/>
      <c r="G75" s="3"/>
      <c r="H75" s="3"/>
      <c r="I75" s="3"/>
      <c r="J75" s="246" t="s">
        <v>62</v>
      </c>
      <c r="K75" s="133">
        <f t="shared" ref="K75:N75" ca="1" si="143">IF(K73&gt;0,K73*K74,0)</f>
        <v>0</v>
      </c>
      <c r="L75" s="133">
        <f t="shared" ca="1" si="143"/>
        <v>0</v>
      </c>
      <c r="M75" s="133">
        <f t="shared" ca="1" si="143"/>
        <v>0</v>
      </c>
      <c r="N75" s="133">
        <f t="shared" ca="1" si="143"/>
        <v>0</v>
      </c>
      <c r="O75" s="3"/>
      <c r="P75" s="3"/>
      <c r="Q75" s="3"/>
      <c r="S75" s="246" t="s">
        <v>62</v>
      </c>
      <c r="T75" s="133">
        <f t="shared" ref="T75:W75" ca="1" si="144">IF(T73&gt;0,T73*T74,0)</f>
        <v>0</v>
      </c>
      <c r="U75" s="133">
        <f t="shared" ca="1" si="144"/>
        <v>0</v>
      </c>
      <c r="V75" s="133">
        <f t="shared" ca="1" si="144"/>
        <v>0</v>
      </c>
      <c r="W75" s="133">
        <f t="shared" ca="1" si="144"/>
        <v>0</v>
      </c>
      <c r="X75" s="3"/>
      <c r="Y75" s="3"/>
      <c r="Z75" s="3"/>
      <c r="AB75" s="246" t="s">
        <v>62</v>
      </c>
      <c r="AC75" s="133">
        <f t="shared" ref="AC75:AF75" ca="1" si="145">IF(AC73&gt;0,AC73*AC74,0)</f>
        <v>0</v>
      </c>
      <c r="AD75" s="133">
        <f t="shared" ca="1" si="145"/>
        <v>0</v>
      </c>
      <c r="AE75" s="133">
        <f t="shared" ca="1" si="145"/>
        <v>0</v>
      </c>
      <c r="AF75" s="133">
        <f t="shared" ca="1" si="145"/>
        <v>0</v>
      </c>
      <c r="AG75" s="3"/>
      <c r="AH75" s="3"/>
      <c r="AI75" s="3"/>
      <c r="AK75" s="246" t="s">
        <v>62</v>
      </c>
      <c r="AL75" s="133">
        <f t="shared" ref="AL75:AO75" ca="1" si="146">IF(AL73&gt;0,AL73*AL74,0)</f>
        <v>0</v>
      </c>
      <c r="AM75" s="133">
        <f t="shared" ca="1" si="146"/>
        <v>0</v>
      </c>
      <c r="AN75" s="133">
        <f t="shared" ca="1" si="146"/>
        <v>0</v>
      </c>
      <c r="AO75" s="133">
        <f t="shared" ca="1" si="146"/>
        <v>0</v>
      </c>
      <c r="AP75" s="3"/>
      <c r="AQ75" s="3"/>
      <c r="AR75" s="3"/>
    </row>
    <row r="76" spans="1:44" ht="16.5" customHeight="1">
      <c r="A76" s="194" t="s">
        <v>63</v>
      </c>
      <c r="B76" s="20">
        <f t="array" ref="B76">IF(B64="기본세율",
INDEX(t!$M$3:$M$9,MATCH(TRUE,$B$45&lt;=t!$L$3:$L$9,0)),
INDEX(t!$O$3:$O$9,MATCH(TRUE,$B$45&lt;=t!$L$3:$L$9,0)))</f>
        <v>1.4999999999999999E-2</v>
      </c>
      <c r="C76" s="3"/>
      <c r="D76" s="3"/>
      <c r="E76" s="3"/>
      <c r="F76" s="3"/>
      <c r="G76" s="3"/>
      <c r="H76" s="3"/>
      <c r="I76" s="3"/>
      <c r="J76" s="246" t="s">
        <v>63</v>
      </c>
      <c r="K76" s="249">
        <f t="array" aca="1" ref="K76" ca="1">INDEX(t!$M$13:$M$19,MATCH(TRUE,K75&lt;=t!$L$13:$L$19,0))</f>
        <v>5.0000000000000001E-3</v>
      </c>
      <c r="L76" s="249">
        <f t="array" aca="1" ref="L76" ca="1">INDEX(t!$M$13:$M$19,MATCH(TRUE,L75&lt;=t!$L$13:$L$19,0))</f>
        <v>5.0000000000000001E-3</v>
      </c>
      <c r="M76" s="249">
        <f t="array" aca="1" ref="M76" ca="1">INDEX(t!$M$13:$M$19,MATCH(TRUE,M75&lt;=t!$L$13:$L$19,0))</f>
        <v>5.0000000000000001E-3</v>
      </c>
      <c r="N76" s="249">
        <f t="array" aca="1" ref="N76" ca="1">INDEX(t!$M$13:$M$19,MATCH(TRUE,N75&lt;=t!$L$13:$L$19,0))</f>
        <v>5.0000000000000001E-3</v>
      </c>
      <c r="O76" s="3"/>
      <c r="P76" s="3"/>
      <c r="Q76" s="3"/>
      <c r="S76" s="246" t="s">
        <v>63</v>
      </c>
      <c r="T76" s="249">
        <f t="array" aca="1" ref="T76" ca="1">INDEX(t!$M$23:$M$29,MATCH(TRUE,T75&lt;=t!$L$23:$L$29,0))</f>
        <v>5.0000000000000001E-3</v>
      </c>
      <c r="U76" s="249">
        <f t="array" aca="1" ref="U76" ca="1">INDEX(t!$M$23:$M$29,MATCH(TRUE,U75&lt;=t!$L$23:$L$29,0))</f>
        <v>5.0000000000000001E-3</v>
      </c>
      <c r="V76" s="249">
        <f t="array" aca="1" ref="V76" ca="1">INDEX(t!$M$23:$M$29,MATCH(TRUE,V75&lt;=t!$L$23:$L$29,0))</f>
        <v>5.0000000000000001E-3</v>
      </c>
      <c r="W76" s="249">
        <f t="array" aca="1" ref="W76" ca="1">INDEX(t!$M$23:$M$29,MATCH(TRUE,W75&lt;=t!$L$23:$L$29,0))</f>
        <v>5.0000000000000001E-3</v>
      </c>
      <c r="X76" s="3"/>
      <c r="Y76" s="3"/>
      <c r="Z76" s="3"/>
      <c r="AB76" s="246" t="s">
        <v>63</v>
      </c>
      <c r="AC76" s="249">
        <f t="array" aca="1" ref="AC76" ca="1">INDEX(t!$M$23:$M$29,MATCH(TRUE,AC75&lt;=t!$L$23:$L$29,0))</f>
        <v>5.0000000000000001E-3</v>
      </c>
      <c r="AD76" s="249">
        <f t="array" aca="1" ref="AD76" ca="1">INDEX(t!$M$23:$M$29,MATCH(TRUE,AD75&lt;=t!$L$23:$L$29,0))</f>
        <v>5.0000000000000001E-3</v>
      </c>
      <c r="AE76" s="249">
        <f t="array" aca="1" ref="AE76" ca="1">INDEX(t!$M$23:$M$29,MATCH(TRUE,AE75&lt;=t!$L$23:$L$29,0))</f>
        <v>5.0000000000000001E-3</v>
      </c>
      <c r="AF76" s="249">
        <f t="array" aca="1" ref="AF76" ca="1">INDEX(t!$M$23:$M$29,MATCH(TRUE,AF75&lt;=t!$L$23:$L$29,0))</f>
        <v>5.0000000000000001E-3</v>
      </c>
      <c r="AG76" s="3"/>
      <c r="AH76" s="3"/>
      <c r="AI76" s="3"/>
      <c r="AK76" s="246" t="s">
        <v>63</v>
      </c>
      <c r="AL76" s="249">
        <f t="array" aca="1" ref="AL76" ca="1">INDEX(t!$M$23:$M$29,MATCH(TRUE,AL75&lt;=t!$L$23:$L$29,0))</f>
        <v>5.0000000000000001E-3</v>
      </c>
      <c r="AM76" s="249">
        <f t="array" aca="1" ref="AM76" ca="1">INDEX(t!$M$23:$M$29,MATCH(TRUE,AM75&lt;=t!$L$23:$L$29,0))</f>
        <v>5.0000000000000001E-3</v>
      </c>
      <c r="AN76" s="249">
        <f t="array" aca="1" ref="AN76" ca="1">INDEX(t!$M$23:$M$29,MATCH(TRUE,AN75&lt;=t!$L$23:$L$29,0))</f>
        <v>5.0000000000000001E-3</v>
      </c>
      <c r="AO76" s="249">
        <f t="array" aca="1" ref="AO76" ca="1">INDEX(t!$M$23:$M$29,MATCH(TRUE,AO75&lt;=t!$L$23:$L$29,0))</f>
        <v>5.0000000000000001E-3</v>
      </c>
      <c r="AP76" s="3"/>
      <c r="AQ76" s="3"/>
      <c r="AR76" s="3"/>
    </row>
    <row r="77" spans="1:44" ht="16.5" customHeight="1">
      <c r="A77" s="194" t="s">
        <v>167</v>
      </c>
      <c r="B77" s="15">
        <f ca="1">B75*B76-VLOOKUP(B76,IF(B64="기본세율",t!$M$2:$N$9,t!$O$2:$P$9),2,0)</f>
        <v>-11000000</v>
      </c>
      <c r="C77" s="3"/>
      <c r="D77" s="3"/>
      <c r="E77" s="3"/>
      <c r="F77" s="3"/>
      <c r="G77" s="3"/>
      <c r="H77" s="3"/>
      <c r="I77" s="3"/>
      <c r="J77" s="246" t="s">
        <v>167</v>
      </c>
      <c r="K77" s="133">
        <f ca="1">K75*K76-VLOOKUP(K76,t!$M$13:$N$19,2,0)</f>
        <v>0</v>
      </c>
      <c r="L77" s="133">
        <f ca="1">L75*L76-VLOOKUP(L76,t!$M$13:$N$19,2,0)</f>
        <v>0</v>
      </c>
      <c r="M77" s="133">
        <f ca="1">M75*M76-VLOOKUP(M76,t!$M$13:$N$19,2,0)</f>
        <v>0</v>
      </c>
      <c r="N77" s="133">
        <f ca="1">N75*N76-VLOOKUP(N76,t!$M$13:$N$19,2,0)</f>
        <v>0</v>
      </c>
      <c r="O77" s="3"/>
      <c r="P77" s="3"/>
      <c r="Q77" s="3"/>
      <c r="S77" s="246" t="s">
        <v>167</v>
      </c>
      <c r="T77" s="133">
        <f ca="1">T75*T76-VLOOKUP(T76,t!$M$22:$N$29,2,0)</f>
        <v>0</v>
      </c>
      <c r="U77" s="133">
        <f ca="1">U75*U76-VLOOKUP(U76,t!$M$22:$N$29,2,0)</f>
        <v>0</v>
      </c>
      <c r="V77" s="133">
        <f ca="1">V75*V76-VLOOKUP(V76,t!$M$22:$N$29,2,0)</f>
        <v>0</v>
      </c>
      <c r="W77" s="133">
        <f ca="1">W75*W76-VLOOKUP(W76,t!$M$22:$N$29,2,0)</f>
        <v>0</v>
      </c>
      <c r="X77" s="3"/>
      <c r="Y77" s="3"/>
      <c r="Z77" s="3"/>
      <c r="AB77" s="246" t="s">
        <v>167</v>
      </c>
      <c r="AC77" s="133">
        <f ca="1">AC75*AC76-VLOOKUP(AC76,t!$M$22:$N$29,2,0)</f>
        <v>0</v>
      </c>
      <c r="AD77" s="133">
        <f ca="1">AD75*AD76-VLOOKUP(AD76,t!$M$22:$N$29,2,0)</f>
        <v>0</v>
      </c>
      <c r="AE77" s="133">
        <f ca="1">AE75*AE76-VLOOKUP(AE76,t!$M$22:$N$29,2,0)</f>
        <v>0</v>
      </c>
      <c r="AF77" s="133">
        <f ca="1">AF75*AF76-VLOOKUP(AF76,t!$M$22:$N$29,2,0)</f>
        <v>0</v>
      </c>
      <c r="AG77" s="3"/>
      <c r="AH77" s="3"/>
      <c r="AI77" s="3"/>
      <c r="AK77" s="246" t="s">
        <v>167</v>
      </c>
      <c r="AL77" s="133">
        <f ca="1">AL75*AL76-VLOOKUP(AL76,t!$M$22:$N$29,2,0)</f>
        <v>0</v>
      </c>
      <c r="AM77" s="133">
        <f ca="1">AM75*AM76-VLOOKUP(AM76,t!$M$22:$N$29,2,0)</f>
        <v>0</v>
      </c>
      <c r="AN77" s="133">
        <f ca="1">AN75*AN76-VLOOKUP(AN76,t!$M$22:$N$29,2,0)</f>
        <v>0</v>
      </c>
      <c r="AO77" s="133">
        <f ca="1">AO75*AO76-VLOOKUP(AO76,t!$M$22:$N$29,2,0)</f>
        <v>0</v>
      </c>
      <c r="AP77" s="3"/>
      <c r="AQ77" s="3"/>
      <c r="AR77" s="3"/>
    </row>
    <row r="78" spans="1:44" ht="16.5" customHeight="1">
      <c r="A78" s="194" t="s">
        <v>168</v>
      </c>
      <c r="B78" s="103">
        <f ca="1">F46*(B75*60%*$F$14)/$F$15</f>
        <v>0</v>
      </c>
      <c r="C78" s="93"/>
      <c r="D78" s="94"/>
      <c r="E78" s="94"/>
      <c r="F78" s="3"/>
      <c r="G78" s="3"/>
      <c r="H78" s="3"/>
      <c r="I78" s="3"/>
      <c r="J78" s="246" t="s">
        <v>168</v>
      </c>
      <c r="K78" s="103">
        <f ca="1">$O$16*(K75*60%*$O$14)/$O$15</f>
        <v>0</v>
      </c>
      <c r="L78" s="103">
        <f ca="1">$O$16*(L75*60%*$O$14)/$O$15</f>
        <v>0</v>
      </c>
      <c r="M78" s="103">
        <f ca="1">$O$16*(M75*60%*$O$14)/$O$15</f>
        <v>0</v>
      </c>
      <c r="N78" s="103">
        <f ca="1">$O$16*(N75*60%*$O$14)/$O$15</f>
        <v>0</v>
      </c>
      <c r="O78" s="3"/>
      <c r="P78" s="3"/>
      <c r="Q78" s="3"/>
      <c r="S78" s="246" t="s">
        <v>168</v>
      </c>
      <c r="T78" s="103">
        <f ca="1">$X$16*(T75*60%*$X$14)/$X$15</f>
        <v>0</v>
      </c>
      <c r="U78" s="103">
        <f t="shared" ref="U78:W78" ca="1" si="147">$X$16*(U75*60%*$X$14)/$X$15</f>
        <v>0</v>
      </c>
      <c r="V78" s="103">
        <f t="shared" ca="1" si="147"/>
        <v>0</v>
      </c>
      <c r="W78" s="103">
        <f t="shared" ca="1" si="147"/>
        <v>0</v>
      </c>
      <c r="X78" s="3"/>
      <c r="Y78" s="3"/>
      <c r="Z78" s="3"/>
      <c r="AB78" s="246" t="s">
        <v>168</v>
      </c>
      <c r="AC78" s="103">
        <f ca="1">$AG$16*(AC75*60%*$AG$14)/$AG$15</f>
        <v>0</v>
      </c>
      <c r="AD78" s="103">
        <f t="shared" ref="AD78:AF78" ca="1" si="148">$AG$16*(AD75*60%*$AG$14)/$AG$15</f>
        <v>0</v>
      </c>
      <c r="AE78" s="103">
        <f t="shared" ca="1" si="148"/>
        <v>0</v>
      </c>
      <c r="AF78" s="103">
        <f t="shared" ca="1" si="148"/>
        <v>0</v>
      </c>
      <c r="AG78" s="3"/>
      <c r="AH78" s="3"/>
      <c r="AI78" s="3"/>
      <c r="AK78" s="246" t="s">
        <v>168</v>
      </c>
      <c r="AL78" s="103">
        <f ca="1">$AP$16*(AL75*60%*$AP$14)/$AP$15</f>
        <v>0</v>
      </c>
      <c r="AM78" s="103">
        <f ca="1">$AP$16*(AM75*60%*$AP$14)/$AP$15</f>
        <v>0</v>
      </c>
      <c r="AN78" s="103">
        <f ca="1">$AP$16*(AN75*60%*$AP$14)/$AP$15</f>
        <v>0</v>
      </c>
      <c r="AO78" s="103">
        <f ca="1">$AP$16*(AO75*60%*$AP$14)/$AP$15</f>
        <v>0</v>
      </c>
      <c r="AP78" s="3"/>
      <c r="AQ78" s="3"/>
      <c r="AR78" s="3"/>
    </row>
    <row r="79" spans="1:44" ht="16.5" customHeight="1">
      <c r="A79" s="194" t="s">
        <v>64</v>
      </c>
      <c r="B79" s="15">
        <f ca="1">B77-B78</f>
        <v>-11000000</v>
      </c>
      <c r="C79" s="15"/>
      <c r="D79" s="3"/>
      <c r="E79" s="3"/>
      <c r="F79" s="3"/>
      <c r="G79" s="3"/>
      <c r="H79" s="3"/>
      <c r="I79" s="3"/>
      <c r="J79" s="246" t="s">
        <v>64</v>
      </c>
      <c r="K79" s="133">
        <f t="shared" ref="K79:N79" ca="1" si="149">IF(K77-K78&lt;0,0,K77-K78)</f>
        <v>0</v>
      </c>
      <c r="L79" s="133">
        <f t="shared" ca="1" si="149"/>
        <v>0</v>
      </c>
      <c r="M79" s="133">
        <f t="shared" ca="1" si="149"/>
        <v>0</v>
      </c>
      <c r="N79" s="133">
        <f t="shared" ca="1" si="149"/>
        <v>0</v>
      </c>
      <c r="O79" s="3"/>
      <c r="P79" s="3"/>
      <c r="Q79" s="3"/>
      <c r="S79" s="246" t="s">
        <v>64</v>
      </c>
      <c r="T79" s="133">
        <f t="shared" ref="T79:W79" ca="1" si="150">IF(T77-T78&lt;0,0,T77-T78)</f>
        <v>0</v>
      </c>
      <c r="U79" s="133">
        <f t="shared" ca="1" si="150"/>
        <v>0</v>
      </c>
      <c r="V79" s="133">
        <f t="shared" ca="1" si="150"/>
        <v>0</v>
      </c>
      <c r="W79" s="133">
        <f t="shared" ca="1" si="150"/>
        <v>0</v>
      </c>
      <c r="X79" s="3"/>
      <c r="Y79" s="3"/>
      <c r="Z79" s="3"/>
      <c r="AB79" s="246" t="s">
        <v>64</v>
      </c>
      <c r="AC79" s="133">
        <f t="shared" ref="AC79:AF79" ca="1" si="151">IF(AC77-AC78&lt;0,0,AC77-AC78)</f>
        <v>0</v>
      </c>
      <c r="AD79" s="133">
        <f t="shared" ca="1" si="151"/>
        <v>0</v>
      </c>
      <c r="AE79" s="133">
        <f t="shared" ca="1" si="151"/>
        <v>0</v>
      </c>
      <c r="AF79" s="133">
        <f t="shared" ca="1" si="151"/>
        <v>0</v>
      </c>
      <c r="AG79" s="3"/>
      <c r="AH79" s="3"/>
      <c r="AI79" s="3"/>
      <c r="AK79" s="246" t="s">
        <v>64</v>
      </c>
      <c r="AL79" s="133">
        <f t="shared" ref="AL79:AO79" ca="1" si="152">IF(AL77-AL78&lt;0,0,AL77-AL78)</f>
        <v>0</v>
      </c>
      <c r="AM79" s="133">
        <f t="shared" ca="1" si="152"/>
        <v>0</v>
      </c>
      <c r="AN79" s="133">
        <f t="shared" ca="1" si="152"/>
        <v>0</v>
      </c>
      <c r="AO79" s="133">
        <f t="shared" ca="1" si="152"/>
        <v>0</v>
      </c>
      <c r="AP79" s="3"/>
      <c r="AQ79" s="3"/>
      <c r="AR79" s="3"/>
    </row>
    <row r="80" spans="1:44" ht="16.5" customHeight="1">
      <c r="A80" s="194" t="s">
        <v>268</v>
      </c>
      <c r="B80" s="17">
        <f>IF(B40="1세대1주택",MIN(80%,SUM(B68,B62)),0)</f>
        <v>0</v>
      </c>
      <c r="C80" s="15"/>
      <c r="D80" s="3"/>
      <c r="E80" s="3"/>
      <c r="F80" s="3"/>
      <c r="G80" s="3"/>
      <c r="H80" s="3"/>
      <c r="I80" s="3"/>
      <c r="J80" s="246" t="s">
        <v>268</v>
      </c>
      <c r="K80" s="121">
        <f>IF(K58="1세대1주택",MIN(80%,K62+MAX(K66,K68)),0)</f>
        <v>0</v>
      </c>
      <c r="L80" s="121">
        <f t="shared" ref="L80:N80" si="153">IF(L58="1세대1주택",MIN(80%,L62+MAX(L66,L68)),0)</f>
        <v>0</v>
      </c>
      <c r="M80" s="121">
        <f t="shared" si="153"/>
        <v>0</v>
      </c>
      <c r="N80" s="121">
        <f t="shared" si="153"/>
        <v>0</v>
      </c>
      <c r="O80" s="3"/>
      <c r="P80" s="3"/>
      <c r="Q80" s="3"/>
      <c r="S80" s="246" t="s">
        <v>268</v>
      </c>
      <c r="T80" s="121">
        <f>IF(T58="1세대1주택",MIN(80%,SUM(T66,T68)),0)</f>
        <v>0</v>
      </c>
      <c r="U80" s="121">
        <f t="shared" ref="U80:W80" si="154">IF(U58="1세대1주택",MIN(80%,SUM(U66,U68)),0)</f>
        <v>0</v>
      </c>
      <c r="V80" s="121">
        <f t="shared" si="154"/>
        <v>0</v>
      </c>
      <c r="W80" s="121">
        <f t="shared" si="154"/>
        <v>0</v>
      </c>
      <c r="X80" s="3"/>
      <c r="Y80" s="3"/>
      <c r="Z80" s="3"/>
      <c r="AB80" s="246" t="s">
        <v>268</v>
      </c>
      <c r="AC80" s="121">
        <f>IF(AC58="1세대1주택",MIN(80%,SUM(AC66,AC68)),0)</f>
        <v>0</v>
      </c>
      <c r="AD80" s="121">
        <f t="shared" ref="AD80:AF80" si="155">IF(AD58="1세대1주택",MIN(80%,SUM(AD66,AD68)),0)</f>
        <v>0</v>
      </c>
      <c r="AE80" s="121">
        <f t="shared" si="155"/>
        <v>0</v>
      </c>
      <c r="AF80" s="121">
        <f t="shared" si="155"/>
        <v>0</v>
      </c>
      <c r="AG80" s="3"/>
      <c r="AH80" s="3"/>
      <c r="AI80" s="3"/>
      <c r="AK80" s="246" t="s">
        <v>268</v>
      </c>
      <c r="AL80" s="121">
        <f>IF(AL58="1세대1주택",MIN(80%,SUM(AL66,AL68)),0)</f>
        <v>0</v>
      </c>
      <c r="AM80" s="121">
        <f t="shared" ref="AM80:AO80" si="156">IF(AM58="1세대1주택",MIN(80%,SUM(AM66,AM68)),0)</f>
        <v>0</v>
      </c>
      <c r="AN80" s="121">
        <f t="shared" si="156"/>
        <v>0</v>
      </c>
      <c r="AO80" s="121">
        <f t="shared" si="156"/>
        <v>0</v>
      </c>
      <c r="AP80" s="3"/>
      <c r="AQ80" s="3"/>
      <c r="AR80" s="3"/>
    </row>
    <row r="81" spans="1:44" ht="16.5" customHeight="1">
      <c r="A81" s="194" t="s">
        <v>271</v>
      </c>
      <c r="B81" s="15">
        <f ca="1">B79*(1-B80)</f>
        <v>-11000000</v>
      </c>
      <c r="D81" s="3"/>
      <c r="E81" s="3"/>
      <c r="F81" s="3"/>
      <c r="G81" s="3"/>
      <c r="H81" s="3"/>
      <c r="I81" s="3"/>
      <c r="J81" s="246" t="s">
        <v>271</v>
      </c>
      <c r="K81" s="133">
        <f ca="1">K79*(1-K80)</f>
        <v>0</v>
      </c>
      <c r="L81" s="133">
        <f t="shared" ref="L81:N81" ca="1" si="157">L79*(1-L80)</f>
        <v>0</v>
      </c>
      <c r="M81" s="133">
        <f t="shared" ca="1" si="157"/>
        <v>0</v>
      </c>
      <c r="N81" s="133">
        <f t="shared" ca="1" si="157"/>
        <v>0</v>
      </c>
      <c r="O81" s="3"/>
      <c r="P81" s="3"/>
      <c r="Q81" s="3"/>
      <c r="S81" s="246" t="s">
        <v>271</v>
      </c>
      <c r="T81" s="133">
        <f ca="1">T79*(1-T80)</f>
        <v>0</v>
      </c>
      <c r="U81" s="133">
        <f t="shared" ref="U81:W81" ca="1" si="158">U79*(1-U80)</f>
        <v>0</v>
      </c>
      <c r="V81" s="133">
        <f t="shared" ca="1" si="158"/>
        <v>0</v>
      </c>
      <c r="W81" s="133">
        <f t="shared" ca="1" si="158"/>
        <v>0</v>
      </c>
      <c r="X81" s="3"/>
      <c r="Y81" s="3"/>
      <c r="Z81" s="3"/>
      <c r="AB81" s="246" t="s">
        <v>271</v>
      </c>
      <c r="AC81" s="133">
        <f ca="1">AC79*(1-AC80)</f>
        <v>0</v>
      </c>
      <c r="AD81" s="133">
        <f t="shared" ref="AD81:AF81" ca="1" si="159">AD79*(1-AD80)</f>
        <v>0</v>
      </c>
      <c r="AE81" s="133">
        <f t="shared" ca="1" si="159"/>
        <v>0</v>
      </c>
      <c r="AF81" s="133">
        <f t="shared" ca="1" si="159"/>
        <v>0</v>
      </c>
      <c r="AG81" s="3"/>
      <c r="AH81" s="3"/>
      <c r="AI81" s="3"/>
      <c r="AK81" s="246" t="s">
        <v>271</v>
      </c>
      <c r="AL81" s="133">
        <f ca="1">AL79*(1-AL80)</f>
        <v>0</v>
      </c>
      <c r="AM81" s="133">
        <f t="shared" ref="AM81:AO81" ca="1" si="160">AM79*(1-AM80)</f>
        <v>0</v>
      </c>
      <c r="AN81" s="133">
        <f t="shared" ca="1" si="160"/>
        <v>0</v>
      </c>
      <c r="AO81" s="133">
        <f t="shared" ca="1" si="160"/>
        <v>0</v>
      </c>
      <c r="AP81" s="3"/>
      <c r="AQ81" s="3"/>
      <c r="AR81" s="3"/>
    </row>
    <row r="82" spans="1:44" ht="16.5" customHeight="1" thickBot="1">
      <c r="A82" s="194" t="s">
        <v>169</v>
      </c>
      <c r="B82" s="15">
        <f ca="1">IF(B81&gt;$F$26,$F$26-B81,0)</f>
        <v>0</v>
      </c>
      <c r="C82" s="15"/>
      <c r="D82" s="15"/>
      <c r="E82" s="3"/>
      <c r="F82" s="3"/>
      <c r="G82" s="3"/>
      <c r="H82" s="3"/>
      <c r="I82" s="3"/>
      <c r="J82" s="254" t="s">
        <v>169</v>
      </c>
      <c r="K82" s="107">
        <f ca="1">IF(K81&gt;$O$26,$O$26-K81,0)</f>
        <v>0</v>
      </c>
      <c r="L82" s="107">
        <f t="shared" ref="L82:N82" ca="1" si="161">IF(L81&gt;$O$26,$O$26-L81,0)</f>
        <v>0</v>
      </c>
      <c r="M82" s="107">
        <f t="shared" ca="1" si="161"/>
        <v>0</v>
      </c>
      <c r="N82" s="107">
        <f t="shared" ca="1" si="161"/>
        <v>0</v>
      </c>
      <c r="O82" s="3"/>
      <c r="P82" s="3"/>
      <c r="Q82" s="3"/>
      <c r="S82" s="254" t="s">
        <v>169</v>
      </c>
      <c r="T82" s="107">
        <f ca="1">IF(T81&gt;$X$26,$X$26-T81,0)</f>
        <v>0</v>
      </c>
      <c r="U82" s="107">
        <f t="shared" ref="U82:W82" ca="1" si="162">IF(U81&gt;$X$26,$X$26-U81,0)</f>
        <v>0</v>
      </c>
      <c r="V82" s="107">
        <f t="shared" ca="1" si="162"/>
        <v>0</v>
      </c>
      <c r="W82" s="107">
        <f t="shared" ca="1" si="162"/>
        <v>0</v>
      </c>
      <c r="X82" s="3"/>
      <c r="Y82" s="3"/>
      <c r="Z82" s="3"/>
      <c r="AB82" s="254" t="s">
        <v>169</v>
      </c>
      <c r="AC82" s="107">
        <f ca="1">IF(AC81&gt;$AG$26,$AG$26-AC81,0)</f>
        <v>0</v>
      </c>
      <c r="AD82" s="107">
        <f t="shared" ref="AD82:AF82" ca="1" si="163">IF(AD81&gt;$AG$26,$AG$26-AD81,0)</f>
        <v>0</v>
      </c>
      <c r="AE82" s="107">
        <f t="shared" ca="1" si="163"/>
        <v>0</v>
      </c>
      <c r="AF82" s="107">
        <f t="shared" ca="1" si="163"/>
        <v>0</v>
      </c>
      <c r="AG82" s="3"/>
      <c r="AH82" s="3"/>
      <c r="AI82" s="3"/>
      <c r="AK82" s="254" t="s">
        <v>169</v>
      </c>
      <c r="AL82" s="107">
        <f ca="1">IF(AL81&gt;$AP$26,$AP$26-AL81,0)</f>
        <v>0</v>
      </c>
      <c r="AM82" s="107">
        <f t="shared" ref="AM82:AO82" ca="1" si="164">IF(AM81&gt;$AP$26,$AP$26-AM81,0)</f>
        <v>0</v>
      </c>
      <c r="AN82" s="107">
        <f t="shared" ca="1" si="164"/>
        <v>0</v>
      </c>
      <c r="AO82" s="107">
        <f t="shared" ca="1" si="164"/>
        <v>0</v>
      </c>
      <c r="AP82" s="3"/>
      <c r="AQ82" s="3"/>
      <c r="AR82" s="3"/>
    </row>
    <row r="83" spans="1:44" ht="16.5" customHeight="1" thickBot="1">
      <c r="A83" s="206" t="s">
        <v>171</v>
      </c>
      <c r="B83" s="95">
        <f ca="1">B79-B82</f>
        <v>-11000000</v>
      </c>
      <c r="C83" s="15"/>
      <c r="D83" s="3"/>
      <c r="E83" s="3"/>
      <c r="F83" s="3"/>
      <c r="G83" s="3"/>
      <c r="H83" s="3"/>
      <c r="I83" s="3"/>
      <c r="J83" s="251" t="s">
        <v>171</v>
      </c>
      <c r="K83" s="252">
        <f ca="1">K79-K82</f>
        <v>0</v>
      </c>
      <c r="L83" s="252">
        <f t="shared" ref="L83:N83" ca="1" si="165">L79-L82</f>
        <v>0</v>
      </c>
      <c r="M83" s="252">
        <f t="shared" ca="1" si="165"/>
        <v>0</v>
      </c>
      <c r="N83" s="252">
        <f t="shared" ca="1" si="165"/>
        <v>0</v>
      </c>
      <c r="O83" s="3"/>
      <c r="P83" s="3"/>
      <c r="Q83" s="3"/>
      <c r="S83" s="251" t="s">
        <v>171</v>
      </c>
      <c r="T83" s="252">
        <f ca="1">T79-T82</f>
        <v>0</v>
      </c>
      <c r="U83" s="252">
        <f t="shared" ref="U83:W83" ca="1" si="166">U79-U82</f>
        <v>0</v>
      </c>
      <c r="V83" s="252">
        <f t="shared" ca="1" si="166"/>
        <v>0</v>
      </c>
      <c r="W83" s="252">
        <f t="shared" ca="1" si="166"/>
        <v>0</v>
      </c>
      <c r="X83" s="3"/>
      <c r="Y83" s="3"/>
      <c r="Z83" s="3"/>
      <c r="AB83" s="251" t="s">
        <v>171</v>
      </c>
      <c r="AC83" s="252">
        <f ca="1">AC79-AC82</f>
        <v>0</v>
      </c>
      <c r="AD83" s="252">
        <f t="shared" ref="AD83:AF83" ca="1" si="167">AD79-AD82</f>
        <v>0</v>
      </c>
      <c r="AE83" s="252">
        <f t="shared" ca="1" si="167"/>
        <v>0</v>
      </c>
      <c r="AF83" s="252">
        <f t="shared" ca="1" si="167"/>
        <v>0</v>
      </c>
      <c r="AG83" s="3"/>
      <c r="AH83" s="3"/>
      <c r="AI83" s="3"/>
      <c r="AK83" s="251" t="s">
        <v>171</v>
      </c>
      <c r="AL83" s="252">
        <f ca="1">AL79-AL82</f>
        <v>0</v>
      </c>
      <c r="AM83" s="252">
        <f t="shared" ref="AM83:AO83" ca="1" si="168">AM79-AM82</f>
        <v>0</v>
      </c>
      <c r="AN83" s="252">
        <f t="shared" ca="1" si="168"/>
        <v>0</v>
      </c>
      <c r="AO83" s="252">
        <f t="shared" ca="1" si="168"/>
        <v>0</v>
      </c>
      <c r="AP83" s="3"/>
      <c r="AQ83" s="3"/>
      <c r="AR83" s="3"/>
    </row>
    <row r="84" spans="1:44" ht="16.5" customHeight="1" thickBot="1">
      <c r="A84" s="194" t="s">
        <v>54</v>
      </c>
      <c r="B84" s="15">
        <f ca="1">B83*0.2</f>
        <v>-2200000</v>
      </c>
      <c r="C84" s="3"/>
      <c r="D84" s="3"/>
      <c r="E84" s="3"/>
      <c r="F84" s="3"/>
      <c r="G84" s="3"/>
      <c r="H84" s="3"/>
      <c r="I84" s="3"/>
      <c r="J84" s="254" t="s">
        <v>54</v>
      </c>
      <c r="K84" s="255">
        <f t="shared" ref="K84:N84" ca="1" si="169">K83*0.2</f>
        <v>0</v>
      </c>
      <c r="L84" s="255">
        <f t="shared" ca="1" si="169"/>
        <v>0</v>
      </c>
      <c r="M84" s="255">
        <f t="shared" ca="1" si="169"/>
        <v>0</v>
      </c>
      <c r="N84" s="255">
        <f t="shared" ca="1" si="169"/>
        <v>0</v>
      </c>
      <c r="O84" s="3"/>
      <c r="P84" s="3"/>
      <c r="Q84" s="3"/>
      <c r="S84" s="254" t="s">
        <v>54</v>
      </c>
      <c r="T84" s="255">
        <f t="shared" ref="T84:W84" ca="1" si="170">T83*0.2</f>
        <v>0</v>
      </c>
      <c r="U84" s="255">
        <f t="shared" ca="1" si="170"/>
        <v>0</v>
      </c>
      <c r="V84" s="255">
        <f t="shared" ca="1" si="170"/>
        <v>0</v>
      </c>
      <c r="W84" s="255">
        <f t="shared" ca="1" si="170"/>
        <v>0</v>
      </c>
      <c r="X84" s="3"/>
      <c r="Y84" s="3"/>
      <c r="Z84" s="3"/>
      <c r="AB84" s="254" t="s">
        <v>54</v>
      </c>
      <c r="AC84" s="255">
        <f t="shared" ref="AC84:AF84" ca="1" si="171">AC83*0.2</f>
        <v>0</v>
      </c>
      <c r="AD84" s="255">
        <f t="shared" ca="1" si="171"/>
        <v>0</v>
      </c>
      <c r="AE84" s="255">
        <f t="shared" ca="1" si="171"/>
        <v>0</v>
      </c>
      <c r="AF84" s="255">
        <f t="shared" ca="1" si="171"/>
        <v>0</v>
      </c>
      <c r="AG84" s="3"/>
      <c r="AH84" s="3"/>
      <c r="AI84" s="3"/>
      <c r="AK84" s="254" t="s">
        <v>54</v>
      </c>
      <c r="AL84" s="255">
        <f t="shared" ref="AL84:AO84" ca="1" si="172">AL83*0.2</f>
        <v>0</v>
      </c>
      <c r="AM84" s="255">
        <f t="shared" ca="1" si="172"/>
        <v>0</v>
      </c>
      <c r="AN84" s="255">
        <f t="shared" ca="1" si="172"/>
        <v>0</v>
      </c>
      <c r="AO84" s="255">
        <f t="shared" ca="1" si="172"/>
        <v>0</v>
      </c>
      <c r="AP84" s="3"/>
      <c r="AQ84" s="3"/>
      <c r="AR84" s="3"/>
    </row>
    <row r="85" spans="1:44" ht="16.5" customHeight="1" thickBot="1">
      <c r="A85" s="206" t="s">
        <v>172</v>
      </c>
      <c r="B85" s="143">
        <f ca="1">SUM(B83:B84)</f>
        <v>-13200000</v>
      </c>
      <c r="C85" s="3"/>
      <c r="D85" s="3"/>
      <c r="E85" s="3"/>
      <c r="F85" s="3"/>
      <c r="G85" s="3"/>
      <c r="H85" s="3"/>
      <c r="I85" s="3"/>
      <c r="J85" s="251" t="s">
        <v>172</v>
      </c>
      <c r="K85" s="252">
        <f t="shared" ref="K85:N85" ca="1" si="173">SUM(K83:K84)</f>
        <v>0</v>
      </c>
      <c r="L85" s="252">
        <f t="shared" ca="1" si="173"/>
        <v>0</v>
      </c>
      <c r="M85" s="252">
        <f t="shared" ca="1" si="173"/>
        <v>0</v>
      </c>
      <c r="N85" s="252">
        <f t="shared" ca="1" si="173"/>
        <v>0</v>
      </c>
      <c r="O85" s="3"/>
      <c r="P85" s="3"/>
      <c r="Q85" s="3"/>
      <c r="S85" s="251" t="s">
        <v>172</v>
      </c>
      <c r="T85" s="252">
        <f t="shared" ref="T85:W85" ca="1" si="174">SUM(T83:T84)</f>
        <v>0</v>
      </c>
      <c r="U85" s="252">
        <f t="shared" ca="1" si="174"/>
        <v>0</v>
      </c>
      <c r="V85" s="252">
        <f t="shared" ca="1" si="174"/>
        <v>0</v>
      </c>
      <c r="W85" s="252">
        <f t="shared" ca="1" si="174"/>
        <v>0</v>
      </c>
      <c r="X85" s="3"/>
      <c r="Y85" s="3"/>
      <c r="Z85" s="3"/>
      <c r="AB85" s="251" t="s">
        <v>172</v>
      </c>
      <c r="AC85" s="252">
        <f t="shared" ref="AC85:AF85" ca="1" si="175">SUM(AC83:AC84)</f>
        <v>0</v>
      </c>
      <c r="AD85" s="252">
        <f t="shared" ca="1" si="175"/>
        <v>0</v>
      </c>
      <c r="AE85" s="252">
        <f t="shared" ca="1" si="175"/>
        <v>0</v>
      </c>
      <c r="AF85" s="252">
        <f t="shared" ca="1" si="175"/>
        <v>0</v>
      </c>
      <c r="AG85" s="3"/>
      <c r="AH85" s="3"/>
      <c r="AI85" s="3"/>
      <c r="AK85" s="251" t="s">
        <v>172</v>
      </c>
      <c r="AL85" s="252">
        <f t="shared" ref="AL85:AO85" ca="1" si="176">SUM(AL83:AL84)</f>
        <v>0</v>
      </c>
      <c r="AM85" s="252">
        <f t="shared" ca="1" si="176"/>
        <v>0</v>
      </c>
      <c r="AN85" s="252">
        <f t="shared" ca="1" si="176"/>
        <v>0</v>
      </c>
      <c r="AO85" s="252">
        <f t="shared" ca="1" si="176"/>
        <v>0</v>
      </c>
      <c r="AP85" s="3"/>
      <c r="AQ85" s="3"/>
      <c r="AR85" s="3"/>
    </row>
    <row r="86" spans="1:44" ht="16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S86" s="3"/>
      <c r="T86" s="3"/>
      <c r="U86" s="3"/>
      <c r="V86" s="3"/>
      <c r="W86" s="3"/>
      <c r="X86" s="3"/>
      <c r="Y86" s="3"/>
      <c r="Z86" s="3"/>
      <c r="AB86" s="3"/>
      <c r="AC86" s="3"/>
      <c r="AD86" s="3"/>
      <c r="AE86" s="3"/>
      <c r="AF86" s="3"/>
      <c r="AG86" s="3"/>
      <c r="AH86" s="3"/>
      <c r="AI86" s="3"/>
      <c r="AK86" s="3"/>
      <c r="AL86" s="3"/>
      <c r="AM86" s="3"/>
      <c r="AN86" s="3"/>
      <c r="AO86" s="3"/>
      <c r="AP86" s="3"/>
      <c r="AQ86" s="3"/>
      <c r="AR86" s="3"/>
    </row>
    <row r="87" spans="1:44" ht="16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S87" s="3"/>
      <c r="T87" s="3"/>
      <c r="U87" s="3"/>
      <c r="V87" s="3"/>
      <c r="W87" s="3"/>
      <c r="X87" s="3"/>
      <c r="Y87" s="3"/>
      <c r="Z87" s="3"/>
      <c r="AB87" s="3"/>
      <c r="AC87" s="3"/>
      <c r="AD87" s="3"/>
      <c r="AE87" s="3"/>
      <c r="AF87" s="3"/>
      <c r="AG87" s="3"/>
      <c r="AH87" s="3"/>
      <c r="AI87" s="3"/>
      <c r="AK87" s="3"/>
      <c r="AL87" s="3"/>
      <c r="AM87" s="3"/>
      <c r="AN87" s="3"/>
      <c r="AO87" s="3"/>
      <c r="AP87" s="3"/>
      <c r="AQ87" s="3"/>
      <c r="AR87" s="3"/>
    </row>
    <row r="88" spans="1:44" ht="16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S88" s="3"/>
      <c r="T88" s="3"/>
      <c r="U88" s="3"/>
      <c r="V88" s="3"/>
      <c r="W88" s="3"/>
      <c r="X88" s="3"/>
      <c r="Y88" s="3"/>
      <c r="Z88" s="3"/>
      <c r="AB88" s="3"/>
      <c r="AC88" s="3"/>
      <c r="AD88" s="3"/>
      <c r="AE88" s="3"/>
      <c r="AF88" s="3"/>
      <c r="AG88" s="3"/>
      <c r="AH88" s="3"/>
      <c r="AI88" s="3"/>
      <c r="AK88" s="3"/>
      <c r="AL88" s="3"/>
      <c r="AM88" s="3"/>
      <c r="AN88" s="3"/>
      <c r="AO88" s="3"/>
      <c r="AP88" s="3"/>
      <c r="AQ88" s="3"/>
      <c r="AR88" s="3"/>
    </row>
    <row r="89" spans="1:44" ht="16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S89" s="3"/>
      <c r="T89" s="3"/>
      <c r="U89" s="3"/>
      <c r="V89" s="3"/>
      <c r="W89" s="3"/>
      <c r="X89" s="3"/>
      <c r="Y89" s="3"/>
      <c r="Z89" s="3"/>
      <c r="AB89" s="3"/>
      <c r="AC89" s="3"/>
      <c r="AD89" s="3"/>
      <c r="AE89" s="3"/>
      <c r="AF89" s="3"/>
      <c r="AG89" s="3"/>
      <c r="AH89" s="3"/>
      <c r="AI89" s="3"/>
      <c r="AK89" s="3"/>
      <c r="AL89" s="3"/>
      <c r="AM89" s="3"/>
      <c r="AN89" s="3"/>
      <c r="AO89" s="3"/>
      <c r="AP89" s="3"/>
      <c r="AQ89" s="3"/>
      <c r="AR89" s="3"/>
    </row>
    <row r="90" spans="1:44" ht="16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S90" s="3"/>
      <c r="T90" s="3"/>
      <c r="U90" s="3"/>
      <c r="V90" s="3"/>
      <c r="W90" s="3"/>
      <c r="X90" s="3"/>
      <c r="Y90" s="3"/>
      <c r="Z90" s="3"/>
      <c r="AB90" s="3"/>
      <c r="AC90" s="3"/>
      <c r="AD90" s="3"/>
      <c r="AE90" s="3"/>
      <c r="AF90" s="3"/>
      <c r="AG90" s="3"/>
      <c r="AH90" s="3"/>
      <c r="AI90" s="3"/>
      <c r="AK90" s="3"/>
      <c r="AL90" s="3"/>
      <c r="AM90" s="3"/>
      <c r="AN90" s="3"/>
      <c r="AO90" s="3"/>
      <c r="AP90" s="3"/>
      <c r="AQ90" s="3"/>
      <c r="AR90" s="3"/>
    </row>
    <row r="91" spans="1:44" ht="16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S91" s="3"/>
      <c r="T91" s="3"/>
      <c r="U91" s="3"/>
      <c r="V91" s="3"/>
      <c r="W91" s="3"/>
      <c r="X91" s="3"/>
      <c r="Y91" s="3"/>
      <c r="Z91" s="3"/>
      <c r="AB91" s="3"/>
      <c r="AC91" s="3"/>
      <c r="AD91" s="3"/>
      <c r="AE91" s="3"/>
      <c r="AF91" s="3"/>
      <c r="AG91" s="3"/>
      <c r="AH91" s="3"/>
      <c r="AI91" s="3"/>
      <c r="AK91" s="3"/>
      <c r="AL91" s="3"/>
      <c r="AM91" s="3"/>
      <c r="AN91" s="3"/>
      <c r="AO91" s="3"/>
      <c r="AP91" s="3"/>
      <c r="AQ91" s="3"/>
      <c r="AR91" s="3"/>
    </row>
    <row r="92" spans="1:44" ht="16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S92" s="3"/>
      <c r="T92" s="3"/>
      <c r="U92" s="3"/>
      <c r="V92" s="3"/>
      <c r="W92" s="3"/>
      <c r="X92" s="3"/>
      <c r="Y92" s="3"/>
      <c r="Z92" s="3"/>
      <c r="AB92" s="3"/>
      <c r="AC92" s="3"/>
      <c r="AD92" s="3"/>
      <c r="AE92" s="3"/>
      <c r="AF92" s="3"/>
      <c r="AG92" s="3"/>
      <c r="AH92" s="3"/>
      <c r="AI92" s="3"/>
      <c r="AK92" s="3"/>
      <c r="AL92" s="3"/>
      <c r="AM92" s="3"/>
      <c r="AN92" s="3"/>
      <c r="AO92" s="3"/>
      <c r="AP92" s="3"/>
      <c r="AQ92" s="3"/>
      <c r="AR92" s="3"/>
    </row>
    <row r="93" spans="1:44" ht="16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S93" s="3"/>
      <c r="T93" s="3"/>
      <c r="U93" s="3"/>
      <c r="V93" s="3"/>
      <c r="W93" s="3"/>
      <c r="X93" s="3"/>
      <c r="Y93" s="3"/>
      <c r="Z93" s="3"/>
      <c r="AB93" s="3"/>
      <c r="AC93" s="3"/>
      <c r="AD93" s="3"/>
      <c r="AE93" s="3"/>
      <c r="AF93" s="3"/>
      <c r="AG93" s="3"/>
      <c r="AH93" s="3"/>
      <c r="AI93" s="3"/>
      <c r="AK93" s="3"/>
      <c r="AL93" s="3"/>
      <c r="AM93" s="3"/>
      <c r="AN93" s="3"/>
      <c r="AO93" s="3"/>
      <c r="AP93" s="3"/>
      <c r="AQ93" s="3"/>
      <c r="AR93" s="3"/>
    </row>
    <row r="94" spans="1:44" ht="16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S94" s="3"/>
      <c r="T94" s="3"/>
      <c r="U94" s="3"/>
      <c r="V94" s="3"/>
      <c r="W94" s="3"/>
      <c r="X94" s="3"/>
      <c r="Y94" s="3"/>
      <c r="Z94" s="3"/>
      <c r="AB94" s="3"/>
      <c r="AC94" s="3"/>
      <c r="AD94" s="3"/>
      <c r="AE94" s="3"/>
      <c r="AF94" s="3"/>
      <c r="AG94" s="3"/>
      <c r="AH94" s="3"/>
      <c r="AI94" s="3"/>
      <c r="AK94" s="3"/>
      <c r="AL94" s="3"/>
      <c r="AM94" s="3"/>
      <c r="AN94" s="3"/>
      <c r="AO94" s="3"/>
      <c r="AP94" s="3"/>
      <c r="AQ94" s="3"/>
      <c r="AR94" s="3"/>
    </row>
    <row r="95" spans="1:44" ht="16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S95" s="3"/>
      <c r="T95" s="3"/>
      <c r="U95" s="3"/>
      <c r="V95" s="3"/>
      <c r="W95" s="3"/>
      <c r="X95" s="3"/>
      <c r="Y95" s="3"/>
      <c r="Z95" s="3"/>
      <c r="AB95" s="3"/>
      <c r="AC95" s="3"/>
      <c r="AD95" s="3"/>
      <c r="AE95" s="3"/>
      <c r="AF95" s="3"/>
      <c r="AG95" s="3"/>
      <c r="AH95" s="3"/>
      <c r="AI95" s="3"/>
      <c r="AK95" s="3"/>
      <c r="AL95" s="3"/>
      <c r="AM95" s="3"/>
      <c r="AN95" s="3"/>
      <c r="AO95" s="3"/>
      <c r="AP95" s="3"/>
      <c r="AQ95" s="3"/>
      <c r="AR95" s="3"/>
    </row>
    <row r="96" spans="1:44" ht="16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S96" s="3"/>
      <c r="T96" s="3"/>
      <c r="U96" s="3"/>
      <c r="V96" s="3"/>
      <c r="W96" s="3"/>
      <c r="X96" s="3"/>
      <c r="Y96" s="3"/>
      <c r="Z96" s="3"/>
      <c r="AB96" s="3"/>
      <c r="AC96" s="3"/>
      <c r="AD96" s="3"/>
      <c r="AE96" s="3"/>
      <c r="AF96" s="3"/>
      <c r="AG96" s="3"/>
      <c r="AH96" s="3"/>
      <c r="AI96" s="3"/>
      <c r="AK96" s="3"/>
      <c r="AL96" s="3"/>
      <c r="AM96" s="3"/>
      <c r="AN96" s="3"/>
      <c r="AO96" s="3"/>
      <c r="AP96" s="3"/>
      <c r="AQ96" s="3"/>
      <c r="AR96" s="3"/>
    </row>
    <row r="97" spans="1:44" ht="16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S97" s="3"/>
      <c r="T97" s="3"/>
      <c r="U97" s="3"/>
      <c r="V97" s="3"/>
      <c r="W97" s="3"/>
      <c r="X97" s="3"/>
      <c r="Y97" s="3"/>
      <c r="Z97" s="3"/>
      <c r="AB97" s="3"/>
      <c r="AC97" s="3"/>
      <c r="AD97" s="3"/>
      <c r="AE97" s="3"/>
      <c r="AF97" s="3"/>
      <c r="AG97" s="3"/>
      <c r="AH97" s="3"/>
      <c r="AI97" s="3"/>
      <c r="AK97" s="3"/>
      <c r="AL97" s="3"/>
      <c r="AM97" s="3"/>
      <c r="AN97" s="3"/>
      <c r="AO97" s="3"/>
      <c r="AP97" s="3"/>
      <c r="AQ97" s="3"/>
      <c r="AR97" s="3"/>
    </row>
    <row r="98" spans="1:44" ht="16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S98" s="3"/>
      <c r="T98" s="3"/>
      <c r="U98" s="3"/>
      <c r="V98" s="3"/>
      <c r="W98" s="3"/>
      <c r="X98" s="3"/>
      <c r="Y98" s="3"/>
      <c r="Z98" s="3"/>
      <c r="AB98" s="3"/>
      <c r="AC98" s="3"/>
      <c r="AD98" s="3"/>
      <c r="AE98" s="3"/>
      <c r="AF98" s="3"/>
      <c r="AG98" s="3"/>
      <c r="AH98" s="3"/>
      <c r="AI98" s="3"/>
      <c r="AK98" s="3"/>
      <c r="AL98" s="3"/>
      <c r="AM98" s="3"/>
      <c r="AN98" s="3"/>
      <c r="AO98" s="3"/>
      <c r="AP98" s="3"/>
      <c r="AQ98" s="3"/>
      <c r="AR98" s="3"/>
    </row>
    <row r="99" spans="1:44" ht="16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S99" s="3"/>
      <c r="T99" s="3"/>
      <c r="U99" s="3"/>
      <c r="V99" s="3"/>
      <c r="W99" s="3"/>
      <c r="X99" s="3"/>
      <c r="Y99" s="3"/>
      <c r="Z99" s="3"/>
      <c r="AB99" s="3"/>
      <c r="AC99" s="3"/>
      <c r="AD99" s="3"/>
      <c r="AE99" s="3"/>
      <c r="AF99" s="3"/>
      <c r="AG99" s="3"/>
      <c r="AH99" s="3"/>
      <c r="AI99" s="3"/>
      <c r="AK99" s="3"/>
      <c r="AL99" s="3"/>
      <c r="AM99" s="3"/>
      <c r="AN99" s="3"/>
      <c r="AO99" s="3"/>
      <c r="AP99" s="3"/>
      <c r="AQ99" s="3"/>
      <c r="AR99" s="3"/>
    </row>
    <row r="100" spans="1:44" ht="16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S100" s="3"/>
      <c r="T100" s="3"/>
      <c r="U100" s="3"/>
      <c r="V100" s="3"/>
      <c r="W100" s="3"/>
      <c r="X100" s="3"/>
      <c r="Y100" s="3"/>
      <c r="Z100" s="3"/>
      <c r="AB100" s="3"/>
      <c r="AC100" s="3"/>
      <c r="AD100" s="3"/>
      <c r="AE100" s="3"/>
      <c r="AF100" s="3"/>
      <c r="AG100" s="3"/>
      <c r="AH100" s="3"/>
      <c r="AI100" s="3"/>
      <c r="AK100" s="3"/>
      <c r="AL100" s="3"/>
      <c r="AM100" s="3"/>
      <c r="AN100" s="3"/>
      <c r="AO100" s="3"/>
      <c r="AP100" s="3"/>
      <c r="AQ100" s="3"/>
      <c r="AR100" s="3"/>
    </row>
    <row r="101" spans="1:44" ht="16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S101" s="3"/>
      <c r="T101" s="3"/>
      <c r="U101" s="3"/>
      <c r="V101" s="3"/>
      <c r="W101" s="3"/>
      <c r="X101" s="3"/>
      <c r="Y101" s="3"/>
      <c r="Z101" s="3"/>
      <c r="AB101" s="3"/>
      <c r="AC101" s="3"/>
      <c r="AD101" s="3"/>
      <c r="AE101" s="3"/>
      <c r="AF101" s="3"/>
      <c r="AG101" s="3"/>
      <c r="AH101" s="3"/>
      <c r="AI101" s="3"/>
      <c r="AK101" s="3"/>
      <c r="AL101" s="3"/>
      <c r="AM101" s="3"/>
      <c r="AN101" s="3"/>
      <c r="AO101" s="3"/>
      <c r="AP101" s="3"/>
      <c r="AQ101" s="3"/>
      <c r="AR101" s="3"/>
    </row>
    <row r="102" spans="1:44" ht="16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S102" s="3"/>
      <c r="T102" s="3"/>
      <c r="U102" s="3"/>
      <c r="V102" s="3"/>
      <c r="W102" s="3"/>
      <c r="X102" s="3"/>
      <c r="Y102" s="3"/>
      <c r="Z102" s="3"/>
      <c r="AB102" s="3"/>
      <c r="AC102" s="3"/>
      <c r="AD102" s="3"/>
      <c r="AE102" s="3"/>
      <c r="AF102" s="3"/>
      <c r="AG102" s="3"/>
      <c r="AH102" s="3"/>
      <c r="AI102" s="3"/>
      <c r="AK102" s="3"/>
      <c r="AL102" s="3"/>
      <c r="AM102" s="3"/>
      <c r="AN102" s="3"/>
      <c r="AO102" s="3"/>
      <c r="AP102" s="3"/>
      <c r="AQ102" s="3"/>
      <c r="AR102" s="3"/>
    </row>
    <row r="103" spans="1:44" ht="16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S103" s="3"/>
      <c r="T103" s="3"/>
      <c r="U103" s="3"/>
      <c r="V103" s="3"/>
      <c r="W103" s="3"/>
      <c r="X103" s="3"/>
      <c r="Y103" s="3"/>
      <c r="Z103" s="3"/>
      <c r="AB103" s="3"/>
      <c r="AC103" s="3"/>
      <c r="AD103" s="3"/>
      <c r="AE103" s="3"/>
      <c r="AF103" s="3"/>
      <c r="AG103" s="3"/>
      <c r="AH103" s="3"/>
      <c r="AI103" s="3"/>
      <c r="AK103" s="3"/>
      <c r="AL103" s="3"/>
      <c r="AM103" s="3"/>
      <c r="AN103" s="3"/>
      <c r="AO103" s="3"/>
      <c r="AP103" s="3"/>
      <c r="AQ103" s="3"/>
      <c r="AR103" s="3"/>
    </row>
    <row r="104" spans="1:44" ht="16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S104" s="3"/>
      <c r="T104" s="3"/>
      <c r="U104" s="3"/>
      <c r="V104" s="3"/>
      <c r="W104" s="3"/>
      <c r="X104" s="3"/>
      <c r="Y104" s="3"/>
      <c r="Z104" s="3"/>
      <c r="AB104" s="3"/>
      <c r="AC104" s="3"/>
      <c r="AD104" s="3"/>
      <c r="AE104" s="3"/>
      <c r="AF104" s="3"/>
      <c r="AG104" s="3"/>
      <c r="AH104" s="3"/>
      <c r="AI104" s="3"/>
      <c r="AK104" s="3"/>
      <c r="AL104" s="3"/>
      <c r="AM104" s="3"/>
      <c r="AN104" s="3"/>
      <c r="AO104" s="3"/>
      <c r="AP104" s="3"/>
      <c r="AQ104" s="3"/>
      <c r="AR104" s="3"/>
    </row>
    <row r="105" spans="1:44" ht="16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S105" s="3"/>
      <c r="T105" s="3"/>
      <c r="U105" s="3"/>
      <c r="V105" s="3"/>
      <c r="W105" s="3"/>
      <c r="X105" s="3"/>
      <c r="Y105" s="3"/>
      <c r="Z105" s="3"/>
      <c r="AB105" s="3"/>
      <c r="AC105" s="3"/>
      <c r="AD105" s="3"/>
      <c r="AE105" s="3"/>
      <c r="AF105" s="3"/>
      <c r="AG105" s="3"/>
      <c r="AH105" s="3"/>
      <c r="AI105" s="3"/>
      <c r="AK105" s="3"/>
      <c r="AL105" s="3"/>
      <c r="AM105" s="3"/>
      <c r="AN105" s="3"/>
      <c r="AO105" s="3"/>
      <c r="AP105" s="3"/>
      <c r="AQ105" s="3"/>
      <c r="AR105" s="3"/>
    </row>
    <row r="106" spans="1:44" ht="16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S106" s="3"/>
      <c r="T106" s="3"/>
      <c r="U106" s="3"/>
      <c r="V106" s="3"/>
      <c r="W106" s="3"/>
      <c r="X106" s="3"/>
      <c r="Y106" s="3"/>
      <c r="Z106" s="3"/>
      <c r="AB106" s="3"/>
      <c r="AC106" s="3"/>
      <c r="AD106" s="3"/>
      <c r="AE106" s="3"/>
      <c r="AF106" s="3"/>
      <c r="AG106" s="3"/>
      <c r="AH106" s="3"/>
      <c r="AI106" s="3"/>
      <c r="AK106" s="3"/>
      <c r="AL106" s="3"/>
      <c r="AM106" s="3"/>
      <c r="AN106" s="3"/>
      <c r="AO106" s="3"/>
      <c r="AP106" s="3"/>
      <c r="AQ106" s="3"/>
      <c r="AR106" s="3"/>
    </row>
    <row r="107" spans="1:44" ht="16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S107" s="3"/>
      <c r="T107" s="3"/>
      <c r="U107" s="3"/>
      <c r="V107" s="3"/>
      <c r="W107" s="3"/>
      <c r="X107" s="3"/>
      <c r="Y107" s="3"/>
      <c r="Z107" s="3"/>
      <c r="AB107" s="3"/>
      <c r="AC107" s="3"/>
      <c r="AD107" s="3"/>
      <c r="AE107" s="3"/>
      <c r="AF107" s="3"/>
      <c r="AG107" s="3"/>
      <c r="AH107" s="3"/>
      <c r="AI107" s="3"/>
      <c r="AK107" s="3"/>
      <c r="AL107" s="3"/>
      <c r="AM107" s="3"/>
      <c r="AN107" s="3"/>
      <c r="AO107" s="3"/>
      <c r="AP107" s="3"/>
      <c r="AQ107" s="3"/>
      <c r="AR107" s="3"/>
    </row>
    <row r="108" spans="1:44" ht="16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S108" s="3"/>
      <c r="T108" s="3"/>
      <c r="U108" s="3"/>
      <c r="V108" s="3"/>
      <c r="W108" s="3"/>
      <c r="X108" s="3"/>
      <c r="Y108" s="3"/>
      <c r="Z108" s="3"/>
      <c r="AB108" s="3"/>
      <c r="AC108" s="3"/>
      <c r="AD108" s="3"/>
      <c r="AE108" s="3"/>
      <c r="AF108" s="3"/>
      <c r="AG108" s="3"/>
      <c r="AH108" s="3"/>
      <c r="AI108" s="3"/>
      <c r="AK108" s="3"/>
      <c r="AL108" s="3"/>
      <c r="AM108" s="3"/>
      <c r="AN108" s="3"/>
      <c r="AO108" s="3"/>
      <c r="AP108" s="3"/>
      <c r="AQ108" s="3"/>
      <c r="AR108" s="3"/>
    </row>
    <row r="109" spans="1:44" ht="16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S109" s="3"/>
      <c r="T109" s="3"/>
      <c r="U109" s="3"/>
      <c r="V109" s="3"/>
      <c r="W109" s="3"/>
      <c r="X109" s="3"/>
      <c r="Y109" s="3"/>
      <c r="Z109" s="3"/>
      <c r="AB109" s="3"/>
      <c r="AC109" s="3"/>
      <c r="AD109" s="3"/>
      <c r="AE109" s="3"/>
      <c r="AF109" s="3"/>
      <c r="AG109" s="3"/>
      <c r="AH109" s="3"/>
      <c r="AI109" s="3"/>
      <c r="AK109" s="3"/>
      <c r="AL109" s="3"/>
      <c r="AM109" s="3"/>
      <c r="AN109" s="3"/>
      <c r="AO109" s="3"/>
      <c r="AP109" s="3"/>
      <c r="AQ109" s="3"/>
      <c r="AR109" s="3"/>
    </row>
    <row r="110" spans="1:44" ht="16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S110" s="3"/>
      <c r="T110" s="3"/>
      <c r="U110" s="3"/>
      <c r="V110" s="3"/>
      <c r="W110" s="3"/>
      <c r="X110" s="3"/>
      <c r="Y110" s="3"/>
      <c r="Z110" s="3"/>
      <c r="AB110" s="3"/>
      <c r="AC110" s="3"/>
      <c r="AD110" s="3"/>
      <c r="AE110" s="3"/>
      <c r="AF110" s="3"/>
      <c r="AG110" s="3"/>
      <c r="AH110" s="3"/>
      <c r="AI110" s="3"/>
      <c r="AK110" s="3"/>
      <c r="AL110" s="3"/>
      <c r="AM110" s="3"/>
      <c r="AN110" s="3"/>
      <c r="AO110" s="3"/>
      <c r="AP110" s="3"/>
      <c r="AQ110" s="3"/>
      <c r="AR110" s="3"/>
    </row>
    <row r="111" spans="1:44" ht="16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S111" s="3"/>
      <c r="T111" s="3"/>
      <c r="U111" s="3"/>
      <c r="V111" s="3"/>
      <c r="W111" s="3"/>
      <c r="X111" s="3"/>
      <c r="Y111" s="3"/>
      <c r="Z111" s="3"/>
      <c r="AB111" s="3"/>
      <c r="AC111" s="3"/>
      <c r="AD111" s="3"/>
      <c r="AE111" s="3"/>
      <c r="AF111" s="3"/>
      <c r="AG111" s="3"/>
      <c r="AH111" s="3"/>
      <c r="AI111" s="3"/>
      <c r="AK111" s="3"/>
      <c r="AL111" s="3"/>
      <c r="AM111" s="3"/>
      <c r="AN111" s="3"/>
      <c r="AO111" s="3"/>
      <c r="AP111" s="3"/>
      <c r="AQ111" s="3"/>
      <c r="AR111" s="3"/>
    </row>
    <row r="112" spans="1:44" ht="16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S112" s="3"/>
      <c r="T112" s="3"/>
      <c r="U112" s="3"/>
      <c r="V112" s="3"/>
      <c r="W112" s="3"/>
      <c r="X112" s="3"/>
      <c r="Y112" s="3"/>
      <c r="Z112" s="3"/>
      <c r="AB112" s="3"/>
      <c r="AC112" s="3"/>
      <c r="AD112" s="3"/>
      <c r="AE112" s="3"/>
      <c r="AF112" s="3"/>
      <c r="AG112" s="3"/>
      <c r="AH112" s="3"/>
      <c r="AI112" s="3"/>
      <c r="AK112" s="3"/>
      <c r="AL112" s="3"/>
      <c r="AM112" s="3"/>
      <c r="AN112" s="3"/>
      <c r="AO112" s="3"/>
      <c r="AP112" s="3"/>
      <c r="AQ112" s="3"/>
      <c r="AR112" s="3"/>
    </row>
    <row r="113" spans="1:44" ht="16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S113" s="3"/>
      <c r="T113" s="3"/>
      <c r="U113" s="3"/>
      <c r="V113" s="3"/>
      <c r="W113" s="3"/>
      <c r="X113" s="3"/>
      <c r="Y113" s="3"/>
      <c r="Z113" s="3"/>
      <c r="AB113" s="3"/>
      <c r="AC113" s="3"/>
      <c r="AD113" s="3"/>
      <c r="AE113" s="3"/>
      <c r="AF113" s="3"/>
      <c r="AG113" s="3"/>
      <c r="AH113" s="3"/>
      <c r="AI113" s="3"/>
      <c r="AK113" s="3"/>
      <c r="AL113" s="3"/>
      <c r="AM113" s="3"/>
      <c r="AN113" s="3"/>
      <c r="AO113" s="3"/>
      <c r="AP113" s="3"/>
      <c r="AQ113" s="3"/>
      <c r="AR113" s="3"/>
    </row>
    <row r="114" spans="1:44" ht="16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S114" s="3"/>
      <c r="T114" s="3"/>
      <c r="U114" s="3"/>
      <c r="V114" s="3"/>
      <c r="W114" s="3"/>
      <c r="X114" s="3"/>
      <c r="Y114" s="3"/>
      <c r="Z114" s="3"/>
      <c r="AB114" s="3"/>
      <c r="AC114" s="3"/>
      <c r="AD114" s="3"/>
      <c r="AE114" s="3"/>
      <c r="AF114" s="3"/>
      <c r="AG114" s="3"/>
      <c r="AH114" s="3"/>
      <c r="AI114" s="3"/>
      <c r="AK114" s="3"/>
      <c r="AL114" s="3"/>
      <c r="AM114" s="3"/>
      <c r="AN114" s="3"/>
      <c r="AO114" s="3"/>
      <c r="AP114" s="3"/>
      <c r="AQ114" s="3"/>
      <c r="AR114" s="3"/>
    </row>
    <row r="115" spans="1:44" ht="16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S115" s="3"/>
      <c r="T115" s="3"/>
      <c r="U115" s="3"/>
      <c r="V115" s="3"/>
      <c r="W115" s="3"/>
      <c r="X115" s="3"/>
      <c r="Y115" s="3"/>
      <c r="Z115" s="3"/>
      <c r="AB115" s="3"/>
      <c r="AC115" s="3"/>
      <c r="AD115" s="3"/>
      <c r="AE115" s="3"/>
      <c r="AF115" s="3"/>
      <c r="AG115" s="3"/>
      <c r="AH115" s="3"/>
      <c r="AI115" s="3"/>
      <c r="AK115" s="3"/>
      <c r="AL115" s="3"/>
      <c r="AM115" s="3"/>
      <c r="AN115" s="3"/>
      <c r="AO115" s="3"/>
      <c r="AP115" s="3"/>
      <c r="AQ115" s="3"/>
      <c r="AR115" s="3"/>
    </row>
    <row r="116" spans="1:44" ht="16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S116" s="3"/>
      <c r="T116" s="3"/>
      <c r="U116" s="3"/>
      <c r="V116" s="3"/>
      <c r="W116" s="3"/>
      <c r="X116" s="3"/>
      <c r="Y116" s="3"/>
      <c r="Z116" s="3"/>
      <c r="AB116" s="3"/>
      <c r="AC116" s="3"/>
      <c r="AD116" s="3"/>
      <c r="AE116" s="3"/>
      <c r="AF116" s="3"/>
      <c r="AG116" s="3"/>
      <c r="AH116" s="3"/>
      <c r="AI116" s="3"/>
      <c r="AK116" s="3"/>
      <c r="AL116" s="3"/>
      <c r="AM116" s="3"/>
      <c r="AN116" s="3"/>
      <c r="AO116" s="3"/>
      <c r="AP116" s="3"/>
      <c r="AQ116" s="3"/>
      <c r="AR116" s="3"/>
    </row>
    <row r="117" spans="1:44" ht="16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S117" s="3"/>
      <c r="T117" s="3"/>
      <c r="U117" s="3"/>
      <c r="V117" s="3"/>
      <c r="W117" s="3"/>
      <c r="X117" s="3"/>
      <c r="Y117" s="3"/>
      <c r="Z117" s="3"/>
      <c r="AB117" s="3"/>
      <c r="AC117" s="3"/>
      <c r="AD117" s="3"/>
      <c r="AE117" s="3"/>
      <c r="AF117" s="3"/>
      <c r="AG117" s="3"/>
      <c r="AH117" s="3"/>
      <c r="AI117" s="3"/>
      <c r="AK117" s="3"/>
      <c r="AL117" s="3"/>
      <c r="AM117" s="3"/>
      <c r="AN117" s="3"/>
      <c r="AO117" s="3"/>
      <c r="AP117" s="3"/>
      <c r="AQ117" s="3"/>
      <c r="AR117" s="3"/>
    </row>
    <row r="118" spans="1:44" ht="16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S118" s="3"/>
      <c r="T118" s="3"/>
      <c r="U118" s="3"/>
      <c r="V118" s="3"/>
      <c r="W118" s="3"/>
      <c r="X118" s="3"/>
      <c r="Y118" s="3"/>
      <c r="Z118" s="3"/>
      <c r="AB118" s="3"/>
      <c r="AC118" s="3"/>
      <c r="AD118" s="3"/>
      <c r="AE118" s="3"/>
      <c r="AF118" s="3"/>
      <c r="AG118" s="3"/>
      <c r="AH118" s="3"/>
      <c r="AI118" s="3"/>
      <c r="AK118" s="3"/>
      <c r="AL118" s="3"/>
      <c r="AM118" s="3"/>
      <c r="AN118" s="3"/>
      <c r="AO118" s="3"/>
      <c r="AP118" s="3"/>
      <c r="AQ118" s="3"/>
      <c r="AR118" s="3"/>
    </row>
    <row r="119" spans="1:44" ht="16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S119" s="3"/>
      <c r="T119" s="3"/>
      <c r="U119" s="3"/>
      <c r="V119" s="3"/>
      <c r="W119" s="3"/>
      <c r="X119" s="3"/>
      <c r="Y119" s="3"/>
      <c r="Z119" s="3"/>
      <c r="AB119" s="3"/>
      <c r="AC119" s="3"/>
      <c r="AD119" s="3"/>
      <c r="AE119" s="3"/>
      <c r="AF119" s="3"/>
      <c r="AG119" s="3"/>
      <c r="AH119" s="3"/>
      <c r="AI119" s="3"/>
      <c r="AK119" s="3"/>
      <c r="AL119" s="3"/>
      <c r="AM119" s="3"/>
      <c r="AN119" s="3"/>
      <c r="AO119" s="3"/>
      <c r="AP119" s="3"/>
      <c r="AQ119" s="3"/>
      <c r="AR119" s="3"/>
    </row>
    <row r="120" spans="1:44" ht="16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S120" s="3"/>
      <c r="T120" s="3"/>
      <c r="U120" s="3"/>
      <c r="V120" s="3"/>
      <c r="W120" s="3"/>
      <c r="X120" s="3"/>
      <c r="Y120" s="3"/>
      <c r="Z120" s="3"/>
      <c r="AB120" s="3"/>
      <c r="AC120" s="3"/>
      <c r="AD120" s="3"/>
      <c r="AE120" s="3"/>
      <c r="AF120" s="3"/>
      <c r="AG120" s="3"/>
      <c r="AH120" s="3"/>
      <c r="AI120" s="3"/>
      <c r="AK120" s="3"/>
      <c r="AL120" s="3"/>
      <c r="AM120" s="3"/>
      <c r="AN120" s="3"/>
      <c r="AO120" s="3"/>
      <c r="AP120" s="3"/>
      <c r="AQ120" s="3"/>
      <c r="AR120" s="3"/>
    </row>
    <row r="121" spans="1:44" ht="16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S121" s="3"/>
      <c r="T121" s="3"/>
      <c r="U121" s="3"/>
      <c r="V121" s="3"/>
      <c r="W121" s="3"/>
      <c r="X121" s="3"/>
      <c r="Y121" s="3"/>
      <c r="Z121" s="3"/>
      <c r="AB121" s="3"/>
      <c r="AC121" s="3"/>
      <c r="AD121" s="3"/>
      <c r="AE121" s="3"/>
      <c r="AF121" s="3"/>
      <c r="AG121" s="3"/>
      <c r="AH121" s="3"/>
      <c r="AI121" s="3"/>
      <c r="AK121" s="3"/>
      <c r="AL121" s="3"/>
      <c r="AM121" s="3"/>
      <c r="AN121" s="3"/>
      <c r="AO121" s="3"/>
      <c r="AP121" s="3"/>
      <c r="AQ121" s="3"/>
      <c r="AR121" s="3"/>
    </row>
    <row r="122" spans="1:44" ht="16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S122" s="3"/>
      <c r="T122" s="3"/>
      <c r="U122" s="3"/>
      <c r="V122" s="3"/>
      <c r="W122" s="3"/>
      <c r="X122" s="3"/>
      <c r="Y122" s="3"/>
      <c r="Z122" s="3"/>
      <c r="AB122" s="3"/>
      <c r="AC122" s="3"/>
      <c r="AD122" s="3"/>
      <c r="AE122" s="3"/>
      <c r="AF122" s="3"/>
      <c r="AG122" s="3"/>
      <c r="AH122" s="3"/>
      <c r="AI122" s="3"/>
      <c r="AK122" s="3"/>
      <c r="AL122" s="3"/>
      <c r="AM122" s="3"/>
      <c r="AN122" s="3"/>
      <c r="AO122" s="3"/>
      <c r="AP122" s="3"/>
      <c r="AQ122" s="3"/>
      <c r="AR122" s="3"/>
    </row>
    <row r="123" spans="1:44" ht="16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S123" s="3"/>
      <c r="T123" s="3"/>
      <c r="U123" s="3"/>
      <c r="V123" s="3"/>
      <c r="W123" s="3"/>
      <c r="X123" s="3"/>
      <c r="Y123" s="3"/>
      <c r="Z123" s="3"/>
      <c r="AB123" s="3"/>
      <c r="AC123" s="3"/>
      <c r="AD123" s="3"/>
      <c r="AE123" s="3"/>
      <c r="AF123" s="3"/>
      <c r="AG123" s="3"/>
      <c r="AH123" s="3"/>
      <c r="AI123" s="3"/>
      <c r="AK123" s="3"/>
      <c r="AL123" s="3"/>
      <c r="AM123" s="3"/>
      <c r="AN123" s="3"/>
      <c r="AO123" s="3"/>
      <c r="AP123" s="3"/>
      <c r="AQ123" s="3"/>
      <c r="AR123" s="3"/>
    </row>
    <row r="124" spans="1:44" ht="16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S124" s="3"/>
      <c r="T124" s="3"/>
      <c r="U124" s="3"/>
      <c r="V124" s="3"/>
      <c r="W124" s="3"/>
      <c r="X124" s="3"/>
      <c r="Y124" s="3"/>
      <c r="Z124" s="3"/>
      <c r="AB124" s="3"/>
      <c r="AC124" s="3"/>
      <c r="AD124" s="3"/>
      <c r="AE124" s="3"/>
      <c r="AF124" s="3"/>
      <c r="AG124" s="3"/>
      <c r="AH124" s="3"/>
      <c r="AI124" s="3"/>
      <c r="AK124" s="3"/>
      <c r="AL124" s="3"/>
      <c r="AM124" s="3"/>
      <c r="AN124" s="3"/>
      <c r="AO124" s="3"/>
      <c r="AP124" s="3"/>
      <c r="AQ124" s="3"/>
      <c r="AR124" s="3"/>
    </row>
    <row r="125" spans="1:44" ht="16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S125" s="3"/>
      <c r="T125" s="3"/>
      <c r="U125" s="3"/>
      <c r="V125" s="3"/>
      <c r="W125" s="3"/>
      <c r="X125" s="3"/>
      <c r="Y125" s="3"/>
      <c r="Z125" s="3"/>
      <c r="AB125" s="3"/>
      <c r="AC125" s="3"/>
      <c r="AD125" s="3"/>
      <c r="AE125" s="3"/>
      <c r="AF125" s="3"/>
      <c r="AG125" s="3"/>
      <c r="AH125" s="3"/>
      <c r="AI125" s="3"/>
      <c r="AK125" s="3"/>
      <c r="AL125" s="3"/>
      <c r="AM125" s="3"/>
      <c r="AN125" s="3"/>
      <c r="AO125" s="3"/>
      <c r="AP125" s="3"/>
      <c r="AQ125" s="3"/>
      <c r="AR125" s="3"/>
    </row>
    <row r="126" spans="1:44" ht="16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S126" s="3"/>
      <c r="T126" s="3"/>
      <c r="U126" s="3"/>
      <c r="V126" s="3"/>
      <c r="W126" s="3"/>
      <c r="X126" s="3"/>
      <c r="Y126" s="3"/>
      <c r="Z126" s="3"/>
      <c r="AB126" s="3"/>
      <c r="AC126" s="3"/>
      <c r="AD126" s="3"/>
      <c r="AE126" s="3"/>
      <c r="AF126" s="3"/>
      <c r="AG126" s="3"/>
      <c r="AH126" s="3"/>
      <c r="AI126" s="3"/>
      <c r="AK126" s="3"/>
      <c r="AL126" s="3"/>
      <c r="AM126" s="3"/>
      <c r="AN126" s="3"/>
      <c r="AO126" s="3"/>
      <c r="AP126" s="3"/>
      <c r="AQ126" s="3"/>
      <c r="AR126" s="3"/>
    </row>
    <row r="127" spans="1:44" ht="16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S127" s="3"/>
      <c r="T127" s="3"/>
      <c r="U127" s="3"/>
      <c r="V127" s="3"/>
      <c r="W127" s="3"/>
      <c r="X127" s="3"/>
      <c r="Y127" s="3"/>
      <c r="Z127" s="3"/>
      <c r="AB127" s="3"/>
      <c r="AC127" s="3"/>
      <c r="AD127" s="3"/>
      <c r="AE127" s="3"/>
      <c r="AF127" s="3"/>
      <c r="AG127" s="3"/>
      <c r="AH127" s="3"/>
      <c r="AI127" s="3"/>
      <c r="AK127" s="3"/>
      <c r="AL127" s="3"/>
      <c r="AM127" s="3"/>
      <c r="AN127" s="3"/>
      <c r="AO127" s="3"/>
      <c r="AP127" s="3"/>
      <c r="AQ127" s="3"/>
      <c r="AR127" s="3"/>
    </row>
    <row r="128" spans="1:44" ht="16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S128" s="3"/>
      <c r="T128" s="3"/>
      <c r="U128" s="3"/>
      <c r="V128" s="3"/>
      <c r="W128" s="3"/>
      <c r="X128" s="3"/>
      <c r="Y128" s="3"/>
      <c r="Z128" s="3"/>
      <c r="AB128" s="3"/>
      <c r="AC128" s="3"/>
      <c r="AD128" s="3"/>
      <c r="AE128" s="3"/>
      <c r="AF128" s="3"/>
      <c r="AG128" s="3"/>
      <c r="AH128" s="3"/>
      <c r="AI128" s="3"/>
      <c r="AK128" s="3"/>
      <c r="AL128" s="3"/>
      <c r="AM128" s="3"/>
      <c r="AN128" s="3"/>
      <c r="AO128" s="3"/>
      <c r="AP128" s="3"/>
      <c r="AQ128" s="3"/>
      <c r="AR128" s="3"/>
    </row>
    <row r="129" spans="1:44" ht="16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S129" s="3"/>
      <c r="T129" s="3"/>
      <c r="U129" s="3"/>
      <c r="V129" s="3"/>
      <c r="W129" s="3"/>
      <c r="X129" s="3"/>
      <c r="Y129" s="3"/>
      <c r="Z129" s="3"/>
      <c r="AB129" s="3"/>
      <c r="AC129" s="3"/>
      <c r="AD129" s="3"/>
      <c r="AE129" s="3"/>
      <c r="AF129" s="3"/>
      <c r="AG129" s="3"/>
      <c r="AH129" s="3"/>
      <c r="AI129" s="3"/>
      <c r="AK129" s="3"/>
      <c r="AL129" s="3"/>
      <c r="AM129" s="3"/>
      <c r="AN129" s="3"/>
      <c r="AO129" s="3"/>
      <c r="AP129" s="3"/>
      <c r="AQ129" s="3"/>
      <c r="AR129" s="3"/>
    </row>
    <row r="130" spans="1:44" ht="16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S130" s="3"/>
      <c r="T130" s="3"/>
      <c r="U130" s="3"/>
      <c r="V130" s="3"/>
      <c r="W130" s="3"/>
      <c r="X130" s="3"/>
      <c r="Y130" s="3"/>
      <c r="Z130" s="3"/>
      <c r="AB130" s="3"/>
      <c r="AC130" s="3"/>
      <c r="AD130" s="3"/>
      <c r="AE130" s="3"/>
      <c r="AF130" s="3"/>
      <c r="AG130" s="3"/>
      <c r="AH130" s="3"/>
      <c r="AI130" s="3"/>
      <c r="AK130" s="3"/>
      <c r="AL130" s="3"/>
      <c r="AM130" s="3"/>
      <c r="AN130" s="3"/>
      <c r="AO130" s="3"/>
      <c r="AP130" s="3"/>
      <c r="AQ130" s="3"/>
      <c r="AR130" s="3"/>
    </row>
    <row r="131" spans="1:44" ht="16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S131" s="3"/>
      <c r="T131" s="3"/>
      <c r="U131" s="3"/>
      <c r="V131" s="3"/>
      <c r="W131" s="3"/>
      <c r="X131" s="3"/>
      <c r="Y131" s="3"/>
      <c r="Z131" s="3"/>
      <c r="AB131" s="3"/>
      <c r="AC131" s="3"/>
      <c r="AD131" s="3"/>
      <c r="AE131" s="3"/>
      <c r="AF131" s="3"/>
      <c r="AG131" s="3"/>
      <c r="AH131" s="3"/>
      <c r="AI131" s="3"/>
      <c r="AK131" s="3"/>
      <c r="AL131" s="3"/>
      <c r="AM131" s="3"/>
      <c r="AN131" s="3"/>
      <c r="AO131" s="3"/>
      <c r="AP131" s="3"/>
      <c r="AQ131" s="3"/>
      <c r="AR131" s="3"/>
    </row>
    <row r="132" spans="1:44" ht="16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S132" s="3"/>
      <c r="T132" s="3"/>
      <c r="U132" s="3"/>
      <c r="V132" s="3"/>
      <c r="W132" s="3"/>
      <c r="X132" s="3"/>
      <c r="Y132" s="3"/>
      <c r="Z132" s="3"/>
      <c r="AB132" s="3"/>
      <c r="AC132" s="3"/>
      <c r="AD132" s="3"/>
      <c r="AE132" s="3"/>
      <c r="AF132" s="3"/>
      <c r="AG132" s="3"/>
      <c r="AH132" s="3"/>
      <c r="AI132" s="3"/>
      <c r="AK132" s="3"/>
      <c r="AL132" s="3"/>
      <c r="AM132" s="3"/>
      <c r="AN132" s="3"/>
      <c r="AO132" s="3"/>
      <c r="AP132" s="3"/>
      <c r="AQ132" s="3"/>
      <c r="AR132" s="3"/>
    </row>
    <row r="133" spans="1:44" ht="16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S133" s="3"/>
      <c r="T133" s="3"/>
      <c r="U133" s="3"/>
      <c r="V133" s="3"/>
      <c r="W133" s="3"/>
      <c r="X133" s="3"/>
      <c r="Y133" s="3"/>
      <c r="Z133" s="3"/>
      <c r="AB133" s="3"/>
      <c r="AC133" s="3"/>
      <c r="AD133" s="3"/>
      <c r="AE133" s="3"/>
      <c r="AF133" s="3"/>
      <c r="AG133" s="3"/>
      <c r="AH133" s="3"/>
      <c r="AI133" s="3"/>
      <c r="AK133" s="3"/>
      <c r="AL133" s="3"/>
      <c r="AM133" s="3"/>
      <c r="AN133" s="3"/>
      <c r="AO133" s="3"/>
      <c r="AP133" s="3"/>
      <c r="AQ133" s="3"/>
      <c r="AR133" s="3"/>
    </row>
    <row r="134" spans="1:44" ht="16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S134" s="3"/>
      <c r="T134" s="3"/>
      <c r="U134" s="3"/>
      <c r="V134" s="3"/>
      <c r="W134" s="3"/>
      <c r="X134" s="3"/>
      <c r="Y134" s="3"/>
      <c r="Z134" s="3"/>
      <c r="AB134" s="3"/>
      <c r="AC134" s="3"/>
      <c r="AD134" s="3"/>
      <c r="AE134" s="3"/>
      <c r="AF134" s="3"/>
      <c r="AG134" s="3"/>
      <c r="AH134" s="3"/>
      <c r="AI134" s="3"/>
      <c r="AK134" s="3"/>
      <c r="AL134" s="3"/>
      <c r="AM134" s="3"/>
      <c r="AN134" s="3"/>
      <c r="AO134" s="3"/>
      <c r="AP134" s="3"/>
      <c r="AQ134" s="3"/>
      <c r="AR134" s="3"/>
    </row>
    <row r="135" spans="1:44" ht="16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S135" s="3"/>
      <c r="T135" s="3"/>
      <c r="U135" s="3"/>
      <c r="V135" s="3"/>
      <c r="W135" s="3"/>
      <c r="X135" s="3"/>
      <c r="Y135" s="3"/>
      <c r="Z135" s="3"/>
      <c r="AB135" s="3"/>
      <c r="AC135" s="3"/>
      <c r="AD135" s="3"/>
      <c r="AE135" s="3"/>
      <c r="AF135" s="3"/>
      <c r="AG135" s="3"/>
      <c r="AH135" s="3"/>
      <c r="AI135" s="3"/>
      <c r="AK135" s="3"/>
      <c r="AL135" s="3"/>
      <c r="AM135" s="3"/>
      <c r="AN135" s="3"/>
      <c r="AO135" s="3"/>
      <c r="AP135" s="3"/>
      <c r="AQ135" s="3"/>
      <c r="AR135" s="3"/>
    </row>
    <row r="136" spans="1:44" ht="16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S136" s="3"/>
      <c r="T136" s="3"/>
      <c r="U136" s="3"/>
      <c r="V136" s="3"/>
      <c r="W136" s="3"/>
      <c r="X136" s="3"/>
      <c r="Y136" s="3"/>
      <c r="Z136" s="3"/>
      <c r="AB136" s="3"/>
      <c r="AC136" s="3"/>
      <c r="AD136" s="3"/>
      <c r="AE136" s="3"/>
      <c r="AF136" s="3"/>
      <c r="AG136" s="3"/>
      <c r="AH136" s="3"/>
      <c r="AI136" s="3"/>
      <c r="AK136" s="3"/>
      <c r="AL136" s="3"/>
      <c r="AM136" s="3"/>
      <c r="AN136" s="3"/>
      <c r="AO136" s="3"/>
      <c r="AP136" s="3"/>
      <c r="AQ136" s="3"/>
      <c r="AR136" s="3"/>
    </row>
    <row r="137" spans="1:44" ht="16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S137" s="3"/>
      <c r="T137" s="3"/>
      <c r="U137" s="3"/>
      <c r="V137" s="3"/>
      <c r="W137" s="3"/>
      <c r="X137" s="3"/>
      <c r="Y137" s="3"/>
      <c r="Z137" s="3"/>
      <c r="AB137" s="3"/>
      <c r="AC137" s="3"/>
      <c r="AD137" s="3"/>
      <c r="AE137" s="3"/>
      <c r="AF137" s="3"/>
      <c r="AG137" s="3"/>
      <c r="AH137" s="3"/>
      <c r="AI137" s="3"/>
      <c r="AK137" s="3"/>
      <c r="AL137" s="3"/>
      <c r="AM137" s="3"/>
      <c r="AN137" s="3"/>
      <c r="AO137" s="3"/>
      <c r="AP137" s="3"/>
      <c r="AQ137" s="3"/>
      <c r="AR137" s="3"/>
    </row>
    <row r="138" spans="1:44" ht="16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S138" s="3"/>
      <c r="T138" s="3"/>
      <c r="U138" s="3"/>
      <c r="V138" s="3"/>
      <c r="W138" s="3"/>
      <c r="X138" s="3"/>
      <c r="Y138" s="3"/>
      <c r="Z138" s="3"/>
      <c r="AB138" s="3"/>
      <c r="AC138" s="3"/>
      <c r="AD138" s="3"/>
      <c r="AE138" s="3"/>
      <c r="AF138" s="3"/>
      <c r="AG138" s="3"/>
      <c r="AH138" s="3"/>
      <c r="AI138" s="3"/>
      <c r="AK138" s="3"/>
      <c r="AL138" s="3"/>
      <c r="AM138" s="3"/>
      <c r="AN138" s="3"/>
      <c r="AO138" s="3"/>
      <c r="AP138" s="3"/>
      <c r="AQ138" s="3"/>
      <c r="AR138" s="3"/>
    </row>
    <row r="139" spans="1:44" ht="16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S139" s="3"/>
      <c r="T139" s="3"/>
      <c r="U139" s="3"/>
      <c r="V139" s="3"/>
      <c r="W139" s="3"/>
      <c r="X139" s="3"/>
      <c r="Y139" s="3"/>
      <c r="Z139" s="3"/>
      <c r="AB139" s="3"/>
      <c r="AC139" s="3"/>
      <c r="AD139" s="3"/>
      <c r="AE139" s="3"/>
      <c r="AF139" s="3"/>
      <c r="AG139" s="3"/>
      <c r="AH139" s="3"/>
      <c r="AI139" s="3"/>
      <c r="AK139" s="3"/>
      <c r="AL139" s="3"/>
      <c r="AM139" s="3"/>
      <c r="AN139" s="3"/>
      <c r="AO139" s="3"/>
      <c r="AP139" s="3"/>
      <c r="AQ139" s="3"/>
      <c r="AR139" s="3"/>
    </row>
    <row r="140" spans="1:44" ht="16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S140" s="3"/>
      <c r="T140" s="3"/>
      <c r="U140" s="3"/>
      <c r="V140" s="3"/>
      <c r="W140" s="3"/>
      <c r="X140" s="3"/>
      <c r="Y140" s="3"/>
      <c r="Z140" s="3"/>
      <c r="AB140" s="3"/>
      <c r="AC140" s="3"/>
      <c r="AD140" s="3"/>
      <c r="AE140" s="3"/>
      <c r="AF140" s="3"/>
      <c r="AG140" s="3"/>
      <c r="AH140" s="3"/>
      <c r="AI140" s="3"/>
      <c r="AK140" s="3"/>
      <c r="AL140" s="3"/>
      <c r="AM140" s="3"/>
      <c r="AN140" s="3"/>
      <c r="AO140" s="3"/>
      <c r="AP140" s="3"/>
      <c r="AQ140" s="3"/>
      <c r="AR140" s="3"/>
    </row>
    <row r="141" spans="1:44" ht="16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S141" s="3"/>
      <c r="T141" s="3"/>
      <c r="U141" s="3"/>
      <c r="V141" s="3"/>
      <c r="W141" s="3"/>
      <c r="X141" s="3"/>
      <c r="Y141" s="3"/>
      <c r="Z141" s="3"/>
      <c r="AB141" s="3"/>
      <c r="AC141" s="3"/>
      <c r="AD141" s="3"/>
      <c r="AE141" s="3"/>
      <c r="AF141" s="3"/>
      <c r="AG141" s="3"/>
      <c r="AH141" s="3"/>
      <c r="AI141" s="3"/>
      <c r="AK141" s="3"/>
      <c r="AL141" s="3"/>
      <c r="AM141" s="3"/>
      <c r="AN141" s="3"/>
      <c r="AO141" s="3"/>
      <c r="AP141" s="3"/>
      <c r="AQ141" s="3"/>
      <c r="AR141" s="3"/>
    </row>
    <row r="142" spans="1:44" ht="16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S142" s="3"/>
      <c r="T142" s="3"/>
      <c r="U142" s="3"/>
      <c r="V142" s="3"/>
      <c r="W142" s="3"/>
      <c r="X142" s="3"/>
      <c r="Y142" s="3"/>
      <c r="Z142" s="3"/>
      <c r="AB142" s="3"/>
      <c r="AC142" s="3"/>
      <c r="AD142" s="3"/>
      <c r="AE142" s="3"/>
      <c r="AF142" s="3"/>
      <c r="AG142" s="3"/>
      <c r="AH142" s="3"/>
      <c r="AI142" s="3"/>
      <c r="AK142" s="3"/>
      <c r="AL142" s="3"/>
      <c r="AM142" s="3"/>
      <c r="AN142" s="3"/>
      <c r="AO142" s="3"/>
      <c r="AP142" s="3"/>
      <c r="AQ142" s="3"/>
      <c r="AR142" s="3"/>
    </row>
    <row r="143" spans="1:44" ht="16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S143" s="3"/>
      <c r="T143" s="3"/>
      <c r="U143" s="3"/>
      <c r="V143" s="3"/>
      <c r="W143" s="3"/>
      <c r="X143" s="3"/>
      <c r="Y143" s="3"/>
      <c r="Z143" s="3"/>
      <c r="AB143" s="3"/>
      <c r="AC143" s="3"/>
      <c r="AD143" s="3"/>
      <c r="AE143" s="3"/>
      <c r="AF143" s="3"/>
      <c r="AG143" s="3"/>
      <c r="AH143" s="3"/>
      <c r="AI143" s="3"/>
      <c r="AK143" s="3"/>
      <c r="AL143" s="3"/>
      <c r="AM143" s="3"/>
      <c r="AN143" s="3"/>
      <c r="AO143" s="3"/>
      <c r="AP143" s="3"/>
      <c r="AQ143" s="3"/>
      <c r="AR143" s="3"/>
    </row>
    <row r="144" spans="1:44" ht="16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S144" s="3"/>
      <c r="T144" s="3"/>
      <c r="U144" s="3"/>
      <c r="V144" s="3"/>
      <c r="W144" s="3"/>
      <c r="X144" s="3"/>
      <c r="Y144" s="3"/>
      <c r="Z144" s="3"/>
      <c r="AB144" s="3"/>
      <c r="AC144" s="3"/>
      <c r="AD144" s="3"/>
      <c r="AE144" s="3"/>
      <c r="AF144" s="3"/>
      <c r="AG144" s="3"/>
      <c r="AH144" s="3"/>
      <c r="AI144" s="3"/>
      <c r="AK144" s="3"/>
      <c r="AL144" s="3"/>
      <c r="AM144" s="3"/>
      <c r="AN144" s="3"/>
      <c r="AO144" s="3"/>
      <c r="AP144" s="3"/>
      <c r="AQ144" s="3"/>
      <c r="AR144" s="3"/>
    </row>
    <row r="145" spans="1:44" ht="16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S145" s="3"/>
      <c r="T145" s="3"/>
      <c r="U145" s="3"/>
      <c r="V145" s="3"/>
      <c r="W145" s="3"/>
      <c r="X145" s="3"/>
      <c r="Y145" s="3"/>
      <c r="Z145" s="3"/>
      <c r="AB145" s="3"/>
      <c r="AC145" s="3"/>
      <c r="AD145" s="3"/>
      <c r="AE145" s="3"/>
      <c r="AF145" s="3"/>
      <c r="AG145" s="3"/>
      <c r="AH145" s="3"/>
      <c r="AI145" s="3"/>
      <c r="AK145" s="3"/>
      <c r="AL145" s="3"/>
      <c r="AM145" s="3"/>
      <c r="AN145" s="3"/>
      <c r="AO145" s="3"/>
      <c r="AP145" s="3"/>
      <c r="AQ145" s="3"/>
      <c r="AR145" s="3"/>
    </row>
    <row r="146" spans="1:44" ht="16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S146" s="3"/>
      <c r="T146" s="3"/>
      <c r="U146" s="3"/>
      <c r="V146" s="3"/>
      <c r="W146" s="3"/>
      <c r="X146" s="3"/>
      <c r="Y146" s="3"/>
      <c r="Z146" s="3"/>
      <c r="AB146" s="3"/>
      <c r="AC146" s="3"/>
      <c r="AD146" s="3"/>
      <c r="AE146" s="3"/>
      <c r="AF146" s="3"/>
      <c r="AG146" s="3"/>
      <c r="AH146" s="3"/>
      <c r="AI146" s="3"/>
      <c r="AK146" s="3"/>
      <c r="AL146" s="3"/>
      <c r="AM146" s="3"/>
      <c r="AN146" s="3"/>
      <c r="AO146" s="3"/>
      <c r="AP146" s="3"/>
      <c r="AQ146" s="3"/>
      <c r="AR146" s="3"/>
    </row>
    <row r="147" spans="1:44" ht="16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S147" s="3"/>
      <c r="T147" s="3"/>
      <c r="U147" s="3"/>
      <c r="V147" s="3"/>
      <c r="W147" s="3"/>
      <c r="X147" s="3"/>
      <c r="Y147" s="3"/>
      <c r="Z147" s="3"/>
      <c r="AB147" s="3"/>
      <c r="AC147" s="3"/>
      <c r="AD147" s="3"/>
      <c r="AE147" s="3"/>
      <c r="AF147" s="3"/>
      <c r="AG147" s="3"/>
      <c r="AH147" s="3"/>
      <c r="AI147" s="3"/>
      <c r="AK147" s="3"/>
      <c r="AL147" s="3"/>
      <c r="AM147" s="3"/>
      <c r="AN147" s="3"/>
      <c r="AO147" s="3"/>
      <c r="AP147" s="3"/>
      <c r="AQ147" s="3"/>
      <c r="AR147" s="3"/>
    </row>
    <row r="148" spans="1:44" ht="16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S148" s="3"/>
      <c r="T148" s="3"/>
      <c r="U148" s="3"/>
      <c r="V148" s="3"/>
      <c r="W148" s="3"/>
      <c r="X148" s="3"/>
      <c r="Y148" s="3"/>
      <c r="Z148" s="3"/>
      <c r="AB148" s="3"/>
      <c r="AC148" s="3"/>
      <c r="AD148" s="3"/>
      <c r="AE148" s="3"/>
      <c r="AF148" s="3"/>
      <c r="AG148" s="3"/>
      <c r="AH148" s="3"/>
      <c r="AI148" s="3"/>
      <c r="AK148" s="3"/>
      <c r="AL148" s="3"/>
      <c r="AM148" s="3"/>
      <c r="AN148" s="3"/>
      <c r="AO148" s="3"/>
      <c r="AP148" s="3"/>
      <c r="AQ148" s="3"/>
      <c r="AR148" s="3"/>
    </row>
    <row r="149" spans="1:44" ht="16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S149" s="3"/>
      <c r="T149" s="3"/>
      <c r="U149" s="3"/>
      <c r="V149" s="3"/>
      <c r="W149" s="3"/>
      <c r="X149" s="3"/>
      <c r="Y149" s="3"/>
      <c r="Z149" s="3"/>
      <c r="AB149" s="3"/>
      <c r="AC149" s="3"/>
      <c r="AD149" s="3"/>
      <c r="AE149" s="3"/>
      <c r="AF149" s="3"/>
      <c r="AG149" s="3"/>
      <c r="AH149" s="3"/>
      <c r="AI149" s="3"/>
      <c r="AK149" s="3"/>
      <c r="AL149" s="3"/>
      <c r="AM149" s="3"/>
      <c r="AN149" s="3"/>
      <c r="AO149" s="3"/>
      <c r="AP149" s="3"/>
      <c r="AQ149" s="3"/>
      <c r="AR149" s="3"/>
    </row>
    <row r="150" spans="1:44" ht="16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S150" s="3"/>
      <c r="T150" s="3"/>
      <c r="U150" s="3"/>
      <c r="V150" s="3"/>
      <c r="W150" s="3"/>
      <c r="X150" s="3"/>
      <c r="Y150" s="3"/>
      <c r="Z150" s="3"/>
      <c r="AB150" s="3"/>
      <c r="AC150" s="3"/>
      <c r="AD150" s="3"/>
      <c r="AE150" s="3"/>
      <c r="AF150" s="3"/>
      <c r="AG150" s="3"/>
      <c r="AH150" s="3"/>
      <c r="AI150" s="3"/>
      <c r="AK150" s="3"/>
      <c r="AL150" s="3"/>
      <c r="AM150" s="3"/>
      <c r="AN150" s="3"/>
      <c r="AO150" s="3"/>
      <c r="AP150" s="3"/>
      <c r="AQ150" s="3"/>
      <c r="AR150" s="3"/>
    </row>
    <row r="151" spans="1:44" ht="16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S151" s="3"/>
      <c r="T151" s="3"/>
      <c r="U151" s="3"/>
      <c r="V151" s="3"/>
      <c r="W151" s="3"/>
      <c r="X151" s="3"/>
      <c r="Y151" s="3"/>
      <c r="Z151" s="3"/>
      <c r="AB151" s="3"/>
      <c r="AC151" s="3"/>
      <c r="AD151" s="3"/>
      <c r="AE151" s="3"/>
      <c r="AF151" s="3"/>
      <c r="AG151" s="3"/>
      <c r="AH151" s="3"/>
      <c r="AI151" s="3"/>
      <c r="AK151" s="3"/>
      <c r="AL151" s="3"/>
      <c r="AM151" s="3"/>
      <c r="AN151" s="3"/>
      <c r="AO151" s="3"/>
      <c r="AP151" s="3"/>
      <c r="AQ151" s="3"/>
      <c r="AR151" s="3"/>
    </row>
    <row r="152" spans="1:44" ht="16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S152" s="3"/>
      <c r="T152" s="3"/>
      <c r="U152" s="3"/>
      <c r="V152" s="3"/>
      <c r="W152" s="3"/>
      <c r="X152" s="3"/>
      <c r="Y152" s="3"/>
      <c r="Z152" s="3"/>
      <c r="AB152" s="3"/>
      <c r="AC152" s="3"/>
      <c r="AD152" s="3"/>
      <c r="AE152" s="3"/>
      <c r="AF152" s="3"/>
      <c r="AG152" s="3"/>
      <c r="AH152" s="3"/>
      <c r="AI152" s="3"/>
      <c r="AK152" s="3"/>
      <c r="AL152" s="3"/>
      <c r="AM152" s="3"/>
      <c r="AN152" s="3"/>
      <c r="AO152" s="3"/>
      <c r="AP152" s="3"/>
      <c r="AQ152" s="3"/>
      <c r="AR152" s="3"/>
    </row>
    <row r="153" spans="1:44" ht="16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S153" s="3"/>
      <c r="T153" s="3"/>
      <c r="U153" s="3"/>
      <c r="V153" s="3"/>
      <c r="W153" s="3"/>
      <c r="X153" s="3"/>
      <c r="Y153" s="3"/>
      <c r="Z153" s="3"/>
      <c r="AB153" s="3"/>
      <c r="AC153" s="3"/>
      <c r="AD153" s="3"/>
      <c r="AE153" s="3"/>
      <c r="AF153" s="3"/>
      <c r="AG153" s="3"/>
      <c r="AH153" s="3"/>
      <c r="AI153" s="3"/>
      <c r="AK153" s="3"/>
      <c r="AL153" s="3"/>
      <c r="AM153" s="3"/>
      <c r="AN153" s="3"/>
      <c r="AO153" s="3"/>
      <c r="AP153" s="3"/>
      <c r="AQ153" s="3"/>
      <c r="AR153" s="3"/>
    </row>
    <row r="154" spans="1:44" ht="16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S154" s="3"/>
      <c r="T154" s="3"/>
      <c r="U154" s="3"/>
      <c r="V154" s="3"/>
      <c r="W154" s="3"/>
      <c r="X154" s="3"/>
      <c r="Y154" s="3"/>
      <c r="Z154" s="3"/>
      <c r="AB154" s="3"/>
      <c r="AC154" s="3"/>
      <c r="AD154" s="3"/>
      <c r="AE154" s="3"/>
      <c r="AF154" s="3"/>
      <c r="AG154" s="3"/>
      <c r="AH154" s="3"/>
      <c r="AI154" s="3"/>
      <c r="AK154" s="3"/>
      <c r="AL154" s="3"/>
      <c r="AM154" s="3"/>
      <c r="AN154" s="3"/>
      <c r="AO154" s="3"/>
      <c r="AP154" s="3"/>
      <c r="AQ154" s="3"/>
      <c r="AR154" s="3"/>
    </row>
    <row r="155" spans="1:44" ht="16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S155" s="3"/>
      <c r="T155" s="3"/>
      <c r="U155" s="3"/>
      <c r="V155" s="3"/>
      <c r="W155" s="3"/>
      <c r="X155" s="3"/>
      <c r="Y155" s="3"/>
      <c r="Z155" s="3"/>
      <c r="AB155" s="3"/>
      <c r="AC155" s="3"/>
      <c r="AD155" s="3"/>
      <c r="AE155" s="3"/>
      <c r="AF155" s="3"/>
      <c r="AG155" s="3"/>
      <c r="AH155" s="3"/>
      <c r="AI155" s="3"/>
      <c r="AK155" s="3"/>
      <c r="AL155" s="3"/>
      <c r="AM155" s="3"/>
      <c r="AN155" s="3"/>
      <c r="AO155" s="3"/>
      <c r="AP155" s="3"/>
      <c r="AQ155" s="3"/>
      <c r="AR155" s="3"/>
    </row>
    <row r="156" spans="1:44" ht="16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S156" s="3"/>
      <c r="T156" s="3"/>
      <c r="U156" s="3"/>
      <c r="V156" s="3"/>
      <c r="W156" s="3"/>
      <c r="X156" s="3"/>
      <c r="Y156" s="3"/>
      <c r="Z156" s="3"/>
      <c r="AB156" s="3"/>
      <c r="AC156" s="3"/>
      <c r="AD156" s="3"/>
      <c r="AE156" s="3"/>
      <c r="AF156" s="3"/>
      <c r="AG156" s="3"/>
      <c r="AH156" s="3"/>
      <c r="AI156" s="3"/>
      <c r="AK156" s="3"/>
      <c r="AL156" s="3"/>
      <c r="AM156" s="3"/>
      <c r="AN156" s="3"/>
      <c r="AO156" s="3"/>
      <c r="AP156" s="3"/>
      <c r="AQ156" s="3"/>
      <c r="AR156" s="3"/>
    </row>
    <row r="157" spans="1:44" ht="16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S157" s="3"/>
      <c r="T157" s="3"/>
      <c r="U157" s="3"/>
      <c r="V157" s="3"/>
      <c r="W157" s="3"/>
      <c r="X157" s="3"/>
      <c r="Y157" s="3"/>
      <c r="Z157" s="3"/>
      <c r="AB157" s="3"/>
      <c r="AC157" s="3"/>
      <c r="AD157" s="3"/>
      <c r="AE157" s="3"/>
      <c r="AF157" s="3"/>
      <c r="AG157" s="3"/>
      <c r="AH157" s="3"/>
      <c r="AI157" s="3"/>
      <c r="AK157" s="3"/>
      <c r="AL157" s="3"/>
      <c r="AM157" s="3"/>
      <c r="AN157" s="3"/>
      <c r="AO157" s="3"/>
      <c r="AP157" s="3"/>
      <c r="AQ157" s="3"/>
      <c r="AR157" s="3"/>
    </row>
    <row r="158" spans="1:44" ht="16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S158" s="3"/>
      <c r="T158" s="3"/>
      <c r="U158" s="3"/>
      <c r="V158" s="3"/>
      <c r="W158" s="3"/>
      <c r="X158" s="3"/>
      <c r="Y158" s="3"/>
      <c r="Z158" s="3"/>
      <c r="AB158" s="3"/>
      <c r="AC158" s="3"/>
      <c r="AD158" s="3"/>
      <c r="AE158" s="3"/>
      <c r="AF158" s="3"/>
      <c r="AG158" s="3"/>
      <c r="AH158" s="3"/>
      <c r="AI158" s="3"/>
      <c r="AK158" s="3"/>
      <c r="AL158" s="3"/>
      <c r="AM158" s="3"/>
      <c r="AN158" s="3"/>
      <c r="AO158" s="3"/>
      <c r="AP158" s="3"/>
      <c r="AQ158" s="3"/>
      <c r="AR158" s="3"/>
    </row>
    <row r="159" spans="1:44" ht="16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S159" s="3"/>
      <c r="T159" s="3"/>
      <c r="U159" s="3"/>
      <c r="V159" s="3"/>
      <c r="W159" s="3"/>
      <c r="X159" s="3"/>
      <c r="Y159" s="3"/>
      <c r="Z159" s="3"/>
      <c r="AB159" s="3"/>
      <c r="AC159" s="3"/>
      <c r="AD159" s="3"/>
      <c r="AE159" s="3"/>
      <c r="AF159" s="3"/>
      <c r="AG159" s="3"/>
      <c r="AH159" s="3"/>
      <c r="AI159" s="3"/>
      <c r="AK159" s="3"/>
      <c r="AL159" s="3"/>
      <c r="AM159" s="3"/>
      <c r="AN159" s="3"/>
      <c r="AO159" s="3"/>
      <c r="AP159" s="3"/>
      <c r="AQ159" s="3"/>
      <c r="AR159" s="3"/>
    </row>
    <row r="160" spans="1:44" ht="16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S160" s="3"/>
      <c r="T160" s="3"/>
      <c r="U160" s="3"/>
      <c r="V160" s="3"/>
      <c r="W160" s="3"/>
      <c r="X160" s="3"/>
      <c r="Y160" s="3"/>
      <c r="Z160" s="3"/>
      <c r="AB160" s="3"/>
      <c r="AC160" s="3"/>
      <c r="AD160" s="3"/>
      <c r="AE160" s="3"/>
      <c r="AF160" s="3"/>
      <c r="AG160" s="3"/>
      <c r="AH160" s="3"/>
      <c r="AI160" s="3"/>
      <c r="AK160" s="3"/>
      <c r="AL160" s="3"/>
      <c r="AM160" s="3"/>
      <c r="AN160" s="3"/>
      <c r="AO160" s="3"/>
      <c r="AP160" s="3"/>
      <c r="AQ160" s="3"/>
      <c r="AR160" s="3"/>
    </row>
    <row r="161" spans="1:44" ht="16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S161" s="3"/>
      <c r="T161" s="3"/>
      <c r="U161" s="3"/>
      <c r="V161" s="3"/>
      <c r="W161" s="3"/>
      <c r="X161" s="3"/>
      <c r="Y161" s="3"/>
      <c r="Z161" s="3"/>
      <c r="AB161" s="3"/>
      <c r="AC161" s="3"/>
      <c r="AD161" s="3"/>
      <c r="AE161" s="3"/>
      <c r="AF161" s="3"/>
      <c r="AG161" s="3"/>
      <c r="AH161" s="3"/>
      <c r="AI161" s="3"/>
      <c r="AK161" s="3"/>
      <c r="AL161" s="3"/>
      <c r="AM161" s="3"/>
      <c r="AN161" s="3"/>
      <c r="AO161" s="3"/>
      <c r="AP161" s="3"/>
      <c r="AQ161" s="3"/>
      <c r="AR161" s="3"/>
    </row>
    <row r="162" spans="1:44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S162" s="3"/>
      <c r="T162" s="3"/>
      <c r="U162" s="3"/>
      <c r="V162" s="3"/>
      <c r="W162" s="3"/>
      <c r="X162" s="3"/>
      <c r="Y162" s="3"/>
      <c r="Z162" s="3"/>
      <c r="AB162" s="3"/>
      <c r="AC162" s="3"/>
      <c r="AD162" s="3"/>
      <c r="AE162" s="3"/>
      <c r="AF162" s="3"/>
      <c r="AG162" s="3"/>
      <c r="AH162" s="3"/>
      <c r="AI162" s="3"/>
      <c r="AK162" s="3"/>
      <c r="AL162" s="3"/>
      <c r="AM162" s="3"/>
      <c r="AN162" s="3"/>
      <c r="AO162" s="3"/>
      <c r="AP162" s="3"/>
      <c r="AQ162" s="3"/>
      <c r="AR162" s="3"/>
    </row>
    <row r="163" spans="1:44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S163" s="3"/>
      <c r="T163" s="3"/>
      <c r="U163" s="3"/>
      <c r="V163" s="3"/>
      <c r="W163" s="3"/>
      <c r="X163" s="3"/>
      <c r="Y163" s="3"/>
      <c r="Z163" s="3"/>
      <c r="AB163" s="3"/>
      <c r="AC163" s="3"/>
      <c r="AD163" s="3"/>
      <c r="AE163" s="3"/>
      <c r="AF163" s="3"/>
      <c r="AG163" s="3"/>
      <c r="AH163" s="3"/>
      <c r="AI163" s="3"/>
      <c r="AK163" s="3"/>
      <c r="AL163" s="3"/>
      <c r="AM163" s="3"/>
      <c r="AN163" s="3"/>
      <c r="AO163" s="3"/>
      <c r="AP163" s="3"/>
      <c r="AQ163" s="3"/>
      <c r="AR163" s="3"/>
    </row>
    <row r="164" spans="1:44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S164" s="3"/>
      <c r="T164" s="3"/>
      <c r="U164" s="3"/>
      <c r="V164" s="3"/>
      <c r="W164" s="3"/>
      <c r="X164" s="3"/>
      <c r="Y164" s="3"/>
      <c r="Z164" s="3"/>
      <c r="AB164" s="3"/>
      <c r="AC164" s="3"/>
      <c r="AD164" s="3"/>
      <c r="AE164" s="3"/>
      <c r="AF164" s="3"/>
      <c r="AG164" s="3"/>
      <c r="AH164" s="3"/>
      <c r="AI164" s="3"/>
      <c r="AK164" s="3"/>
      <c r="AL164" s="3"/>
      <c r="AM164" s="3"/>
      <c r="AN164" s="3"/>
      <c r="AO164" s="3"/>
      <c r="AP164" s="3"/>
      <c r="AQ164" s="3"/>
      <c r="AR164" s="3"/>
    </row>
    <row r="165" spans="1:44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S165" s="3"/>
      <c r="T165" s="3"/>
      <c r="U165" s="3"/>
      <c r="V165" s="3"/>
      <c r="W165" s="3"/>
      <c r="X165" s="3"/>
      <c r="Y165" s="3"/>
      <c r="Z165" s="3"/>
      <c r="AB165" s="3"/>
      <c r="AC165" s="3"/>
      <c r="AD165" s="3"/>
      <c r="AE165" s="3"/>
      <c r="AF165" s="3"/>
      <c r="AG165" s="3"/>
      <c r="AH165" s="3"/>
      <c r="AI165" s="3"/>
      <c r="AK165" s="3"/>
      <c r="AL165" s="3"/>
      <c r="AM165" s="3"/>
      <c r="AN165" s="3"/>
      <c r="AO165" s="3"/>
      <c r="AP165" s="3"/>
      <c r="AQ165" s="3"/>
      <c r="AR165" s="3"/>
    </row>
    <row r="166" spans="1:44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S166" s="3"/>
      <c r="T166" s="3"/>
      <c r="U166" s="3"/>
      <c r="V166" s="3"/>
      <c r="W166" s="3"/>
      <c r="X166" s="3"/>
      <c r="Y166" s="3"/>
      <c r="Z166" s="3"/>
      <c r="AB166" s="3"/>
      <c r="AC166" s="3"/>
      <c r="AD166" s="3"/>
      <c r="AE166" s="3"/>
      <c r="AF166" s="3"/>
      <c r="AG166" s="3"/>
      <c r="AH166" s="3"/>
      <c r="AI166" s="3"/>
      <c r="AK166" s="3"/>
      <c r="AL166" s="3"/>
      <c r="AM166" s="3"/>
      <c r="AN166" s="3"/>
      <c r="AO166" s="3"/>
      <c r="AP166" s="3"/>
      <c r="AQ166" s="3"/>
      <c r="AR166" s="3"/>
    </row>
    <row r="167" spans="1:44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S167" s="3"/>
      <c r="T167" s="3"/>
      <c r="U167" s="3"/>
      <c r="V167" s="3"/>
      <c r="W167" s="3"/>
      <c r="X167" s="3"/>
      <c r="Y167" s="3"/>
      <c r="Z167" s="3"/>
      <c r="AB167" s="3"/>
      <c r="AC167" s="3"/>
      <c r="AD167" s="3"/>
      <c r="AE167" s="3"/>
      <c r="AF167" s="3"/>
      <c r="AG167" s="3"/>
      <c r="AH167" s="3"/>
      <c r="AI167" s="3"/>
      <c r="AK167" s="3"/>
      <c r="AL167" s="3"/>
      <c r="AM167" s="3"/>
      <c r="AN167" s="3"/>
      <c r="AO167" s="3"/>
      <c r="AP167" s="3"/>
      <c r="AQ167" s="3"/>
      <c r="AR167" s="3"/>
    </row>
    <row r="168" spans="1:44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S168" s="3"/>
      <c r="T168" s="3"/>
      <c r="U168" s="3"/>
      <c r="V168" s="3"/>
      <c r="W168" s="3"/>
      <c r="X168" s="3"/>
      <c r="Y168" s="3"/>
      <c r="Z168" s="3"/>
      <c r="AB168" s="3"/>
      <c r="AC168" s="3"/>
      <c r="AD168" s="3"/>
      <c r="AE168" s="3"/>
      <c r="AF168" s="3"/>
      <c r="AG168" s="3"/>
      <c r="AH168" s="3"/>
      <c r="AI168" s="3"/>
      <c r="AK168" s="3"/>
      <c r="AL168" s="3"/>
      <c r="AM168" s="3"/>
      <c r="AN168" s="3"/>
      <c r="AO168" s="3"/>
      <c r="AP168" s="3"/>
      <c r="AQ168" s="3"/>
      <c r="AR168" s="3"/>
    </row>
    <row r="169" spans="1:44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S169" s="3"/>
      <c r="T169" s="3"/>
      <c r="U169" s="3"/>
      <c r="V169" s="3"/>
      <c r="W169" s="3"/>
      <c r="X169" s="3"/>
      <c r="Y169" s="3"/>
      <c r="Z169" s="3"/>
      <c r="AB169" s="3"/>
      <c r="AC169" s="3"/>
      <c r="AD169" s="3"/>
      <c r="AE169" s="3"/>
      <c r="AF169" s="3"/>
      <c r="AG169" s="3"/>
      <c r="AH169" s="3"/>
      <c r="AI169" s="3"/>
      <c r="AK169" s="3"/>
      <c r="AL169" s="3"/>
      <c r="AM169" s="3"/>
      <c r="AN169" s="3"/>
      <c r="AO169" s="3"/>
      <c r="AP169" s="3"/>
      <c r="AQ169" s="3"/>
      <c r="AR169" s="3"/>
    </row>
    <row r="170" spans="1:44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S170" s="3"/>
      <c r="T170" s="3"/>
      <c r="U170" s="3"/>
      <c r="V170" s="3"/>
      <c r="W170" s="3"/>
      <c r="X170" s="3"/>
      <c r="Y170" s="3"/>
      <c r="Z170" s="3"/>
      <c r="AB170" s="3"/>
      <c r="AC170" s="3"/>
      <c r="AD170" s="3"/>
      <c r="AE170" s="3"/>
      <c r="AF170" s="3"/>
      <c r="AG170" s="3"/>
      <c r="AH170" s="3"/>
      <c r="AI170" s="3"/>
      <c r="AK170" s="3"/>
      <c r="AL170" s="3"/>
      <c r="AM170" s="3"/>
      <c r="AN170" s="3"/>
      <c r="AO170" s="3"/>
      <c r="AP170" s="3"/>
      <c r="AQ170" s="3"/>
      <c r="AR170" s="3"/>
    </row>
    <row r="171" spans="1:44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S171" s="3"/>
      <c r="T171" s="3"/>
      <c r="U171" s="3"/>
      <c r="V171" s="3"/>
      <c r="W171" s="3"/>
      <c r="X171" s="3"/>
      <c r="Y171" s="3"/>
      <c r="Z171" s="3"/>
      <c r="AB171" s="3"/>
      <c r="AC171" s="3"/>
      <c r="AD171" s="3"/>
      <c r="AE171" s="3"/>
      <c r="AF171" s="3"/>
      <c r="AG171" s="3"/>
      <c r="AH171" s="3"/>
      <c r="AI171" s="3"/>
      <c r="AK171" s="3"/>
      <c r="AL171" s="3"/>
      <c r="AM171" s="3"/>
      <c r="AN171" s="3"/>
      <c r="AO171" s="3"/>
      <c r="AP171" s="3"/>
      <c r="AQ171" s="3"/>
      <c r="AR171" s="3"/>
    </row>
    <row r="172" spans="1:44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S172" s="3"/>
      <c r="T172" s="3"/>
      <c r="U172" s="3"/>
      <c r="V172" s="3"/>
      <c r="W172" s="3"/>
      <c r="X172" s="3"/>
      <c r="Y172" s="3"/>
      <c r="Z172" s="3"/>
      <c r="AB172" s="3"/>
      <c r="AC172" s="3"/>
      <c r="AD172" s="3"/>
      <c r="AE172" s="3"/>
      <c r="AF172" s="3"/>
      <c r="AG172" s="3"/>
      <c r="AH172" s="3"/>
      <c r="AI172" s="3"/>
      <c r="AK172" s="3"/>
      <c r="AL172" s="3"/>
      <c r="AM172" s="3"/>
      <c r="AN172" s="3"/>
      <c r="AO172" s="3"/>
      <c r="AP172" s="3"/>
      <c r="AQ172" s="3"/>
      <c r="AR172" s="3"/>
    </row>
    <row r="173" spans="1:44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S173" s="3"/>
      <c r="T173" s="3"/>
      <c r="U173" s="3"/>
      <c r="V173" s="3"/>
      <c r="W173" s="3"/>
      <c r="X173" s="3"/>
      <c r="Y173" s="3"/>
      <c r="Z173" s="3"/>
      <c r="AB173" s="3"/>
      <c r="AC173" s="3"/>
      <c r="AD173" s="3"/>
      <c r="AE173" s="3"/>
      <c r="AF173" s="3"/>
      <c r="AG173" s="3"/>
      <c r="AH173" s="3"/>
      <c r="AI173" s="3"/>
      <c r="AK173" s="3"/>
      <c r="AL173" s="3"/>
      <c r="AM173" s="3"/>
      <c r="AN173" s="3"/>
      <c r="AO173" s="3"/>
      <c r="AP173" s="3"/>
      <c r="AQ173" s="3"/>
      <c r="AR173" s="3"/>
    </row>
    <row r="174" spans="1:44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S174" s="3"/>
      <c r="T174" s="3"/>
      <c r="U174" s="3"/>
      <c r="V174" s="3"/>
      <c r="W174" s="3"/>
      <c r="X174" s="3"/>
      <c r="Y174" s="3"/>
      <c r="Z174" s="3"/>
      <c r="AB174" s="3"/>
      <c r="AC174" s="3"/>
      <c r="AD174" s="3"/>
      <c r="AE174" s="3"/>
      <c r="AF174" s="3"/>
      <c r="AG174" s="3"/>
      <c r="AH174" s="3"/>
      <c r="AI174" s="3"/>
      <c r="AK174" s="3"/>
      <c r="AL174" s="3"/>
      <c r="AM174" s="3"/>
      <c r="AN174" s="3"/>
      <c r="AO174" s="3"/>
      <c r="AP174" s="3"/>
      <c r="AQ174" s="3"/>
      <c r="AR174" s="3"/>
    </row>
    <row r="175" spans="1:44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S175" s="3"/>
      <c r="T175" s="3"/>
      <c r="U175" s="3"/>
      <c r="V175" s="3"/>
      <c r="W175" s="3"/>
      <c r="X175" s="3"/>
      <c r="Y175" s="3"/>
      <c r="Z175" s="3"/>
      <c r="AB175" s="3"/>
      <c r="AC175" s="3"/>
      <c r="AD175" s="3"/>
      <c r="AE175" s="3"/>
      <c r="AF175" s="3"/>
      <c r="AG175" s="3"/>
      <c r="AH175" s="3"/>
      <c r="AI175" s="3"/>
      <c r="AK175" s="3"/>
      <c r="AL175" s="3"/>
      <c r="AM175" s="3"/>
      <c r="AN175" s="3"/>
      <c r="AO175" s="3"/>
      <c r="AP175" s="3"/>
      <c r="AQ175" s="3"/>
      <c r="AR175" s="3"/>
    </row>
    <row r="176" spans="1:44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S176" s="3"/>
      <c r="T176" s="3"/>
      <c r="U176" s="3"/>
      <c r="V176" s="3"/>
      <c r="W176" s="3"/>
      <c r="X176" s="3"/>
      <c r="Y176" s="3"/>
      <c r="Z176" s="3"/>
      <c r="AB176" s="3"/>
      <c r="AC176" s="3"/>
      <c r="AD176" s="3"/>
      <c r="AE176" s="3"/>
      <c r="AF176" s="3"/>
      <c r="AG176" s="3"/>
      <c r="AH176" s="3"/>
      <c r="AI176" s="3"/>
      <c r="AK176" s="3"/>
      <c r="AL176" s="3"/>
      <c r="AM176" s="3"/>
      <c r="AN176" s="3"/>
      <c r="AO176" s="3"/>
      <c r="AP176" s="3"/>
      <c r="AQ176" s="3"/>
      <c r="AR176" s="3"/>
    </row>
    <row r="177" spans="1:44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S177" s="3"/>
      <c r="T177" s="3"/>
      <c r="U177" s="3"/>
      <c r="V177" s="3"/>
      <c r="W177" s="3"/>
      <c r="X177" s="3"/>
      <c r="Y177" s="3"/>
      <c r="Z177" s="3"/>
      <c r="AB177" s="3"/>
      <c r="AC177" s="3"/>
      <c r="AD177" s="3"/>
      <c r="AE177" s="3"/>
      <c r="AF177" s="3"/>
      <c r="AG177" s="3"/>
      <c r="AH177" s="3"/>
      <c r="AI177" s="3"/>
      <c r="AK177" s="3"/>
      <c r="AL177" s="3"/>
      <c r="AM177" s="3"/>
      <c r="AN177" s="3"/>
      <c r="AO177" s="3"/>
      <c r="AP177" s="3"/>
      <c r="AQ177" s="3"/>
      <c r="AR177" s="3"/>
    </row>
    <row r="178" spans="1:44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S178" s="3"/>
      <c r="T178" s="3"/>
      <c r="U178" s="3"/>
      <c r="V178" s="3"/>
      <c r="W178" s="3"/>
      <c r="X178" s="3"/>
      <c r="Y178" s="3"/>
      <c r="Z178" s="3"/>
      <c r="AB178" s="3"/>
      <c r="AC178" s="3"/>
      <c r="AD178" s="3"/>
      <c r="AE178" s="3"/>
      <c r="AF178" s="3"/>
      <c r="AG178" s="3"/>
      <c r="AH178" s="3"/>
      <c r="AI178" s="3"/>
      <c r="AK178" s="3"/>
      <c r="AL178" s="3"/>
      <c r="AM178" s="3"/>
      <c r="AN178" s="3"/>
      <c r="AO178" s="3"/>
      <c r="AP178" s="3"/>
      <c r="AQ178" s="3"/>
      <c r="AR178" s="3"/>
    </row>
    <row r="179" spans="1:44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S179" s="3"/>
      <c r="T179" s="3"/>
      <c r="U179" s="3"/>
      <c r="V179" s="3"/>
      <c r="W179" s="3"/>
      <c r="X179" s="3"/>
      <c r="Y179" s="3"/>
      <c r="Z179" s="3"/>
      <c r="AB179" s="3"/>
      <c r="AC179" s="3"/>
      <c r="AD179" s="3"/>
      <c r="AE179" s="3"/>
      <c r="AF179" s="3"/>
      <c r="AG179" s="3"/>
      <c r="AH179" s="3"/>
      <c r="AI179" s="3"/>
      <c r="AK179" s="3"/>
      <c r="AL179" s="3"/>
      <c r="AM179" s="3"/>
      <c r="AN179" s="3"/>
      <c r="AO179" s="3"/>
      <c r="AP179" s="3"/>
      <c r="AQ179" s="3"/>
      <c r="AR179" s="3"/>
    </row>
    <row r="180" spans="1:44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S180" s="3"/>
      <c r="T180" s="3"/>
      <c r="U180" s="3"/>
      <c r="V180" s="3"/>
      <c r="W180" s="3"/>
      <c r="X180" s="3"/>
      <c r="Y180" s="3"/>
      <c r="Z180" s="3"/>
      <c r="AB180" s="3"/>
      <c r="AC180" s="3"/>
      <c r="AD180" s="3"/>
      <c r="AE180" s="3"/>
      <c r="AF180" s="3"/>
      <c r="AG180" s="3"/>
      <c r="AH180" s="3"/>
      <c r="AI180" s="3"/>
      <c r="AK180" s="3"/>
      <c r="AL180" s="3"/>
      <c r="AM180" s="3"/>
      <c r="AN180" s="3"/>
      <c r="AO180" s="3"/>
      <c r="AP180" s="3"/>
      <c r="AQ180" s="3"/>
      <c r="AR180" s="3"/>
    </row>
    <row r="181" spans="1:44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S181" s="3"/>
      <c r="T181" s="3"/>
      <c r="U181" s="3"/>
      <c r="V181" s="3"/>
      <c r="W181" s="3"/>
      <c r="X181" s="3"/>
      <c r="Y181" s="3"/>
      <c r="Z181" s="3"/>
      <c r="AB181" s="3"/>
      <c r="AC181" s="3"/>
      <c r="AD181" s="3"/>
      <c r="AE181" s="3"/>
      <c r="AF181" s="3"/>
      <c r="AG181" s="3"/>
      <c r="AH181" s="3"/>
      <c r="AI181" s="3"/>
      <c r="AK181" s="3"/>
      <c r="AL181" s="3"/>
      <c r="AM181" s="3"/>
      <c r="AN181" s="3"/>
      <c r="AO181" s="3"/>
      <c r="AP181" s="3"/>
      <c r="AQ181" s="3"/>
      <c r="AR181" s="3"/>
    </row>
    <row r="182" spans="1:44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S182" s="3"/>
      <c r="T182" s="3"/>
      <c r="U182" s="3"/>
      <c r="V182" s="3"/>
      <c r="W182" s="3"/>
      <c r="X182" s="3"/>
      <c r="Y182" s="3"/>
      <c r="Z182" s="3"/>
      <c r="AB182" s="3"/>
      <c r="AC182" s="3"/>
      <c r="AD182" s="3"/>
      <c r="AE182" s="3"/>
      <c r="AF182" s="3"/>
      <c r="AG182" s="3"/>
      <c r="AH182" s="3"/>
      <c r="AI182" s="3"/>
      <c r="AK182" s="3"/>
      <c r="AL182" s="3"/>
      <c r="AM182" s="3"/>
      <c r="AN182" s="3"/>
      <c r="AO182" s="3"/>
      <c r="AP182" s="3"/>
      <c r="AQ182" s="3"/>
      <c r="AR182" s="3"/>
    </row>
    <row r="183" spans="1:44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S183" s="3"/>
      <c r="T183" s="3"/>
      <c r="U183" s="3"/>
      <c r="V183" s="3"/>
      <c r="W183" s="3"/>
      <c r="X183" s="3"/>
      <c r="Y183" s="3"/>
      <c r="Z183" s="3"/>
      <c r="AB183" s="3"/>
      <c r="AC183" s="3"/>
      <c r="AD183" s="3"/>
      <c r="AE183" s="3"/>
      <c r="AF183" s="3"/>
      <c r="AG183" s="3"/>
      <c r="AH183" s="3"/>
      <c r="AI183" s="3"/>
      <c r="AK183" s="3"/>
      <c r="AL183" s="3"/>
      <c r="AM183" s="3"/>
      <c r="AN183" s="3"/>
      <c r="AO183" s="3"/>
      <c r="AP183" s="3"/>
      <c r="AQ183" s="3"/>
      <c r="AR183" s="3"/>
    </row>
    <row r="184" spans="1:44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S184" s="3"/>
      <c r="T184" s="3"/>
      <c r="U184" s="3"/>
      <c r="V184" s="3"/>
      <c r="W184" s="3"/>
      <c r="X184" s="3"/>
      <c r="Y184" s="3"/>
      <c r="Z184" s="3"/>
      <c r="AB184" s="3"/>
      <c r="AC184" s="3"/>
      <c r="AD184" s="3"/>
      <c r="AE184" s="3"/>
      <c r="AF184" s="3"/>
      <c r="AG184" s="3"/>
      <c r="AH184" s="3"/>
      <c r="AI184" s="3"/>
      <c r="AK184" s="3"/>
      <c r="AL184" s="3"/>
      <c r="AM184" s="3"/>
      <c r="AN184" s="3"/>
      <c r="AO184" s="3"/>
      <c r="AP184" s="3"/>
      <c r="AQ184" s="3"/>
      <c r="AR184" s="3"/>
    </row>
    <row r="185" spans="1:44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S185" s="3"/>
      <c r="T185" s="3"/>
      <c r="U185" s="3"/>
      <c r="V185" s="3"/>
      <c r="W185" s="3"/>
      <c r="X185" s="3"/>
      <c r="Y185" s="3"/>
      <c r="Z185" s="3"/>
      <c r="AB185" s="3"/>
      <c r="AC185" s="3"/>
      <c r="AD185" s="3"/>
      <c r="AE185" s="3"/>
      <c r="AF185" s="3"/>
      <c r="AG185" s="3"/>
      <c r="AH185" s="3"/>
      <c r="AI185" s="3"/>
      <c r="AK185" s="3"/>
      <c r="AL185" s="3"/>
      <c r="AM185" s="3"/>
      <c r="AN185" s="3"/>
      <c r="AO185" s="3"/>
      <c r="AP185" s="3"/>
      <c r="AQ185" s="3"/>
      <c r="AR185" s="3"/>
    </row>
    <row r="186" spans="1:44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S186" s="3"/>
      <c r="T186" s="3"/>
      <c r="U186" s="3"/>
      <c r="V186" s="3"/>
      <c r="W186" s="3"/>
      <c r="X186" s="3"/>
      <c r="Y186" s="3"/>
      <c r="Z186" s="3"/>
      <c r="AB186" s="3"/>
      <c r="AC186" s="3"/>
      <c r="AD186" s="3"/>
      <c r="AE186" s="3"/>
      <c r="AF186" s="3"/>
      <c r="AG186" s="3"/>
      <c r="AH186" s="3"/>
      <c r="AI186" s="3"/>
      <c r="AK186" s="3"/>
      <c r="AL186" s="3"/>
      <c r="AM186" s="3"/>
      <c r="AN186" s="3"/>
      <c r="AO186" s="3"/>
      <c r="AP186" s="3"/>
      <c r="AQ186" s="3"/>
      <c r="AR186" s="3"/>
    </row>
    <row r="187" spans="1:44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S187" s="3"/>
      <c r="T187" s="3"/>
      <c r="U187" s="3"/>
      <c r="V187" s="3"/>
      <c r="W187" s="3"/>
      <c r="X187" s="3"/>
      <c r="Y187" s="3"/>
      <c r="Z187" s="3"/>
      <c r="AB187" s="3"/>
      <c r="AC187" s="3"/>
      <c r="AD187" s="3"/>
      <c r="AE187" s="3"/>
      <c r="AF187" s="3"/>
      <c r="AG187" s="3"/>
      <c r="AH187" s="3"/>
      <c r="AI187" s="3"/>
      <c r="AK187" s="3"/>
      <c r="AL187" s="3"/>
      <c r="AM187" s="3"/>
      <c r="AN187" s="3"/>
      <c r="AO187" s="3"/>
      <c r="AP187" s="3"/>
      <c r="AQ187" s="3"/>
      <c r="AR187" s="3"/>
    </row>
    <row r="188" spans="1:44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S188" s="3"/>
      <c r="T188" s="3"/>
      <c r="U188" s="3"/>
      <c r="V188" s="3"/>
      <c r="W188" s="3"/>
      <c r="X188" s="3"/>
      <c r="Y188" s="3"/>
      <c r="Z188" s="3"/>
      <c r="AB188" s="3"/>
      <c r="AC188" s="3"/>
      <c r="AD188" s="3"/>
      <c r="AE188" s="3"/>
      <c r="AF188" s="3"/>
      <c r="AG188" s="3"/>
      <c r="AH188" s="3"/>
      <c r="AI188" s="3"/>
      <c r="AK188" s="3"/>
      <c r="AL188" s="3"/>
      <c r="AM188" s="3"/>
      <c r="AN188" s="3"/>
      <c r="AO188" s="3"/>
      <c r="AP188" s="3"/>
      <c r="AQ188" s="3"/>
      <c r="AR188" s="3"/>
    </row>
    <row r="189" spans="1:44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S189" s="3"/>
      <c r="T189" s="3"/>
      <c r="U189" s="3"/>
      <c r="V189" s="3"/>
      <c r="W189" s="3"/>
      <c r="X189" s="3"/>
      <c r="Y189" s="3"/>
      <c r="Z189" s="3"/>
      <c r="AB189" s="3"/>
      <c r="AC189" s="3"/>
      <c r="AD189" s="3"/>
      <c r="AE189" s="3"/>
      <c r="AF189" s="3"/>
      <c r="AG189" s="3"/>
      <c r="AH189" s="3"/>
      <c r="AI189" s="3"/>
      <c r="AK189" s="3"/>
      <c r="AL189" s="3"/>
      <c r="AM189" s="3"/>
      <c r="AN189" s="3"/>
      <c r="AO189" s="3"/>
      <c r="AP189" s="3"/>
      <c r="AQ189" s="3"/>
      <c r="AR189" s="3"/>
    </row>
    <row r="190" spans="1:44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S190" s="3"/>
      <c r="T190" s="3"/>
      <c r="U190" s="3"/>
      <c r="V190" s="3"/>
      <c r="W190" s="3"/>
      <c r="X190" s="3"/>
      <c r="Y190" s="3"/>
      <c r="Z190" s="3"/>
      <c r="AB190" s="3"/>
      <c r="AC190" s="3"/>
      <c r="AD190" s="3"/>
      <c r="AE190" s="3"/>
      <c r="AF190" s="3"/>
      <c r="AG190" s="3"/>
      <c r="AH190" s="3"/>
      <c r="AI190" s="3"/>
      <c r="AK190" s="3"/>
      <c r="AL190" s="3"/>
      <c r="AM190" s="3"/>
      <c r="AN190" s="3"/>
      <c r="AO190" s="3"/>
      <c r="AP190" s="3"/>
      <c r="AQ190" s="3"/>
      <c r="AR190" s="3"/>
    </row>
    <row r="191" spans="1:44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S191" s="3"/>
      <c r="T191" s="3"/>
      <c r="U191" s="3"/>
      <c r="V191" s="3"/>
      <c r="W191" s="3"/>
      <c r="X191" s="3"/>
      <c r="Y191" s="3"/>
      <c r="Z191" s="3"/>
      <c r="AB191" s="3"/>
      <c r="AC191" s="3"/>
      <c r="AD191" s="3"/>
      <c r="AE191" s="3"/>
      <c r="AF191" s="3"/>
      <c r="AG191" s="3"/>
      <c r="AH191" s="3"/>
      <c r="AI191" s="3"/>
      <c r="AK191" s="3"/>
      <c r="AL191" s="3"/>
      <c r="AM191" s="3"/>
      <c r="AN191" s="3"/>
      <c r="AO191" s="3"/>
      <c r="AP191" s="3"/>
      <c r="AQ191" s="3"/>
      <c r="AR191" s="3"/>
    </row>
    <row r="192" spans="1:44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S192" s="3"/>
      <c r="T192" s="3"/>
      <c r="U192" s="3"/>
      <c r="V192" s="3"/>
      <c r="W192" s="3"/>
      <c r="X192" s="3"/>
      <c r="Y192" s="3"/>
      <c r="Z192" s="3"/>
      <c r="AB192" s="3"/>
      <c r="AC192" s="3"/>
      <c r="AD192" s="3"/>
      <c r="AE192" s="3"/>
      <c r="AF192" s="3"/>
      <c r="AG192" s="3"/>
      <c r="AH192" s="3"/>
      <c r="AI192" s="3"/>
      <c r="AK192" s="3"/>
      <c r="AL192" s="3"/>
      <c r="AM192" s="3"/>
      <c r="AN192" s="3"/>
      <c r="AO192" s="3"/>
      <c r="AP192" s="3"/>
      <c r="AQ192" s="3"/>
      <c r="AR192" s="3"/>
    </row>
    <row r="193" spans="1:44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S193" s="3"/>
      <c r="T193" s="3"/>
      <c r="U193" s="3"/>
      <c r="V193" s="3"/>
      <c r="W193" s="3"/>
      <c r="X193" s="3"/>
      <c r="Y193" s="3"/>
      <c r="Z193" s="3"/>
      <c r="AB193" s="3"/>
      <c r="AC193" s="3"/>
      <c r="AD193" s="3"/>
      <c r="AE193" s="3"/>
      <c r="AF193" s="3"/>
      <c r="AG193" s="3"/>
      <c r="AH193" s="3"/>
      <c r="AI193" s="3"/>
      <c r="AK193" s="3"/>
      <c r="AL193" s="3"/>
      <c r="AM193" s="3"/>
      <c r="AN193" s="3"/>
      <c r="AO193" s="3"/>
      <c r="AP193" s="3"/>
      <c r="AQ193" s="3"/>
      <c r="AR193" s="3"/>
    </row>
    <row r="194" spans="1:44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S194" s="3"/>
      <c r="T194" s="3"/>
      <c r="U194" s="3"/>
      <c r="V194" s="3"/>
      <c r="W194" s="3"/>
      <c r="X194" s="3"/>
      <c r="Y194" s="3"/>
      <c r="Z194" s="3"/>
      <c r="AB194" s="3"/>
      <c r="AC194" s="3"/>
      <c r="AD194" s="3"/>
      <c r="AE194" s="3"/>
      <c r="AF194" s="3"/>
      <c r="AG194" s="3"/>
      <c r="AH194" s="3"/>
      <c r="AI194" s="3"/>
      <c r="AK194" s="3"/>
      <c r="AL194" s="3"/>
      <c r="AM194" s="3"/>
      <c r="AN194" s="3"/>
      <c r="AO194" s="3"/>
      <c r="AP194" s="3"/>
      <c r="AQ194" s="3"/>
      <c r="AR194" s="3"/>
    </row>
    <row r="195" spans="1:44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S195" s="3"/>
      <c r="T195" s="3"/>
      <c r="U195" s="3"/>
      <c r="V195" s="3"/>
      <c r="W195" s="3"/>
      <c r="X195" s="3"/>
      <c r="Y195" s="3"/>
      <c r="Z195" s="3"/>
      <c r="AB195" s="3"/>
      <c r="AC195" s="3"/>
      <c r="AD195" s="3"/>
      <c r="AE195" s="3"/>
      <c r="AF195" s="3"/>
      <c r="AG195" s="3"/>
      <c r="AH195" s="3"/>
      <c r="AI195" s="3"/>
      <c r="AK195" s="3"/>
      <c r="AL195" s="3"/>
      <c r="AM195" s="3"/>
      <c r="AN195" s="3"/>
      <c r="AO195" s="3"/>
      <c r="AP195" s="3"/>
      <c r="AQ195" s="3"/>
      <c r="AR195" s="3"/>
    </row>
    <row r="196" spans="1:44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S196" s="3"/>
      <c r="T196" s="3"/>
      <c r="U196" s="3"/>
      <c r="V196" s="3"/>
      <c r="W196" s="3"/>
      <c r="X196" s="3"/>
      <c r="Y196" s="3"/>
      <c r="Z196" s="3"/>
      <c r="AB196" s="3"/>
      <c r="AC196" s="3"/>
      <c r="AD196" s="3"/>
      <c r="AE196" s="3"/>
      <c r="AF196" s="3"/>
      <c r="AG196" s="3"/>
      <c r="AH196" s="3"/>
      <c r="AI196" s="3"/>
      <c r="AK196" s="3"/>
      <c r="AL196" s="3"/>
      <c r="AM196" s="3"/>
      <c r="AN196" s="3"/>
      <c r="AO196" s="3"/>
      <c r="AP196" s="3"/>
      <c r="AQ196" s="3"/>
      <c r="AR196" s="3"/>
    </row>
    <row r="197" spans="1:44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S197" s="3"/>
      <c r="T197" s="3"/>
      <c r="U197" s="3"/>
      <c r="V197" s="3"/>
      <c r="W197" s="3"/>
      <c r="X197" s="3"/>
      <c r="Y197" s="3"/>
      <c r="Z197" s="3"/>
      <c r="AB197" s="3"/>
      <c r="AC197" s="3"/>
      <c r="AD197" s="3"/>
      <c r="AE197" s="3"/>
      <c r="AF197" s="3"/>
      <c r="AG197" s="3"/>
      <c r="AH197" s="3"/>
      <c r="AI197" s="3"/>
      <c r="AK197" s="3"/>
      <c r="AL197" s="3"/>
      <c r="AM197" s="3"/>
      <c r="AN197" s="3"/>
      <c r="AO197" s="3"/>
      <c r="AP197" s="3"/>
      <c r="AQ197" s="3"/>
      <c r="AR197" s="3"/>
    </row>
    <row r="198" spans="1:44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S198" s="3"/>
      <c r="T198" s="3"/>
      <c r="U198" s="3"/>
      <c r="V198" s="3"/>
      <c r="W198" s="3"/>
      <c r="X198" s="3"/>
      <c r="Y198" s="3"/>
      <c r="Z198" s="3"/>
      <c r="AB198" s="3"/>
      <c r="AC198" s="3"/>
      <c r="AD198" s="3"/>
      <c r="AE198" s="3"/>
      <c r="AF198" s="3"/>
      <c r="AG198" s="3"/>
      <c r="AH198" s="3"/>
      <c r="AI198" s="3"/>
      <c r="AK198" s="3"/>
      <c r="AL198" s="3"/>
      <c r="AM198" s="3"/>
      <c r="AN198" s="3"/>
      <c r="AO198" s="3"/>
      <c r="AP198" s="3"/>
      <c r="AQ198" s="3"/>
      <c r="AR198" s="3"/>
    </row>
    <row r="199" spans="1:44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S199" s="3"/>
      <c r="T199" s="3"/>
      <c r="U199" s="3"/>
      <c r="V199" s="3"/>
      <c r="W199" s="3"/>
      <c r="X199" s="3"/>
      <c r="Y199" s="3"/>
      <c r="Z199" s="3"/>
      <c r="AB199" s="3"/>
      <c r="AC199" s="3"/>
      <c r="AD199" s="3"/>
      <c r="AE199" s="3"/>
      <c r="AF199" s="3"/>
      <c r="AG199" s="3"/>
      <c r="AH199" s="3"/>
      <c r="AI199" s="3"/>
      <c r="AK199" s="3"/>
      <c r="AL199" s="3"/>
      <c r="AM199" s="3"/>
      <c r="AN199" s="3"/>
      <c r="AO199" s="3"/>
      <c r="AP199" s="3"/>
      <c r="AQ199" s="3"/>
      <c r="AR199" s="3"/>
    </row>
    <row r="200" spans="1:44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S200" s="3"/>
      <c r="T200" s="3"/>
      <c r="U200" s="3"/>
      <c r="V200" s="3"/>
      <c r="W200" s="3"/>
      <c r="X200" s="3"/>
      <c r="Y200" s="3"/>
      <c r="Z200" s="3"/>
      <c r="AB200" s="3"/>
      <c r="AC200" s="3"/>
      <c r="AD200" s="3"/>
      <c r="AE200" s="3"/>
      <c r="AF200" s="3"/>
      <c r="AG200" s="3"/>
      <c r="AH200" s="3"/>
      <c r="AI200" s="3"/>
      <c r="AK200" s="3"/>
      <c r="AL200" s="3"/>
      <c r="AM200" s="3"/>
      <c r="AN200" s="3"/>
      <c r="AO200" s="3"/>
      <c r="AP200" s="3"/>
      <c r="AQ200" s="3"/>
      <c r="AR200" s="3"/>
    </row>
    <row r="201" spans="1:44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S201" s="3"/>
      <c r="T201" s="3"/>
      <c r="U201" s="3"/>
      <c r="V201" s="3"/>
      <c r="W201" s="3"/>
      <c r="X201" s="3"/>
      <c r="Y201" s="3"/>
      <c r="Z201" s="3"/>
      <c r="AB201" s="3"/>
      <c r="AC201" s="3"/>
      <c r="AD201" s="3"/>
      <c r="AE201" s="3"/>
      <c r="AF201" s="3"/>
      <c r="AG201" s="3"/>
      <c r="AH201" s="3"/>
      <c r="AI201" s="3"/>
      <c r="AK201" s="3"/>
      <c r="AL201" s="3"/>
      <c r="AM201" s="3"/>
      <c r="AN201" s="3"/>
      <c r="AO201" s="3"/>
      <c r="AP201" s="3"/>
      <c r="AQ201" s="3"/>
      <c r="AR201" s="3"/>
    </row>
    <row r="202" spans="1:44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S202" s="3"/>
      <c r="T202" s="3"/>
      <c r="U202" s="3"/>
      <c r="V202" s="3"/>
      <c r="W202" s="3"/>
      <c r="X202" s="3"/>
      <c r="Y202" s="3"/>
      <c r="Z202" s="3"/>
      <c r="AB202" s="3"/>
      <c r="AC202" s="3"/>
      <c r="AD202" s="3"/>
      <c r="AE202" s="3"/>
      <c r="AF202" s="3"/>
      <c r="AG202" s="3"/>
      <c r="AH202" s="3"/>
      <c r="AI202" s="3"/>
      <c r="AK202" s="3"/>
      <c r="AL202" s="3"/>
      <c r="AM202" s="3"/>
      <c r="AN202" s="3"/>
      <c r="AO202" s="3"/>
      <c r="AP202" s="3"/>
      <c r="AQ202" s="3"/>
      <c r="AR202" s="3"/>
    </row>
    <row r="203" spans="1:44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S203" s="3"/>
      <c r="T203" s="3"/>
      <c r="U203" s="3"/>
      <c r="V203" s="3"/>
      <c r="W203" s="3"/>
      <c r="X203" s="3"/>
      <c r="Y203" s="3"/>
      <c r="Z203" s="3"/>
      <c r="AB203" s="3"/>
      <c r="AC203" s="3"/>
      <c r="AD203" s="3"/>
      <c r="AE203" s="3"/>
      <c r="AF203" s="3"/>
      <c r="AG203" s="3"/>
      <c r="AH203" s="3"/>
      <c r="AI203" s="3"/>
      <c r="AK203" s="3"/>
      <c r="AL203" s="3"/>
      <c r="AM203" s="3"/>
      <c r="AN203" s="3"/>
      <c r="AO203" s="3"/>
      <c r="AP203" s="3"/>
      <c r="AQ203" s="3"/>
      <c r="AR203" s="3"/>
    </row>
    <row r="204" spans="1:44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S204" s="3"/>
      <c r="T204" s="3"/>
      <c r="U204" s="3"/>
      <c r="V204" s="3"/>
      <c r="W204" s="3"/>
      <c r="X204" s="3"/>
      <c r="Y204" s="3"/>
      <c r="Z204" s="3"/>
      <c r="AB204" s="3"/>
      <c r="AC204" s="3"/>
      <c r="AD204" s="3"/>
      <c r="AE204" s="3"/>
      <c r="AF204" s="3"/>
      <c r="AG204" s="3"/>
      <c r="AH204" s="3"/>
      <c r="AI204" s="3"/>
      <c r="AK204" s="3"/>
      <c r="AL204" s="3"/>
      <c r="AM204" s="3"/>
      <c r="AN204" s="3"/>
      <c r="AO204" s="3"/>
      <c r="AP204" s="3"/>
      <c r="AQ204" s="3"/>
      <c r="AR204" s="3"/>
    </row>
    <row r="205" spans="1:44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S205" s="3"/>
      <c r="T205" s="3"/>
      <c r="U205" s="3"/>
      <c r="V205" s="3"/>
      <c r="W205" s="3"/>
      <c r="X205" s="3"/>
      <c r="Y205" s="3"/>
      <c r="Z205" s="3"/>
      <c r="AB205" s="3"/>
      <c r="AC205" s="3"/>
      <c r="AD205" s="3"/>
      <c r="AE205" s="3"/>
      <c r="AF205" s="3"/>
      <c r="AG205" s="3"/>
      <c r="AH205" s="3"/>
      <c r="AI205" s="3"/>
      <c r="AK205" s="3"/>
      <c r="AL205" s="3"/>
      <c r="AM205" s="3"/>
      <c r="AN205" s="3"/>
      <c r="AO205" s="3"/>
      <c r="AP205" s="3"/>
      <c r="AQ205" s="3"/>
      <c r="AR205" s="3"/>
    </row>
    <row r="206" spans="1:44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S206" s="3"/>
      <c r="T206" s="3"/>
      <c r="U206" s="3"/>
      <c r="V206" s="3"/>
      <c r="W206" s="3"/>
      <c r="X206" s="3"/>
      <c r="Y206" s="3"/>
      <c r="Z206" s="3"/>
      <c r="AB206" s="3"/>
      <c r="AC206" s="3"/>
      <c r="AD206" s="3"/>
      <c r="AE206" s="3"/>
      <c r="AF206" s="3"/>
      <c r="AG206" s="3"/>
      <c r="AH206" s="3"/>
      <c r="AI206" s="3"/>
      <c r="AK206" s="3"/>
      <c r="AL206" s="3"/>
      <c r="AM206" s="3"/>
      <c r="AN206" s="3"/>
      <c r="AO206" s="3"/>
      <c r="AP206" s="3"/>
      <c r="AQ206" s="3"/>
      <c r="AR206" s="3"/>
    </row>
    <row r="207" spans="1:44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S207" s="3"/>
      <c r="T207" s="3"/>
      <c r="U207" s="3"/>
      <c r="V207" s="3"/>
      <c r="W207" s="3"/>
      <c r="X207" s="3"/>
      <c r="Y207" s="3"/>
      <c r="Z207" s="3"/>
      <c r="AB207" s="3"/>
      <c r="AC207" s="3"/>
      <c r="AD207" s="3"/>
      <c r="AE207" s="3"/>
      <c r="AF207" s="3"/>
      <c r="AG207" s="3"/>
      <c r="AH207" s="3"/>
      <c r="AI207" s="3"/>
      <c r="AK207" s="3"/>
      <c r="AL207" s="3"/>
      <c r="AM207" s="3"/>
      <c r="AN207" s="3"/>
      <c r="AO207" s="3"/>
      <c r="AP207" s="3"/>
      <c r="AQ207" s="3"/>
      <c r="AR207" s="3"/>
    </row>
    <row r="208" spans="1:44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S208" s="3"/>
      <c r="T208" s="3"/>
      <c r="U208" s="3"/>
      <c r="V208" s="3"/>
      <c r="W208" s="3"/>
      <c r="X208" s="3"/>
      <c r="Y208" s="3"/>
      <c r="Z208" s="3"/>
      <c r="AB208" s="3"/>
      <c r="AC208" s="3"/>
      <c r="AD208" s="3"/>
      <c r="AE208" s="3"/>
      <c r="AF208" s="3"/>
      <c r="AG208" s="3"/>
      <c r="AH208" s="3"/>
      <c r="AI208" s="3"/>
      <c r="AK208" s="3"/>
      <c r="AL208" s="3"/>
      <c r="AM208" s="3"/>
      <c r="AN208" s="3"/>
      <c r="AO208" s="3"/>
      <c r="AP208" s="3"/>
      <c r="AQ208" s="3"/>
      <c r="AR208" s="3"/>
    </row>
    <row r="209" spans="1:44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S209" s="3"/>
      <c r="T209" s="3"/>
      <c r="U209" s="3"/>
      <c r="V209" s="3"/>
      <c r="W209" s="3"/>
      <c r="X209" s="3"/>
      <c r="Y209" s="3"/>
      <c r="Z209" s="3"/>
      <c r="AB209" s="3"/>
      <c r="AC209" s="3"/>
      <c r="AD209" s="3"/>
      <c r="AE209" s="3"/>
      <c r="AF209" s="3"/>
      <c r="AG209" s="3"/>
      <c r="AH209" s="3"/>
      <c r="AI209" s="3"/>
      <c r="AK209" s="3"/>
      <c r="AL209" s="3"/>
      <c r="AM209" s="3"/>
      <c r="AN209" s="3"/>
      <c r="AO209" s="3"/>
      <c r="AP209" s="3"/>
      <c r="AQ209" s="3"/>
      <c r="AR209" s="3"/>
    </row>
    <row r="210" spans="1:44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S210" s="3"/>
      <c r="T210" s="3"/>
      <c r="U210" s="3"/>
      <c r="V210" s="3"/>
      <c r="W210" s="3"/>
      <c r="X210" s="3"/>
      <c r="Y210" s="3"/>
      <c r="Z210" s="3"/>
      <c r="AB210" s="3"/>
      <c r="AC210" s="3"/>
      <c r="AD210" s="3"/>
      <c r="AE210" s="3"/>
      <c r="AF210" s="3"/>
      <c r="AG210" s="3"/>
      <c r="AH210" s="3"/>
      <c r="AI210" s="3"/>
      <c r="AK210" s="3"/>
      <c r="AL210" s="3"/>
      <c r="AM210" s="3"/>
      <c r="AN210" s="3"/>
      <c r="AO210" s="3"/>
      <c r="AP210" s="3"/>
      <c r="AQ210" s="3"/>
      <c r="AR210" s="3"/>
    </row>
    <row r="211" spans="1:44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S211" s="3"/>
      <c r="T211" s="3"/>
      <c r="U211" s="3"/>
      <c r="V211" s="3"/>
      <c r="W211" s="3"/>
      <c r="X211" s="3"/>
      <c r="Y211" s="3"/>
      <c r="Z211" s="3"/>
      <c r="AB211" s="3"/>
      <c r="AC211" s="3"/>
      <c r="AD211" s="3"/>
      <c r="AE211" s="3"/>
      <c r="AF211" s="3"/>
      <c r="AG211" s="3"/>
      <c r="AH211" s="3"/>
      <c r="AI211" s="3"/>
      <c r="AK211" s="3"/>
      <c r="AL211" s="3"/>
      <c r="AM211" s="3"/>
      <c r="AN211" s="3"/>
      <c r="AO211" s="3"/>
      <c r="AP211" s="3"/>
      <c r="AQ211" s="3"/>
      <c r="AR211" s="3"/>
    </row>
    <row r="212" spans="1:44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S212" s="3"/>
      <c r="T212" s="3"/>
      <c r="U212" s="3"/>
      <c r="V212" s="3"/>
      <c r="W212" s="3"/>
      <c r="X212" s="3"/>
      <c r="Y212" s="3"/>
      <c r="Z212" s="3"/>
      <c r="AB212" s="3"/>
      <c r="AC212" s="3"/>
      <c r="AD212" s="3"/>
      <c r="AE212" s="3"/>
      <c r="AF212" s="3"/>
      <c r="AG212" s="3"/>
      <c r="AH212" s="3"/>
      <c r="AI212" s="3"/>
      <c r="AK212" s="3"/>
      <c r="AL212" s="3"/>
      <c r="AM212" s="3"/>
      <c r="AN212" s="3"/>
      <c r="AO212" s="3"/>
      <c r="AP212" s="3"/>
      <c r="AQ212" s="3"/>
      <c r="AR212" s="3"/>
    </row>
    <row r="213" spans="1:44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S213" s="3"/>
      <c r="T213" s="3"/>
      <c r="U213" s="3"/>
      <c r="V213" s="3"/>
      <c r="W213" s="3"/>
      <c r="X213" s="3"/>
      <c r="Y213" s="3"/>
      <c r="Z213" s="3"/>
      <c r="AB213" s="3"/>
      <c r="AC213" s="3"/>
      <c r="AD213" s="3"/>
      <c r="AE213" s="3"/>
      <c r="AF213" s="3"/>
      <c r="AG213" s="3"/>
      <c r="AH213" s="3"/>
      <c r="AI213" s="3"/>
      <c r="AK213" s="3"/>
      <c r="AL213" s="3"/>
      <c r="AM213" s="3"/>
      <c r="AN213" s="3"/>
      <c r="AO213" s="3"/>
      <c r="AP213" s="3"/>
      <c r="AQ213" s="3"/>
      <c r="AR213" s="3"/>
    </row>
    <row r="214" spans="1:44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S214" s="3"/>
      <c r="T214" s="3"/>
      <c r="U214" s="3"/>
      <c r="V214" s="3"/>
      <c r="W214" s="3"/>
      <c r="X214" s="3"/>
      <c r="Y214" s="3"/>
      <c r="Z214" s="3"/>
      <c r="AB214" s="3"/>
      <c r="AC214" s="3"/>
      <c r="AD214" s="3"/>
      <c r="AE214" s="3"/>
      <c r="AF214" s="3"/>
      <c r="AG214" s="3"/>
      <c r="AH214" s="3"/>
      <c r="AI214" s="3"/>
      <c r="AK214" s="3"/>
      <c r="AL214" s="3"/>
      <c r="AM214" s="3"/>
      <c r="AN214" s="3"/>
      <c r="AO214" s="3"/>
      <c r="AP214" s="3"/>
      <c r="AQ214" s="3"/>
      <c r="AR214" s="3"/>
    </row>
    <row r="215" spans="1:44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S215" s="3"/>
      <c r="T215" s="3"/>
      <c r="U215" s="3"/>
      <c r="V215" s="3"/>
      <c r="W215" s="3"/>
      <c r="X215" s="3"/>
      <c r="Y215" s="3"/>
      <c r="Z215" s="3"/>
      <c r="AB215" s="3"/>
      <c r="AC215" s="3"/>
      <c r="AD215" s="3"/>
      <c r="AE215" s="3"/>
      <c r="AF215" s="3"/>
      <c r="AG215" s="3"/>
      <c r="AH215" s="3"/>
      <c r="AI215" s="3"/>
      <c r="AK215" s="3"/>
      <c r="AL215" s="3"/>
      <c r="AM215" s="3"/>
      <c r="AN215" s="3"/>
      <c r="AO215" s="3"/>
      <c r="AP215" s="3"/>
      <c r="AQ215" s="3"/>
      <c r="AR215" s="3"/>
    </row>
    <row r="216" spans="1:44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S216" s="3"/>
      <c r="T216" s="3"/>
      <c r="U216" s="3"/>
      <c r="V216" s="3"/>
      <c r="W216" s="3"/>
      <c r="X216" s="3"/>
      <c r="Y216" s="3"/>
      <c r="Z216" s="3"/>
      <c r="AB216" s="3"/>
      <c r="AC216" s="3"/>
      <c r="AD216" s="3"/>
      <c r="AE216" s="3"/>
      <c r="AF216" s="3"/>
      <c r="AG216" s="3"/>
      <c r="AH216" s="3"/>
      <c r="AI216" s="3"/>
      <c r="AK216" s="3"/>
      <c r="AL216" s="3"/>
      <c r="AM216" s="3"/>
      <c r="AN216" s="3"/>
      <c r="AO216" s="3"/>
      <c r="AP216" s="3"/>
      <c r="AQ216" s="3"/>
      <c r="AR216" s="3"/>
    </row>
    <row r="217" spans="1:44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S217" s="3"/>
      <c r="T217" s="3"/>
      <c r="U217" s="3"/>
      <c r="V217" s="3"/>
      <c r="W217" s="3"/>
      <c r="X217" s="3"/>
      <c r="Y217" s="3"/>
      <c r="Z217" s="3"/>
      <c r="AB217" s="3"/>
      <c r="AC217" s="3"/>
      <c r="AD217" s="3"/>
      <c r="AE217" s="3"/>
      <c r="AF217" s="3"/>
      <c r="AG217" s="3"/>
      <c r="AH217" s="3"/>
      <c r="AI217" s="3"/>
      <c r="AK217" s="3"/>
      <c r="AL217" s="3"/>
      <c r="AM217" s="3"/>
      <c r="AN217" s="3"/>
      <c r="AO217" s="3"/>
      <c r="AP217" s="3"/>
      <c r="AQ217" s="3"/>
      <c r="AR217" s="3"/>
    </row>
    <row r="218" spans="1:44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S218" s="3"/>
      <c r="T218" s="3"/>
      <c r="U218" s="3"/>
      <c r="V218" s="3"/>
      <c r="W218" s="3"/>
      <c r="X218" s="3"/>
      <c r="Y218" s="3"/>
      <c r="Z218" s="3"/>
      <c r="AB218" s="3"/>
      <c r="AC218" s="3"/>
      <c r="AD218" s="3"/>
      <c r="AE218" s="3"/>
      <c r="AF218" s="3"/>
      <c r="AG218" s="3"/>
      <c r="AH218" s="3"/>
      <c r="AI218" s="3"/>
      <c r="AK218" s="3"/>
      <c r="AL218" s="3"/>
      <c r="AM218" s="3"/>
      <c r="AN218" s="3"/>
      <c r="AO218" s="3"/>
      <c r="AP218" s="3"/>
      <c r="AQ218" s="3"/>
      <c r="AR218" s="3"/>
    </row>
    <row r="219" spans="1:44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S219" s="3"/>
      <c r="T219" s="3"/>
      <c r="U219" s="3"/>
      <c r="V219" s="3"/>
      <c r="W219" s="3"/>
      <c r="X219" s="3"/>
      <c r="Y219" s="3"/>
      <c r="Z219" s="3"/>
      <c r="AB219" s="3"/>
      <c r="AC219" s="3"/>
      <c r="AD219" s="3"/>
      <c r="AE219" s="3"/>
      <c r="AF219" s="3"/>
      <c r="AG219" s="3"/>
      <c r="AH219" s="3"/>
      <c r="AI219" s="3"/>
      <c r="AK219" s="3"/>
      <c r="AL219" s="3"/>
      <c r="AM219" s="3"/>
      <c r="AN219" s="3"/>
      <c r="AO219" s="3"/>
      <c r="AP219" s="3"/>
      <c r="AQ219" s="3"/>
      <c r="AR219" s="3"/>
    </row>
    <row r="220" spans="1:44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S220" s="3"/>
      <c r="T220" s="3"/>
      <c r="U220" s="3"/>
      <c r="V220" s="3"/>
      <c r="W220" s="3"/>
      <c r="X220" s="3"/>
      <c r="Y220" s="3"/>
      <c r="Z220" s="3"/>
      <c r="AB220" s="3"/>
      <c r="AC220" s="3"/>
      <c r="AD220" s="3"/>
      <c r="AE220" s="3"/>
      <c r="AF220" s="3"/>
      <c r="AG220" s="3"/>
      <c r="AH220" s="3"/>
      <c r="AI220" s="3"/>
      <c r="AK220" s="3"/>
      <c r="AL220" s="3"/>
      <c r="AM220" s="3"/>
      <c r="AN220" s="3"/>
      <c r="AO220" s="3"/>
      <c r="AP220" s="3"/>
      <c r="AQ220" s="3"/>
      <c r="AR220" s="3"/>
    </row>
    <row r="221" spans="1:44" ht="16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S221" s="3"/>
      <c r="T221" s="3"/>
      <c r="U221" s="3"/>
      <c r="V221" s="3"/>
      <c r="W221" s="3"/>
      <c r="X221" s="3"/>
      <c r="Y221" s="3"/>
      <c r="Z221" s="3"/>
      <c r="AB221" s="3"/>
      <c r="AC221" s="3"/>
      <c r="AD221" s="3"/>
      <c r="AE221" s="3"/>
      <c r="AF221" s="3"/>
      <c r="AG221" s="3"/>
      <c r="AH221" s="3"/>
      <c r="AI221" s="3"/>
      <c r="AK221" s="3"/>
      <c r="AL221" s="3"/>
      <c r="AM221" s="3"/>
      <c r="AN221" s="3"/>
      <c r="AO221" s="3"/>
      <c r="AP221" s="3"/>
      <c r="AQ221" s="3"/>
      <c r="AR221" s="3"/>
    </row>
    <row r="222" spans="1:44" ht="16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S222" s="3"/>
      <c r="T222" s="3"/>
      <c r="U222" s="3"/>
      <c r="V222" s="3"/>
      <c r="W222" s="3"/>
      <c r="X222" s="3"/>
      <c r="Y222" s="3"/>
      <c r="Z222" s="3"/>
      <c r="AB222" s="3"/>
      <c r="AC222" s="3"/>
      <c r="AD222" s="3"/>
      <c r="AE222" s="3"/>
      <c r="AF222" s="3"/>
      <c r="AG222" s="3"/>
      <c r="AH222" s="3"/>
      <c r="AI222" s="3"/>
      <c r="AK222" s="3"/>
      <c r="AL222" s="3"/>
      <c r="AM222" s="3"/>
      <c r="AN222" s="3"/>
      <c r="AO222" s="3"/>
      <c r="AP222" s="3"/>
      <c r="AQ222" s="3"/>
      <c r="AR222" s="3"/>
    </row>
    <row r="223" spans="1:44" ht="16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S223" s="3"/>
      <c r="T223" s="3"/>
      <c r="U223" s="3"/>
      <c r="V223" s="3"/>
      <c r="W223" s="3"/>
      <c r="X223" s="3"/>
      <c r="Y223" s="3"/>
      <c r="Z223" s="3"/>
      <c r="AB223" s="3"/>
      <c r="AC223" s="3"/>
      <c r="AD223" s="3"/>
      <c r="AE223" s="3"/>
      <c r="AF223" s="3"/>
      <c r="AG223" s="3"/>
      <c r="AH223" s="3"/>
      <c r="AI223" s="3"/>
      <c r="AK223" s="3"/>
      <c r="AL223" s="3"/>
      <c r="AM223" s="3"/>
      <c r="AN223" s="3"/>
      <c r="AO223" s="3"/>
      <c r="AP223" s="3"/>
      <c r="AQ223" s="3"/>
      <c r="AR223" s="3"/>
    </row>
    <row r="224" spans="1:44" ht="16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S224" s="3"/>
      <c r="T224" s="3"/>
      <c r="U224" s="3"/>
      <c r="V224" s="3"/>
      <c r="W224" s="3"/>
      <c r="X224" s="3"/>
      <c r="Y224" s="3"/>
      <c r="Z224" s="3"/>
      <c r="AB224" s="3"/>
      <c r="AC224" s="3"/>
      <c r="AD224" s="3"/>
      <c r="AE224" s="3"/>
      <c r="AF224" s="3"/>
      <c r="AG224" s="3"/>
      <c r="AH224" s="3"/>
      <c r="AI224" s="3"/>
      <c r="AK224" s="3"/>
      <c r="AL224" s="3"/>
      <c r="AM224" s="3"/>
      <c r="AN224" s="3"/>
      <c r="AO224" s="3"/>
      <c r="AP224" s="3"/>
      <c r="AQ224" s="3"/>
      <c r="AR224" s="3"/>
    </row>
    <row r="225" spans="1:44" ht="16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S225" s="3"/>
      <c r="T225" s="3"/>
      <c r="U225" s="3"/>
      <c r="V225" s="3"/>
      <c r="W225" s="3"/>
      <c r="X225" s="3"/>
      <c r="Y225" s="3"/>
      <c r="Z225" s="3"/>
      <c r="AB225" s="3"/>
      <c r="AC225" s="3"/>
      <c r="AD225" s="3"/>
      <c r="AE225" s="3"/>
      <c r="AF225" s="3"/>
      <c r="AG225" s="3"/>
      <c r="AH225" s="3"/>
      <c r="AI225" s="3"/>
      <c r="AK225" s="3"/>
      <c r="AL225" s="3"/>
      <c r="AM225" s="3"/>
      <c r="AN225" s="3"/>
      <c r="AO225" s="3"/>
      <c r="AP225" s="3"/>
      <c r="AQ225" s="3"/>
      <c r="AR225" s="3"/>
    </row>
    <row r="226" spans="1:44" ht="16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S226" s="3"/>
      <c r="T226" s="3"/>
      <c r="U226" s="3"/>
      <c r="V226" s="3"/>
      <c r="W226" s="3"/>
      <c r="X226" s="3"/>
      <c r="Y226" s="3"/>
      <c r="Z226" s="3"/>
      <c r="AB226" s="3"/>
      <c r="AC226" s="3"/>
      <c r="AD226" s="3"/>
      <c r="AE226" s="3"/>
      <c r="AF226" s="3"/>
      <c r="AG226" s="3"/>
      <c r="AH226" s="3"/>
      <c r="AI226" s="3"/>
      <c r="AK226" s="3"/>
      <c r="AL226" s="3"/>
      <c r="AM226" s="3"/>
      <c r="AN226" s="3"/>
      <c r="AO226" s="3"/>
      <c r="AP226" s="3"/>
      <c r="AQ226" s="3"/>
      <c r="AR226" s="3"/>
    </row>
    <row r="227" spans="1:44" ht="16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S227" s="3"/>
      <c r="T227" s="3"/>
      <c r="U227" s="3"/>
      <c r="V227" s="3"/>
      <c r="W227" s="3"/>
      <c r="X227" s="3"/>
      <c r="Y227" s="3"/>
      <c r="Z227" s="3"/>
      <c r="AB227" s="3"/>
      <c r="AC227" s="3"/>
      <c r="AD227" s="3"/>
      <c r="AE227" s="3"/>
      <c r="AF227" s="3"/>
      <c r="AG227" s="3"/>
      <c r="AH227" s="3"/>
      <c r="AI227" s="3"/>
      <c r="AK227" s="3"/>
      <c r="AL227" s="3"/>
      <c r="AM227" s="3"/>
      <c r="AN227" s="3"/>
      <c r="AO227" s="3"/>
      <c r="AP227" s="3"/>
      <c r="AQ227" s="3"/>
      <c r="AR227" s="3"/>
    </row>
    <row r="228" spans="1:44" ht="16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S228" s="3"/>
      <c r="T228" s="3"/>
      <c r="U228" s="3"/>
      <c r="V228" s="3"/>
      <c r="W228" s="3"/>
      <c r="X228" s="3"/>
      <c r="Y228" s="3"/>
      <c r="Z228" s="3"/>
      <c r="AB228" s="3"/>
      <c r="AC228" s="3"/>
      <c r="AD228" s="3"/>
      <c r="AE228" s="3"/>
      <c r="AF228" s="3"/>
      <c r="AG228" s="3"/>
      <c r="AH228" s="3"/>
      <c r="AI228" s="3"/>
      <c r="AK228" s="3"/>
      <c r="AL228" s="3"/>
      <c r="AM228" s="3"/>
      <c r="AN228" s="3"/>
      <c r="AO228" s="3"/>
      <c r="AP228" s="3"/>
      <c r="AQ228" s="3"/>
      <c r="AR228" s="3"/>
    </row>
    <row r="229" spans="1:44" ht="16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S229" s="3"/>
      <c r="T229" s="3"/>
      <c r="U229" s="3"/>
      <c r="V229" s="3"/>
      <c r="W229" s="3"/>
      <c r="X229" s="3"/>
      <c r="Y229" s="3"/>
      <c r="Z229" s="3"/>
      <c r="AB229" s="3"/>
      <c r="AC229" s="3"/>
      <c r="AD229" s="3"/>
      <c r="AE229" s="3"/>
      <c r="AF229" s="3"/>
      <c r="AG229" s="3"/>
      <c r="AH229" s="3"/>
      <c r="AI229" s="3"/>
      <c r="AK229" s="3"/>
      <c r="AL229" s="3"/>
      <c r="AM229" s="3"/>
      <c r="AN229" s="3"/>
      <c r="AO229" s="3"/>
      <c r="AP229" s="3"/>
      <c r="AQ229" s="3"/>
      <c r="AR229" s="3"/>
    </row>
    <row r="230" spans="1:44" ht="16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S230" s="3"/>
      <c r="T230" s="3"/>
      <c r="U230" s="3"/>
      <c r="V230" s="3"/>
      <c r="W230" s="3"/>
      <c r="X230" s="3"/>
      <c r="Y230" s="3"/>
      <c r="Z230" s="3"/>
      <c r="AB230" s="3"/>
      <c r="AC230" s="3"/>
      <c r="AD230" s="3"/>
      <c r="AE230" s="3"/>
      <c r="AF230" s="3"/>
      <c r="AG230" s="3"/>
      <c r="AH230" s="3"/>
      <c r="AI230" s="3"/>
      <c r="AK230" s="3"/>
      <c r="AL230" s="3"/>
      <c r="AM230" s="3"/>
      <c r="AN230" s="3"/>
      <c r="AO230" s="3"/>
      <c r="AP230" s="3"/>
      <c r="AQ230" s="3"/>
      <c r="AR230" s="3"/>
    </row>
    <row r="231" spans="1:44" ht="16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S231" s="3"/>
      <c r="T231" s="3"/>
      <c r="U231" s="3"/>
      <c r="V231" s="3"/>
      <c r="W231" s="3"/>
      <c r="X231" s="3"/>
      <c r="Y231" s="3"/>
      <c r="Z231" s="3"/>
      <c r="AB231" s="3"/>
      <c r="AC231" s="3"/>
      <c r="AD231" s="3"/>
      <c r="AE231" s="3"/>
      <c r="AF231" s="3"/>
      <c r="AG231" s="3"/>
      <c r="AH231" s="3"/>
      <c r="AI231" s="3"/>
      <c r="AK231" s="3"/>
      <c r="AL231" s="3"/>
      <c r="AM231" s="3"/>
      <c r="AN231" s="3"/>
      <c r="AO231" s="3"/>
      <c r="AP231" s="3"/>
      <c r="AQ231" s="3"/>
      <c r="AR231" s="3"/>
    </row>
    <row r="232" spans="1:44" ht="16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S232" s="3"/>
      <c r="T232" s="3"/>
      <c r="U232" s="3"/>
      <c r="V232" s="3"/>
      <c r="W232" s="3"/>
      <c r="X232" s="3"/>
      <c r="Y232" s="3"/>
      <c r="Z232" s="3"/>
      <c r="AB232" s="3"/>
      <c r="AC232" s="3"/>
      <c r="AD232" s="3"/>
      <c r="AE232" s="3"/>
      <c r="AF232" s="3"/>
      <c r="AG232" s="3"/>
      <c r="AH232" s="3"/>
      <c r="AI232" s="3"/>
      <c r="AK232" s="3"/>
      <c r="AL232" s="3"/>
      <c r="AM232" s="3"/>
      <c r="AN232" s="3"/>
      <c r="AO232" s="3"/>
      <c r="AP232" s="3"/>
      <c r="AQ232" s="3"/>
      <c r="AR232" s="3"/>
    </row>
    <row r="233" spans="1:44" ht="16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S233" s="3"/>
      <c r="T233" s="3"/>
      <c r="U233" s="3"/>
      <c r="V233" s="3"/>
      <c r="W233" s="3"/>
      <c r="X233" s="3"/>
      <c r="Y233" s="3"/>
      <c r="Z233" s="3"/>
      <c r="AB233" s="3"/>
      <c r="AC233" s="3"/>
      <c r="AD233" s="3"/>
      <c r="AE233" s="3"/>
      <c r="AF233" s="3"/>
      <c r="AG233" s="3"/>
      <c r="AH233" s="3"/>
      <c r="AI233" s="3"/>
      <c r="AK233" s="3"/>
      <c r="AL233" s="3"/>
      <c r="AM233" s="3"/>
      <c r="AN233" s="3"/>
      <c r="AO233" s="3"/>
      <c r="AP233" s="3"/>
      <c r="AQ233" s="3"/>
      <c r="AR233" s="3"/>
    </row>
    <row r="234" spans="1:44" ht="16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S234" s="3"/>
      <c r="T234" s="3"/>
      <c r="U234" s="3"/>
      <c r="V234" s="3"/>
      <c r="W234" s="3"/>
      <c r="X234" s="3"/>
      <c r="Y234" s="3"/>
      <c r="Z234" s="3"/>
      <c r="AB234" s="3"/>
      <c r="AC234" s="3"/>
      <c r="AD234" s="3"/>
      <c r="AE234" s="3"/>
      <c r="AF234" s="3"/>
      <c r="AG234" s="3"/>
      <c r="AH234" s="3"/>
      <c r="AI234" s="3"/>
      <c r="AK234" s="3"/>
      <c r="AL234" s="3"/>
      <c r="AM234" s="3"/>
      <c r="AN234" s="3"/>
      <c r="AO234" s="3"/>
      <c r="AP234" s="3"/>
      <c r="AQ234" s="3"/>
      <c r="AR234" s="3"/>
    </row>
    <row r="235" spans="1:44" ht="16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S235" s="3"/>
      <c r="T235" s="3"/>
      <c r="U235" s="3"/>
      <c r="V235" s="3"/>
      <c r="W235" s="3"/>
      <c r="X235" s="3"/>
      <c r="Y235" s="3"/>
      <c r="Z235" s="3"/>
      <c r="AB235" s="3"/>
      <c r="AC235" s="3"/>
      <c r="AD235" s="3"/>
      <c r="AE235" s="3"/>
      <c r="AF235" s="3"/>
      <c r="AG235" s="3"/>
      <c r="AH235" s="3"/>
      <c r="AI235" s="3"/>
      <c r="AK235" s="3"/>
      <c r="AL235" s="3"/>
      <c r="AM235" s="3"/>
      <c r="AN235" s="3"/>
      <c r="AO235" s="3"/>
      <c r="AP235" s="3"/>
      <c r="AQ235" s="3"/>
      <c r="AR235" s="3"/>
    </row>
    <row r="236" spans="1:44" ht="16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S236" s="3"/>
      <c r="T236" s="3"/>
      <c r="U236" s="3"/>
      <c r="V236" s="3"/>
      <c r="W236" s="3"/>
      <c r="X236" s="3"/>
      <c r="Y236" s="3"/>
      <c r="Z236" s="3"/>
      <c r="AB236" s="3"/>
      <c r="AC236" s="3"/>
      <c r="AD236" s="3"/>
      <c r="AE236" s="3"/>
      <c r="AF236" s="3"/>
      <c r="AG236" s="3"/>
      <c r="AH236" s="3"/>
      <c r="AI236" s="3"/>
      <c r="AK236" s="3"/>
      <c r="AL236" s="3"/>
      <c r="AM236" s="3"/>
      <c r="AN236" s="3"/>
      <c r="AO236" s="3"/>
      <c r="AP236" s="3"/>
      <c r="AQ236" s="3"/>
      <c r="AR236" s="3"/>
    </row>
    <row r="237" spans="1:44" ht="16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S237" s="3"/>
      <c r="T237" s="3"/>
      <c r="U237" s="3"/>
      <c r="V237" s="3"/>
      <c r="W237" s="3"/>
      <c r="X237" s="3"/>
      <c r="Y237" s="3"/>
      <c r="Z237" s="3"/>
      <c r="AB237" s="3"/>
      <c r="AC237" s="3"/>
      <c r="AD237" s="3"/>
      <c r="AE237" s="3"/>
      <c r="AF237" s="3"/>
      <c r="AG237" s="3"/>
      <c r="AH237" s="3"/>
      <c r="AI237" s="3"/>
      <c r="AK237" s="3"/>
      <c r="AL237" s="3"/>
      <c r="AM237" s="3"/>
      <c r="AN237" s="3"/>
      <c r="AO237" s="3"/>
      <c r="AP237" s="3"/>
      <c r="AQ237" s="3"/>
      <c r="AR237" s="3"/>
    </row>
    <row r="238" spans="1:44" ht="16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S238" s="3"/>
      <c r="T238" s="3"/>
      <c r="U238" s="3"/>
      <c r="V238" s="3"/>
      <c r="W238" s="3"/>
      <c r="X238" s="3"/>
      <c r="Y238" s="3"/>
      <c r="Z238" s="3"/>
      <c r="AB238" s="3"/>
      <c r="AC238" s="3"/>
      <c r="AD238" s="3"/>
      <c r="AE238" s="3"/>
      <c r="AF238" s="3"/>
      <c r="AG238" s="3"/>
      <c r="AH238" s="3"/>
      <c r="AI238" s="3"/>
      <c r="AK238" s="3"/>
      <c r="AL238" s="3"/>
      <c r="AM238" s="3"/>
      <c r="AN238" s="3"/>
      <c r="AO238" s="3"/>
      <c r="AP238" s="3"/>
      <c r="AQ238" s="3"/>
      <c r="AR238" s="3"/>
    </row>
    <row r="239" spans="1:44" ht="16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S239" s="3"/>
      <c r="T239" s="3"/>
      <c r="U239" s="3"/>
      <c r="V239" s="3"/>
      <c r="W239" s="3"/>
      <c r="X239" s="3"/>
      <c r="Y239" s="3"/>
      <c r="Z239" s="3"/>
      <c r="AB239" s="3"/>
      <c r="AC239" s="3"/>
      <c r="AD239" s="3"/>
      <c r="AE239" s="3"/>
      <c r="AF239" s="3"/>
      <c r="AG239" s="3"/>
      <c r="AH239" s="3"/>
      <c r="AI239" s="3"/>
      <c r="AK239" s="3"/>
      <c r="AL239" s="3"/>
      <c r="AM239" s="3"/>
      <c r="AN239" s="3"/>
      <c r="AO239" s="3"/>
      <c r="AP239" s="3"/>
      <c r="AQ239" s="3"/>
      <c r="AR239" s="3"/>
    </row>
    <row r="240" spans="1:44" ht="16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S240" s="3"/>
      <c r="T240" s="3"/>
      <c r="U240" s="3"/>
      <c r="V240" s="3"/>
      <c r="W240" s="3"/>
      <c r="X240" s="3"/>
      <c r="Y240" s="3"/>
      <c r="Z240" s="3"/>
      <c r="AB240" s="3"/>
      <c r="AC240" s="3"/>
      <c r="AD240" s="3"/>
      <c r="AE240" s="3"/>
      <c r="AF240" s="3"/>
      <c r="AG240" s="3"/>
      <c r="AH240" s="3"/>
      <c r="AI240" s="3"/>
      <c r="AK240" s="3"/>
      <c r="AL240" s="3"/>
      <c r="AM240" s="3"/>
      <c r="AN240" s="3"/>
      <c r="AO240" s="3"/>
      <c r="AP240" s="3"/>
      <c r="AQ240" s="3"/>
      <c r="AR240" s="3"/>
    </row>
    <row r="241" spans="1:44" ht="16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S241" s="3"/>
      <c r="T241" s="3"/>
      <c r="U241" s="3"/>
      <c r="V241" s="3"/>
      <c r="W241" s="3"/>
      <c r="X241" s="3"/>
      <c r="Y241" s="3"/>
      <c r="Z241" s="3"/>
      <c r="AB241" s="3"/>
      <c r="AC241" s="3"/>
      <c r="AD241" s="3"/>
      <c r="AE241" s="3"/>
      <c r="AF241" s="3"/>
      <c r="AG241" s="3"/>
      <c r="AH241" s="3"/>
      <c r="AI241" s="3"/>
      <c r="AK241" s="3"/>
      <c r="AL241" s="3"/>
      <c r="AM241" s="3"/>
      <c r="AN241" s="3"/>
      <c r="AO241" s="3"/>
      <c r="AP241" s="3"/>
      <c r="AQ241" s="3"/>
      <c r="AR241" s="3"/>
    </row>
    <row r="242" spans="1:44" ht="16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S242" s="3"/>
      <c r="T242" s="3"/>
      <c r="U242" s="3"/>
      <c r="V242" s="3"/>
      <c r="W242" s="3"/>
      <c r="X242" s="3"/>
      <c r="Y242" s="3"/>
      <c r="Z242" s="3"/>
      <c r="AB242" s="3"/>
      <c r="AC242" s="3"/>
      <c r="AD242" s="3"/>
      <c r="AE242" s="3"/>
      <c r="AF242" s="3"/>
      <c r="AG242" s="3"/>
      <c r="AH242" s="3"/>
      <c r="AI242" s="3"/>
      <c r="AK242" s="3"/>
      <c r="AL242" s="3"/>
      <c r="AM242" s="3"/>
      <c r="AN242" s="3"/>
      <c r="AO242" s="3"/>
      <c r="AP242" s="3"/>
      <c r="AQ242" s="3"/>
      <c r="AR242" s="3"/>
    </row>
    <row r="243" spans="1:44" ht="16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S243" s="3"/>
      <c r="T243" s="3"/>
      <c r="U243" s="3"/>
      <c r="V243" s="3"/>
      <c r="W243" s="3"/>
      <c r="X243" s="3"/>
      <c r="Y243" s="3"/>
      <c r="Z243" s="3"/>
      <c r="AB243" s="3"/>
      <c r="AC243" s="3"/>
      <c r="AD243" s="3"/>
      <c r="AE243" s="3"/>
      <c r="AF243" s="3"/>
      <c r="AG243" s="3"/>
      <c r="AH243" s="3"/>
      <c r="AI243" s="3"/>
      <c r="AK243" s="3"/>
      <c r="AL243" s="3"/>
      <c r="AM243" s="3"/>
      <c r="AN243" s="3"/>
      <c r="AO243" s="3"/>
      <c r="AP243" s="3"/>
      <c r="AQ243" s="3"/>
      <c r="AR243" s="3"/>
    </row>
    <row r="244" spans="1:44" ht="16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S244" s="3"/>
      <c r="T244" s="3"/>
      <c r="U244" s="3"/>
      <c r="V244" s="3"/>
      <c r="W244" s="3"/>
      <c r="X244" s="3"/>
      <c r="Y244" s="3"/>
      <c r="Z244" s="3"/>
      <c r="AB244" s="3"/>
      <c r="AC244" s="3"/>
      <c r="AD244" s="3"/>
      <c r="AE244" s="3"/>
      <c r="AF244" s="3"/>
      <c r="AG244" s="3"/>
      <c r="AH244" s="3"/>
      <c r="AI244" s="3"/>
      <c r="AK244" s="3"/>
      <c r="AL244" s="3"/>
      <c r="AM244" s="3"/>
      <c r="AN244" s="3"/>
      <c r="AO244" s="3"/>
      <c r="AP244" s="3"/>
      <c r="AQ244" s="3"/>
      <c r="AR244" s="3"/>
    </row>
    <row r="245" spans="1:44" ht="16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S245" s="3"/>
      <c r="T245" s="3"/>
      <c r="U245" s="3"/>
      <c r="V245" s="3"/>
      <c r="W245" s="3"/>
      <c r="X245" s="3"/>
      <c r="Y245" s="3"/>
      <c r="Z245" s="3"/>
      <c r="AB245" s="3"/>
      <c r="AC245" s="3"/>
      <c r="AD245" s="3"/>
      <c r="AE245" s="3"/>
      <c r="AF245" s="3"/>
      <c r="AG245" s="3"/>
      <c r="AH245" s="3"/>
      <c r="AI245" s="3"/>
      <c r="AK245" s="3"/>
      <c r="AL245" s="3"/>
      <c r="AM245" s="3"/>
      <c r="AN245" s="3"/>
      <c r="AO245" s="3"/>
      <c r="AP245" s="3"/>
      <c r="AQ245" s="3"/>
      <c r="AR245" s="3"/>
    </row>
    <row r="246" spans="1:44" ht="16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S246" s="3"/>
      <c r="T246" s="3"/>
      <c r="U246" s="3"/>
      <c r="V246" s="3"/>
      <c r="W246" s="3"/>
      <c r="X246" s="3"/>
      <c r="Y246" s="3"/>
      <c r="Z246" s="3"/>
      <c r="AB246" s="3"/>
      <c r="AC246" s="3"/>
      <c r="AD246" s="3"/>
      <c r="AE246" s="3"/>
      <c r="AF246" s="3"/>
      <c r="AG246" s="3"/>
      <c r="AH246" s="3"/>
      <c r="AI246" s="3"/>
      <c r="AK246" s="3"/>
      <c r="AL246" s="3"/>
      <c r="AM246" s="3"/>
      <c r="AN246" s="3"/>
      <c r="AO246" s="3"/>
      <c r="AP246" s="3"/>
      <c r="AQ246" s="3"/>
      <c r="AR246" s="3"/>
    </row>
    <row r="247" spans="1:44" ht="16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S247" s="3"/>
      <c r="T247" s="3"/>
      <c r="U247" s="3"/>
      <c r="V247" s="3"/>
      <c r="W247" s="3"/>
      <c r="X247" s="3"/>
      <c r="Y247" s="3"/>
      <c r="Z247" s="3"/>
      <c r="AB247" s="3"/>
      <c r="AC247" s="3"/>
      <c r="AD247" s="3"/>
      <c r="AE247" s="3"/>
      <c r="AF247" s="3"/>
      <c r="AG247" s="3"/>
      <c r="AH247" s="3"/>
      <c r="AI247" s="3"/>
      <c r="AK247" s="3"/>
      <c r="AL247" s="3"/>
      <c r="AM247" s="3"/>
      <c r="AN247" s="3"/>
      <c r="AO247" s="3"/>
      <c r="AP247" s="3"/>
      <c r="AQ247" s="3"/>
      <c r="AR247" s="3"/>
    </row>
    <row r="248" spans="1:44" ht="16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S248" s="3"/>
      <c r="T248" s="3"/>
      <c r="U248" s="3"/>
      <c r="V248" s="3"/>
      <c r="W248" s="3"/>
      <c r="X248" s="3"/>
      <c r="Y248" s="3"/>
      <c r="Z248" s="3"/>
      <c r="AB248" s="3"/>
      <c r="AC248" s="3"/>
      <c r="AD248" s="3"/>
      <c r="AE248" s="3"/>
      <c r="AF248" s="3"/>
      <c r="AG248" s="3"/>
      <c r="AH248" s="3"/>
      <c r="AI248" s="3"/>
      <c r="AK248" s="3"/>
      <c r="AL248" s="3"/>
      <c r="AM248" s="3"/>
      <c r="AN248" s="3"/>
      <c r="AO248" s="3"/>
      <c r="AP248" s="3"/>
      <c r="AQ248" s="3"/>
      <c r="AR248" s="3"/>
    </row>
    <row r="249" spans="1:44" ht="16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S249" s="3"/>
      <c r="T249" s="3"/>
      <c r="U249" s="3"/>
      <c r="V249" s="3"/>
      <c r="W249" s="3"/>
      <c r="X249" s="3"/>
      <c r="Y249" s="3"/>
      <c r="Z249" s="3"/>
      <c r="AB249" s="3"/>
      <c r="AC249" s="3"/>
      <c r="AD249" s="3"/>
      <c r="AE249" s="3"/>
      <c r="AF249" s="3"/>
      <c r="AG249" s="3"/>
      <c r="AH249" s="3"/>
      <c r="AI249" s="3"/>
      <c r="AK249" s="3"/>
      <c r="AL249" s="3"/>
      <c r="AM249" s="3"/>
      <c r="AN249" s="3"/>
      <c r="AO249" s="3"/>
      <c r="AP249" s="3"/>
      <c r="AQ249" s="3"/>
      <c r="AR249" s="3"/>
    </row>
    <row r="250" spans="1:44" ht="16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S250" s="3"/>
      <c r="T250" s="3"/>
      <c r="U250" s="3"/>
      <c r="V250" s="3"/>
      <c r="W250" s="3"/>
      <c r="X250" s="3"/>
      <c r="Y250" s="3"/>
      <c r="Z250" s="3"/>
      <c r="AB250" s="3"/>
      <c r="AC250" s="3"/>
      <c r="AD250" s="3"/>
      <c r="AE250" s="3"/>
      <c r="AF250" s="3"/>
      <c r="AG250" s="3"/>
      <c r="AH250" s="3"/>
      <c r="AI250" s="3"/>
      <c r="AK250" s="3"/>
      <c r="AL250" s="3"/>
      <c r="AM250" s="3"/>
      <c r="AN250" s="3"/>
      <c r="AO250" s="3"/>
      <c r="AP250" s="3"/>
      <c r="AQ250" s="3"/>
      <c r="AR250" s="3"/>
    </row>
    <row r="251" spans="1:44" ht="16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S251" s="3"/>
      <c r="T251" s="3"/>
      <c r="U251" s="3"/>
      <c r="V251" s="3"/>
      <c r="W251" s="3"/>
      <c r="X251" s="3"/>
      <c r="Y251" s="3"/>
      <c r="Z251" s="3"/>
      <c r="AB251" s="3"/>
      <c r="AC251" s="3"/>
      <c r="AD251" s="3"/>
      <c r="AE251" s="3"/>
      <c r="AF251" s="3"/>
      <c r="AG251" s="3"/>
      <c r="AH251" s="3"/>
      <c r="AI251" s="3"/>
      <c r="AK251" s="3"/>
      <c r="AL251" s="3"/>
      <c r="AM251" s="3"/>
      <c r="AN251" s="3"/>
      <c r="AO251" s="3"/>
      <c r="AP251" s="3"/>
      <c r="AQ251" s="3"/>
      <c r="AR251" s="3"/>
    </row>
    <row r="252" spans="1:44" ht="16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S252" s="3"/>
      <c r="T252" s="3"/>
      <c r="U252" s="3"/>
      <c r="V252" s="3"/>
      <c r="W252" s="3"/>
      <c r="X252" s="3"/>
      <c r="Y252" s="3"/>
      <c r="Z252" s="3"/>
      <c r="AB252" s="3"/>
      <c r="AC252" s="3"/>
      <c r="AD252" s="3"/>
      <c r="AE252" s="3"/>
      <c r="AF252" s="3"/>
      <c r="AG252" s="3"/>
      <c r="AH252" s="3"/>
      <c r="AI252" s="3"/>
      <c r="AK252" s="3"/>
      <c r="AL252" s="3"/>
      <c r="AM252" s="3"/>
      <c r="AN252" s="3"/>
      <c r="AO252" s="3"/>
      <c r="AP252" s="3"/>
      <c r="AQ252" s="3"/>
      <c r="AR252" s="3"/>
    </row>
    <row r="253" spans="1:44" ht="16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S253" s="3"/>
      <c r="T253" s="3"/>
      <c r="U253" s="3"/>
      <c r="V253" s="3"/>
      <c r="W253" s="3"/>
      <c r="X253" s="3"/>
      <c r="Y253" s="3"/>
      <c r="Z253" s="3"/>
      <c r="AB253" s="3"/>
      <c r="AC253" s="3"/>
      <c r="AD253" s="3"/>
      <c r="AE253" s="3"/>
      <c r="AF253" s="3"/>
      <c r="AG253" s="3"/>
      <c r="AH253" s="3"/>
      <c r="AI253" s="3"/>
      <c r="AK253" s="3"/>
      <c r="AL253" s="3"/>
      <c r="AM253" s="3"/>
      <c r="AN253" s="3"/>
      <c r="AO253" s="3"/>
      <c r="AP253" s="3"/>
      <c r="AQ253" s="3"/>
      <c r="AR253" s="3"/>
    </row>
    <row r="254" spans="1:44" ht="16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S254" s="3"/>
      <c r="T254" s="3"/>
      <c r="U254" s="3"/>
      <c r="V254" s="3"/>
      <c r="W254" s="3"/>
      <c r="X254" s="3"/>
      <c r="Y254" s="3"/>
      <c r="Z254" s="3"/>
      <c r="AB254" s="3"/>
      <c r="AC254" s="3"/>
      <c r="AD254" s="3"/>
      <c r="AE254" s="3"/>
      <c r="AF254" s="3"/>
      <c r="AG254" s="3"/>
      <c r="AH254" s="3"/>
      <c r="AI254" s="3"/>
      <c r="AK254" s="3"/>
      <c r="AL254" s="3"/>
      <c r="AM254" s="3"/>
      <c r="AN254" s="3"/>
      <c r="AO254" s="3"/>
      <c r="AP254" s="3"/>
      <c r="AQ254" s="3"/>
      <c r="AR254" s="3"/>
    </row>
    <row r="255" spans="1:44" ht="16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S255" s="3"/>
      <c r="T255" s="3"/>
      <c r="U255" s="3"/>
      <c r="V255" s="3"/>
      <c r="W255" s="3"/>
      <c r="X255" s="3"/>
      <c r="Y255" s="3"/>
      <c r="Z255" s="3"/>
      <c r="AB255" s="3"/>
      <c r="AC255" s="3"/>
      <c r="AD255" s="3"/>
      <c r="AE255" s="3"/>
      <c r="AF255" s="3"/>
      <c r="AG255" s="3"/>
      <c r="AH255" s="3"/>
      <c r="AI255" s="3"/>
      <c r="AK255" s="3"/>
      <c r="AL255" s="3"/>
      <c r="AM255" s="3"/>
      <c r="AN255" s="3"/>
      <c r="AO255" s="3"/>
      <c r="AP255" s="3"/>
      <c r="AQ255" s="3"/>
      <c r="AR255" s="3"/>
    </row>
    <row r="256" spans="1:44" ht="16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S256" s="3"/>
      <c r="T256" s="3"/>
      <c r="U256" s="3"/>
      <c r="V256" s="3"/>
      <c r="W256" s="3"/>
      <c r="X256" s="3"/>
      <c r="Y256" s="3"/>
      <c r="Z256" s="3"/>
      <c r="AB256" s="3"/>
      <c r="AC256" s="3"/>
      <c r="AD256" s="3"/>
      <c r="AE256" s="3"/>
      <c r="AF256" s="3"/>
      <c r="AG256" s="3"/>
      <c r="AH256" s="3"/>
      <c r="AI256" s="3"/>
      <c r="AK256" s="3"/>
      <c r="AL256" s="3"/>
      <c r="AM256" s="3"/>
      <c r="AN256" s="3"/>
      <c r="AO256" s="3"/>
      <c r="AP256" s="3"/>
      <c r="AQ256" s="3"/>
      <c r="AR256" s="3"/>
    </row>
    <row r="257" spans="1:44" ht="16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S257" s="3"/>
      <c r="T257" s="3"/>
      <c r="U257" s="3"/>
      <c r="V257" s="3"/>
      <c r="W257" s="3"/>
      <c r="X257" s="3"/>
      <c r="Y257" s="3"/>
      <c r="Z257" s="3"/>
      <c r="AB257" s="3"/>
      <c r="AC257" s="3"/>
      <c r="AD257" s="3"/>
      <c r="AE257" s="3"/>
      <c r="AF257" s="3"/>
      <c r="AG257" s="3"/>
      <c r="AH257" s="3"/>
      <c r="AI257" s="3"/>
      <c r="AK257" s="3"/>
      <c r="AL257" s="3"/>
      <c r="AM257" s="3"/>
      <c r="AN257" s="3"/>
      <c r="AO257" s="3"/>
      <c r="AP257" s="3"/>
      <c r="AQ257" s="3"/>
      <c r="AR257" s="3"/>
    </row>
    <row r="258" spans="1:44" ht="16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S258" s="3"/>
      <c r="T258" s="3"/>
      <c r="U258" s="3"/>
      <c r="V258" s="3"/>
      <c r="W258" s="3"/>
      <c r="X258" s="3"/>
      <c r="Y258" s="3"/>
      <c r="Z258" s="3"/>
      <c r="AB258" s="3"/>
      <c r="AC258" s="3"/>
      <c r="AD258" s="3"/>
      <c r="AE258" s="3"/>
      <c r="AF258" s="3"/>
      <c r="AG258" s="3"/>
      <c r="AH258" s="3"/>
      <c r="AI258" s="3"/>
      <c r="AK258" s="3"/>
      <c r="AL258" s="3"/>
      <c r="AM258" s="3"/>
      <c r="AN258" s="3"/>
      <c r="AO258" s="3"/>
      <c r="AP258" s="3"/>
      <c r="AQ258" s="3"/>
      <c r="AR258" s="3"/>
    </row>
    <row r="259" spans="1:44" ht="16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S259" s="3"/>
      <c r="T259" s="3"/>
      <c r="U259" s="3"/>
      <c r="V259" s="3"/>
      <c r="W259" s="3"/>
      <c r="X259" s="3"/>
      <c r="Y259" s="3"/>
      <c r="Z259" s="3"/>
      <c r="AB259" s="3"/>
      <c r="AC259" s="3"/>
      <c r="AD259" s="3"/>
      <c r="AE259" s="3"/>
      <c r="AF259" s="3"/>
      <c r="AG259" s="3"/>
      <c r="AH259" s="3"/>
      <c r="AI259" s="3"/>
      <c r="AK259" s="3"/>
      <c r="AL259" s="3"/>
      <c r="AM259" s="3"/>
      <c r="AN259" s="3"/>
      <c r="AO259" s="3"/>
      <c r="AP259" s="3"/>
      <c r="AQ259" s="3"/>
      <c r="AR259" s="3"/>
    </row>
    <row r="260" spans="1:44" ht="16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S260" s="3"/>
      <c r="T260" s="3"/>
      <c r="U260" s="3"/>
      <c r="V260" s="3"/>
      <c r="W260" s="3"/>
      <c r="X260" s="3"/>
      <c r="Y260" s="3"/>
      <c r="Z260" s="3"/>
      <c r="AB260" s="3"/>
      <c r="AC260" s="3"/>
      <c r="AD260" s="3"/>
      <c r="AE260" s="3"/>
      <c r="AF260" s="3"/>
      <c r="AG260" s="3"/>
      <c r="AH260" s="3"/>
      <c r="AI260" s="3"/>
      <c r="AK260" s="3"/>
      <c r="AL260" s="3"/>
      <c r="AM260" s="3"/>
      <c r="AN260" s="3"/>
      <c r="AO260" s="3"/>
      <c r="AP260" s="3"/>
      <c r="AQ260" s="3"/>
      <c r="AR260" s="3"/>
    </row>
    <row r="261" spans="1:44" ht="16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S261" s="3"/>
      <c r="T261" s="3"/>
      <c r="U261" s="3"/>
      <c r="V261" s="3"/>
      <c r="W261" s="3"/>
      <c r="X261" s="3"/>
      <c r="Y261" s="3"/>
      <c r="Z261" s="3"/>
      <c r="AB261" s="3"/>
      <c r="AC261" s="3"/>
      <c r="AD261" s="3"/>
      <c r="AE261" s="3"/>
      <c r="AF261" s="3"/>
      <c r="AG261" s="3"/>
      <c r="AH261" s="3"/>
      <c r="AI261" s="3"/>
      <c r="AK261" s="3"/>
      <c r="AL261" s="3"/>
      <c r="AM261" s="3"/>
      <c r="AN261" s="3"/>
      <c r="AO261" s="3"/>
      <c r="AP261" s="3"/>
      <c r="AQ261" s="3"/>
      <c r="AR261" s="3"/>
    </row>
    <row r="262" spans="1:44" ht="16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S262" s="3"/>
      <c r="T262" s="3"/>
      <c r="U262" s="3"/>
      <c r="V262" s="3"/>
      <c r="W262" s="3"/>
      <c r="X262" s="3"/>
      <c r="Y262" s="3"/>
      <c r="Z262" s="3"/>
      <c r="AB262" s="3"/>
      <c r="AC262" s="3"/>
      <c r="AD262" s="3"/>
      <c r="AE262" s="3"/>
      <c r="AF262" s="3"/>
      <c r="AG262" s="3"/>
      <c r="AH262" s="3"/>
      <c r="AI262" s="3"/>
      <c r="AK262" s="3"/>
      <c r="AL262" s="3"/>
      <c r="AM262" s="3"/>
      <c r="AN262" s="3"/>
      <c r="AO262" s="3"/>
      <c r="AP262" s="3"/>
      <c r="AQ262" s="3"/>
      <c r="AR262" s="3"/>
    </row>
    <row r="263" spans="1:44" ht="16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S263" s="3"/>
      <c r="T263" s="3"/>
      <c r="U263" s="3"/>
      <c r="V263" s="3"/>
      <c r="W263" s="3"/>
      <c r="X263" s="3"/>
      <c r="Y263" s="3"/>
      <c r="Z263" s="3"/>
      <c r="AB263" s="3"/>
      <c r="AC263" s="3"/>
      <c r="AD263" s="3"/>
      <c r="AE263" s="3"/>
      <c r="AF263" s="3"/>
      <c r="AG263" s="3"/>
      <c r="AH263" s="3"/>
      <c r="AI263" s="3"/>
      <c r="AK263" s="3"/>
      <c r="AL263" s="3"/>
      <c r="AM263" s="3"/>
      <c r="AN263" s="3"/>
      <c r="AO263" s="3"/>
      <c r="AP263" s="3"/>
      <c r="AQ263" s="3"/>
      <c r="AR263" s="3"/>
    </row>
    <row r="264" spans="1:44" ht="16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S264" s="3"/>
      <c r="T264" s="3"/>
      <c r="U264" s="3"/>
      <c r="V264" s="3"/>
      <c r="W264" s="3"/>
      <c r="X264" s="3"/>
      <c r="Y264" s="3"/>
      <c r="Z264" s="3"/>
      <c r="AB264" s="3"/>
      <c r="AC264" s="3"/>
      <c r="AD264" s="3"/>
      <c r="AE264" s="3"/>
      <c r="AF264" s="3"/>
      <c r="AG264" s="3"/>
      <c r="AH264" s="3"/>
      <c r="AI264" s="3"/>
      <c r="AK264" s="3"/>
      <c r="AL264" s="3"/>
      <c r="AM264" s="3"/>
      <c r="AN264" s="3"/>
      <c r="AO264" s="3"/>
      <c r="AP264" s="3"/>
      <c r="AQ264" s="3"/>
      <c r="AR264" s="3"/>
    </row>
    <row r="265" spans="1:44" ht="16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S265" s="3"/>
      <c r="T265" s="3"/>
      <c r="U265" s="3"/>
      <c r="V265" s="3"/>
      <c r="W265" s="3"/>
      <c r="X265" s="3"/>
      <c r="Y265" s="3"/>
      <c r="Z265" s="3"/>
      <c r="AB265" s="3"/>
      <c r="AC265" s="3"/>
      <c r="AD265" s="3"/>
      <c r="AE265" s="3"/>
      <c r="AF265" s="3"/>
      <c r="AG265" s="3"/>
      <c r="AH265" s="3"/>
      <c r="AI265" s="3"/>
      <c r="AK265" s="3"/>
      <c r="AL265" s="3"/>
      <c r="AM265" s="3"/>
      <c r="AN265" s="3"/>
      <c r="AO265" s="3"/>
      <c r="AP265" s="3"/>
      <c r="AQ265" s="3"/>
      <c r="AR265" s="3"/>
    </row>
    <row r="266" spans="1:44" ht="16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S266" s="3"/>
      <c r="T266" s="3"/>
      <c r="U266" s="3"/>
      <c r="V266" s="3"/>
      <c r="W266" s="3"/>
      <c r="X266" s="3"/>
      <c r="Y266" s="3"/>
      <c r="Z266" s="3"/>
      <c r="AB266" s="3"/>
      <c r="AC266" s="3"/>
      <c r="AD266" s="3"/>
      <c r="AE266" s="3"/>
      <c r="AF266" s="3"/>
      <c r="AG266" s="3"/>
      <c r="AH266" s="3"/>
      <c r="AI266" s="3"/>
      <c r="AK266" s="3"/>
      <c r="AL266" s="3"/>
      <c r="AM266" s="3"/>
      <c r="AN266" s="3"/>
      <c r="AO266" s="3"/>
      <c r="AP266" s="3"/>
      <c r="AQ266" s="3"/>
      <c r="AR266" s="3"/>
    </row>
    <row r="267" spans="1:44" ht="16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S267" s="3"/>
      <c r="T267" s="3"/>
      <c r="U267" s="3"/>
      <c r="V267" s="3"/>
      <c r="W267" s="3"/>
      <c r="X267" s="3"/>
      <c r="Y267" s="3"/>
      <c r="Z267" s="3"/>
      <c r="AB267" s="3"/>
      <c r="AC267" s="3"/>
      <c r="AD267" s="3"/>
      <c r="AE267" s="3"/>
      <c r="AF267" s="3"/>
      <c r="AG267" s="3"/>
      <c r="AH267" s="3"/>
      <c r="AI267" s="3"/>
      <c r="AK267" s="3"/>
      <c r="AL267" s="3"/>
      <c r="AM267" s="3"/>
      <c r="AN267" s="3"/>
      <c r="AO267" s="3"/>
      <c r="AP267" s="3"/>
      <c r="AQ267" s="3"/>
      <c r="AR267" s="3"/>
    </row>
    <row r="268" spans="1:44" ht="16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S268" s="3"/>
      <c r="T268" s="3"/>
      <c r="U268" s="3"/>
      <c r="V268" s="3"/>
      <c r="W268" s="3"/>
      <c r="X268" s="3"/>
      <c r="Y268" s="3"/>
      <c r="Z268" s="3"/>
      <c r="AB268" s="3"/>
      <c r="AC268" s="3"/>
      <c r="AD268" s="3"/>
      <c r="AE268" s="3"/>
      <c r="AF268" s="3"/>
      <c r="AG268" s="3"/>
      <c r="AH268" s="3"/>
      <c r="AI268" s="3"/>
      <c r="AK268" s="3"/>
      <c r="AL268" s="3"/>
      <c r="AM268" s="3"/>
      <c r="AN268" s="3"/>
      <c r="AO268" s="3"/>
      <c r="AP268" s="3"/>
      <c r="AQ268" s="3"/>
      <c r="AR268" s="3"/>
    </row>
    <row r="269" spans="1:44" ht="16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S269" s="3"/>
      <c r="T269" s="3"/>
      <c r="U269" s="3"/>
      <c r="V269" s="3"/>
      <c r="W269" s="3"/>
      <c r="X269" s="3"/>
      <c r="Y269" s="3"/>
      <c r="Z269" s="3"/>
      <c r="AB269" s="3"/>
      <c r="AC269" s="3"/>
      <c r="AD269" s="3"/>
      <c r="AE269" s="3"/>
      <c r="AF269" s="3"/>
      <c r="AG269" s="3"/>
      <c r="AH269" s="3"/>
      <c r="AI269" s="3"/>
      <c r="AK269" s="3"/>
      <c r="AL269" s="3"/>
      <c r="AM269" s="3"/>
      <c r="AN269" s="3"/>
      <c r="AO269" s="3"/>
      <c r="AP269" s="3"/>
      <c r="AQ269" s="3"/>
      <c r="AR269" s="3"/>
    </row>
    <row r="270" spans="1:44" ht="16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S270" s="3"/>
      <c r="T270" s="3"/>
      <c r="U270" s="3"/>
      <c r="V270" s="3"/>
      <c r="W270" s="3"/>
      <c r="X270" s="3"/>
      <c r="Y270" s="3"/>
      <c r="Z270" s="3"/>
      <c r="AB270" s="3"/>
      <c r="AC270" s="3"/>
      <c r="AD270" s="3"/>
      <c r="AE270" s="3"/>
      <c r="AF270" s="3"/>
      <c r="AG270" s="3"/>
      <c r="AH270" s="3"/>
      <c r="AI270" s="3"/>
      <c r="AK270" s="3"/>
      <c r="AL270" s="3"/>
      <c r="AM270" s="3"/>
      <c r="AN270" s="3"/>
      <c r="AO270" s="3"/>
      <c r="AP270" s="3"/>
      <c r="AQ270" s="3"/>
      <c r="AR270" s="3"/>
    </row>
    <row r="271" spans="1:44" ht="16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S271" s="3"/>
      <c r="T271" s="3"/>
      <c r="U271" s="3"/>
      <c r="V271" s="3"/>
      <c r="W271" s="3"/>
      <c r="X271" s="3"/>
      <c r="Y271" s="3"/>
      <c r="Z271" s="3"/>
      <c r="AB271" s="3"/>
      <c r="AC271" s="3"/>
      <c r="AD271" s="3"/>
      <c r="AE271" s="3"/>
      <c r="AF271" s="3"/>
      <c r="AG271" s="3"/>
      <c r="AH271" s="3"/>
      <c r="AI271" s="3"/>
      <c r="AK271" s="3"/>
      <c r="AL271" s="3"/>
      <c r="AM271" s="3"/>
      <c r="AN271" s="3"/>
      <c r="AO271" s="3"/>
      <c r="AP271" s="3"/>
      <c r="AQ271" s="3"/>
      <c r="AR271" s="3"/>
    </row>
    <row r="272" spans="1:44" ht="16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S272" s="3"/>
      <c r="T272" s="3"/>
      <c r="U272" s="3"/>
      <c r="V272" s="3"/>
      <c r="W272" s="3"/>
      <c r="X272" s="3"/>
      <c r="Y272" s="3"/>
      <c r="Z272" s="3"/>
      <c r="AB272" s="3"/>
      <c r="AC272" s="3"/>
      <c r="AD272" s="3"/>
      <c r="AE272" s="3"/>
      <c r="AF272" s="3"/>
      <c r="AG272" s="3"/>
      <c r="AH272" s="3"/>
      <c r="AI272" s="3"/>
      <c r="AK272" s="3"/>
      <c r="AL272" s="3"/>
      <c r="AM272" s="3"/>
      <c r="AN272" s="3"/>
      <c r="AO272" s="3"/>
      <c r="AP272" s="3"/>
      <c r="AQ272" s="3"/>
      <c r="AR272" s="3"/>
    </row>
    <row r="273" spans="1:44" ht="16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S273" s="3"/>
      <c r="T273" s="3"/>
      <c r="U273" s="3"/>
      <c r="V273" s="3"/>
      <c r="W273" s="3"/>
      <c r="X273" s="3"/>
      <c r="Y273" s="3"/>
      <c r="Z273" s="3"/>
      <c r="AB273" s="3"/>
      <c r="AC273" s="3"/>
      <c r="AD273" s="3"/>
      <c r="AE273" s="3"/>
      <c r="AF273" s="3"/>
      <c r="AG273" s="3"/>
      <c r="AH273" s="3"/>
      <c r="AI273" s="3"/>
      <c r="AK273" s="3"/>
      <c r="AL273" s="3"/>
      <c r="AM273" s="3"/>
      <c r="AN273" s="3"/>
      <c r="AO273" s="3"/>
      <c r="AP273" s="3"/>
      <c r="AQ273" s="3"/>
      <c r="AR273" s="3"/>
    </row>
    <row r="274" spans="1:44" ht="16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S274" s="3"/>
      <c r="T274" s="3"/>
      <c r="U274" s="3"/>
      <c r="V274" s="3"/>
      <c r="W274" s="3"/>
      <c r="X274" s="3"/>
      <c r="Y274" s="3"/>
      <c r="Z274" s="3"/>
      <c r="AB274" s="3"/>
      <c r="AC274" s="3"/>
      <c r="AD274" s="3"/>
      <c r="AE274" s="3"/>
      <c r="AF274" s="3"/>
      <c r="AG274" s="3"/>
      <c r="AH274" s="3"/>
      <c r="AI274" s="3"/>
      <c r="AK274" s="3"/>
      <c r="AL274" s="3"/>
      <c r="AM274" s="3"/>
      <c r="AN274" s="3"/>
      <c r="AO274" s="3"/>
      <c r="AP274" s="3"/>
      <c r="AQ274" s="3"/>
      <c r="AR274" s="3"/>
    </row>
    <row r="275" spans="1:44" ht="16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S275" s="3"/>
      <c r="T275" s="3"/>
      <c r="U275" s="3"/>
      <c r="V275" s="3"/>
      <c r="W275" s="3"/>
      <c r="X275" s="3"/>
      <c r="Y275" s="3"/>
      <c r="Z275" s="3"/>
      <c r="AB275" s="3"/>
      <c r="AC275" s="3"/>
      <c r="AD275" s="3"/>
      <c r="AE275" s="3"/>
      <c r="AF275" s="3"/>
      <c r="AG275" s="3"/>
      <c r="AH275" s="3"/>
      <c r="AI275" s="3"/>
      <c r="AK275" s="3"/>
      <c r="AL275" s="3"/>
      <c r="AM275" s="3"/>
      <c r="AN275" s="3"/>
      <c r="AO275" s="3"/>
      <c r="AP275" s="3"/>
      <c r="AQ275" s="3"/>
      <c r="AR275" s="3"/>
    </row>
    <row r="276" spans="1:44" ht="16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S276" s="3"/>
      <c r="T276" s="3"/>
      <c r="U276" s="3"/>
      <c r="V276" s="3"/>
      <c r="W276" s="3"/>
      <c r="X276" s="3"/>
      <c r="Y276" s="3"/>
      <c r="Z276" s="3"/>
      <c r="AB276" s="3"/>
      <c r="AC276" s="3"/>
      <c r="AD276" s="3"/>
      <c r="AE276" s="3"/>
      <c r="AF276" s="3"/>
      <c r="AG276" s="3"/>
      <c r="AH276" s="3"/>
      <c r="AI276" s="3"/>
      <c r="AK276" s="3"/>
      <c r="AL276" s="3"/>
      <c r="AM276" s="3"/>
      <c r="AN276" s="3"/>
      <c r="AO276" s="3"/>
      <c r="AP276" s="3"/>
      <c r="AQ276" s="3"/>
      <c r="AR276" s="3"/>
    </row>
    <row r="277" spans="1:44" ht="16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S277" s="3"/>
      <c r="T277" s="3"/>
      <c r="U277" s="3"/>
      <c r="V277" s="3"/>
      <c r="W277" s="3"/>
      <c r="X277" s="3"/>
      <c r="Y277" s="3"/>
      <c r="Z277" s="3"/>
      <c r="AB277" s="3"/>
      <c r="AC277" s="3"/>
      <c r="AD277" s="3"/>
      <c r="AE277" s="3"/>
      <c r="AF277" s="3"/>
      <c r="AG277" s="3"/>
      <c r="AH277" s="3"/>
      <c r="AI277" s="3"/>
      <c r="AK277" s="3"/>
      <c r="AL277" s="3"/>
      <c r="AM277" s="3"/>
      <c r="AN277" s="3"/>
      <c r="AO277" s="3"/>
      <c r="AP277" s="3"/>
      <c r="AQ277" s="3"/>
      <c r="AR277" s="3"/>
    </row>
    <row r="278" spans="1:44" ht="16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S278" s="3"/>
      <c r="T278" s="3"/>
      <c r="U278" s="3"/>
      <c r="V278" s="3"/>
      <c r="W278" s="3"/>
      <c r="X278" s="3"/>
      <c r="Y278" s="3"/>
      <c r="Z278" s="3"/>
      <c r="AB278" s="3"/>
      <c r="AC278" s="3"/>
      <c r="AD278" s="3"/>
      <c r="AE278" s="3"/>
      <c r="AF278" s="3"/>
      <c r="AG278" s="3"/>
      <c r="AH278" s="3"/>
      <c r="AI278" s="3"/>
      <c r="AK278" s="3"/>
      <c r="AL278" s="3"/>
      <c r="AM278" s="3"/>
      <c r="AN278" s="3"/>
      <c r="AO278" s="3"/>
      <c r="AP278" s="3"/>
      <c r="AQ278" s="3"/>
      <c r="AR278" s="3"/>
    </row>
    <row r="279" spans="1:44" ht="16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S279" s="3"/>
      <c r="T279" s="3"/>
      <c r="U279" s="3"/>
      <c r="V279" s="3"/>
      <c r="W279" s="3"/>
      <c r="X279" s="3"/>
      <c r="Y279" s="3"/>
      <c r="Z279" s="3"/>
      <c r="AB279" s="3"/>
      <c r="AC279" s="3"/>
      <c r="AD279" s="3"/>
      <c r="AE279" s="3"/>
      <c r="AF279" s="3"/>
      <c r="AG279" s="3"/>
      <c r="AH279" s="3"/>
      <c r="AI279" s="3"/>
      <c r="AK279" s="3"/>
      <c r="AL279" s="3"/>
      <c r="AM279" s="3"/>
      <c r="AN279" s="3"/>
      <c r="AO279" s="3"/>
      <c r="AP279" s="3"/>
      <c r="AQ279" s="3"/>
      <c r="AR279" s="3"/>
    </row>
    <row r="280" spans="1:44" ht="16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S280" s="3"/>
      <c r="T280" s="3"/>
      <c r="U280" s="3"/>
      <c r="V280" s="3"/>
      <c r="W280" s="3"/>
      <c r="X280" s="3"/>
      <c r="Y280" s="3"/>
      <c r="Z280" s="3"/>
      <c r="AB280" s="3"/>
      <c r="AC280" s="3"/>
      <c r="AD280" s="3"/>
      <c r="AE280" s="3"/>
      <c r="AF280" s="3"/>
      <c r="AG280" s="3"/>
      <c r="AH280" s="3"/>
      <c r="AI280" s="3"/>
      <c r="AK280" s="3"/>
      <c r="AL280" s="3"/>
      <c r="AM280" s="3"/>
      <c r="AN280" s="3"/>
      <c r="AO280" s="3"/>
      <c r="AP280" s="3"/>
      <c r="AQ280" s="3"/>
      <c r="AR280" s="3"/>
    </row>
    <row r="281" spans="1:44" ht="16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S281" s="3"/>
      <c r="T281" s="3"/>
      <c r="U281" s="3"/>
      <c r="V281" s="3"/>
      <c r="W281" s="3"/>
      <c r="X281" s="3"/>
      <c r="Y281" s="3"/>
      <c r="Z281" s="3"/>
      <c r="AB281" s="3"/>
      <c r="AC281" s="3"/>
      <c r="AD281" s="3"/>
      <c r="AE281" s="3"/>
      <c r="AF281" s="3"/>
      <c r="AG281" s="3"/>
      <c r="AH281" s="3"/>
      <c r="AI281" s="3"/>
      <c r="AK281" s="3"/>
      <c r="AL281" s="3"/>
      <c r="AM281" s="3"/>
      <c r="AN281" s="3"/>
      <c r="AO281" s="3"/>
      <c r="AP281" s="3"/>
      <c r="AQ281" s="3"/>
      <c r="AR281" s="3"/>
    </row>
    <row r="282" spans="1:44" ht="16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S282" s="3"/>
      <c r="T282" s="3"/>
      <c r="U282" s="3"/>
      <c r="V282" s="3"/>
      <c r="W282" s="3"/>
      <c r="X282" s="3"/>
      <c r="Y282" s="3"/>
      <c r="Z282" s="3"/>
      <c r="AB282" s="3"/>
      <c r="AC282" s="3"/>
      <c r="AD282" s="3"/>
      <c r="AE282" s="3"/>
      <c r="AF282" s="3"/>
      <c r="AG282" s="3"/>
      <c r="AH282" s="3"/>
      <c r="AI282" s="3"/>
      <c r="AK282" s="3"/>
      <c r="AL282" s="3"/>
      <c r="AM282" s="3"/>
      <c r="AN282" s="3"/>
      <c r="AO282" s="3"/>
      <c r="AP282" s="3"/>
      <c r="AQ282" s="3"/>
      <c r="AR282" s="3"/>
    </row>
    <row r="283" spans="1:44" ht="16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S283" s="3"/>
      <c r="T283" s="3"/>
      <c r="U283" s="3"/>
      <c r="V283" s="3"/>
      <c r="W283" s="3"/>
      <c r="X283" s="3"/>
      <c r="Y283" s="3"/>
      <c r="Z283" s="3"/>
      <c r="AB283" s="3"/>
      <c r="AC283" s="3"/>
      <c r="AD283" s="3"/>
      <c r="AE283" s="3"/>
      <c r="AF283" s="3"/>
      <c r="AG283" s="3"/>
      <c r="AH283" s="3"/>
      <c r="AI283" s="3"/>
      <c r="AK283" s="3"/>
      <c r="AL283" s="3"/>
      <c r="AM283" s="3"/>
      <c r="AN283" s="3"/>
      <c r="AO283" s="3"/>
      <c r="AP283" s="3"/>
      <c r="AQ283" s="3"/>
      <c r="AR283" s="3"/>
    </row>
    <row r="284" spans="1:44" ht="16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S284" s="3"/>
      <c r="T284" s="3"/>
      <c r="U284" s="3"/>
      <c r="V284" s="3"/>
      <c r="W284" s="3"/>
      <c r="X284" s="3"/>
      <c r="Y284" s="3"/>
      <c r="Z284" s="3"/>
      <c r="AB284" s="3"/>
      <c r="AC284" s="3"/>
      <c r="AD284" s="3"/>
      <c r="AE284" s="3"/>
      <c r="AF284" s="3"/>
      <c r="AG284" s="3"/>
      <c r="AH284" s="3"/>
      <c r="AI284" s="3"/>
      <c r="AK284" s="3"/>
      <c r="AL284" s="3"/>
      <c r="AM284" s="3"/>
      <c r="AN284" s="3"/>
      <c r="AO284" s="3"/>
      <c r="AP284" s="3"/>
      <c r="AQ284" s="3"/>
      <c r="AR284" s="3"/>
    </row>
    <row r="285" spans="1:44" ht="16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S285" s="3"/>
      <c r="T285" s="3"/>
      <c r="U285" s="3"/>
      <c r="V285" s="3"/>
      <c r="W285" s="3"/>
      <c r="X285" s="3"/>
      <c r="Y285" s="3"/>
      <c r="Z285" s="3"/>
      <c r="AB285" s="3"/>
      <c r="AC285" s="3"/>
      <c r="AD285" s="3"/>
      <c r="AE285" s="3"/>
      <c r="AF285" s="3"/>
      <c r="AG285" s="3"/>
      <c r="AH285" s="3"/>
      <c r="AI285" s="3"/>
      <c r="AK285" s="3"/>
      <c r="AL285" s="3"/>
      <c r="AM285" s="3"/>
      <c r="AN285" s="3"/>
      <c r="AO285" s="3"/>
      <c r="AP285" s="3"/>
      <c r="AQ285" s="3"/>
      <c r="AR285" s="3"/>
    </row>
    <row r="286" spans="1:44" ht="16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S286" s="3"/>
      <c r="T286" s="3"/>
      <c r="U286" s="3"/>
      <c r="V286" s="3"/>
      <c r="W286" s="3"/>
      <c r="X286" s="3"/>
      <c r="Y286" s="3"/>
      <c r="Z286" s="3"/>
      <c r="AB286" s="3"/>
      <c r="AC286" s="3"/>
      <c r="AD286" s="3"/>
      <c r="AE286" s="3"/>
      <c r="AF286" s="3"/>
      <c r="AG286" s="3"/>
      <c r="AH286" s="3"/>
      <c r="AI286" s="3"/>
      <c r="AK286" s="3"/>
      <c r="AL286" s="3"/>
      <c r="AM286" s="3"/>
      <c r="AN286" s="3"/>
      <c r="AO286" s="3"/>
      <c r="AP286" s="3"/>
      <c r="AQ286" s="3"/>
      <c r="AR286" s="3"/>
    </row>
    <row r="287" spans="1:44" ht="16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S287" s="3"/>
      <c r="T287" s="3"/>
      <c r="U287" s="3"/>
      <c r="V287" s="3"/>
      <c r="W287" s="3"/>
      <c r="X287" s="3"/>
      <c r="Y287" s="3"/>
      <c r="Z287" s="3"/>
      <c r="AB287" s="3"/>
      <c r="AC287" s="3"/>
      <c r="AD287" s="3"/>
      <c r="AE287" s="3"/>
      <c r="AF287" s="3"/>
      <c r="AG287" s="3"/>
      <c r="AH287" s="3"/>
      <c r="AI287" s="3"/>
      <c r="AK287" s="3"/>
      <c r="AL287" s="3"/>
      <c r="AM287" s="3"/>
      <c r="AN287" s="3"/>
      <c r="AO287" s="3"/>
      <c r="AP287" s="3"/>
      <c r="AQ287" s="3"/>
      <c r="AR287" s="3"/>
    </row>
    <row r="288" spans="1:44" ht="16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S288" s="3"/>
      <c r="T288" s="3"/>
      <c r="U288" s="3"/>
      <c r="V288" s="3"/>
      <c r="W288" s="3"/>
      <c r="X288" s="3"/>
      <c r="Y288" s="3"/>
      <c r="Z288" s="3"/>
      <c r="AB288" s="3"/>
      <c r="AC288" s="3"/>
      <c r="AD288" s="3"/>
      <c r="AE288" s="3"/>
      <c r="AF288" s="3"/>
      <c r="AG288" s="3"/>
      <c r="AH288" s="3"/>
      <c r="AI288" s="3"/>
      <c r="AK288" s="3"/>
      <c r="AL288" s="3"/>
      <c r="AM288" s="3"/>
      <c r="AN288" s="3"/>
      <c r="AO288" s="3"/>
      <c r="AP288" s="3"/>
      <c r="AQ288" s="3"/>
      <c r="AR288" s="3"/>
    </row>
    <row r="289" spans="1:44" ht="16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S289" s="3"/>
      <c r="T289" s="3"/>
      <c r="U289" s="3"/>
      <c r="V289" s="3"/>
      <c r="W289" s="3"/>
      <c r="X289" s="3"/>
      <c r="Y289" s="3"/>
      <c r="Z289" s="3"/>
      <c r="AB289" s="3"/>
      <c r="AC289" s="3"/>
      <c r="AD289" s="3"/>
      <c r="AE289" s="3"/>
      <c r="AF289" s="3"/>
      <c r="AG289" s="3"/>
      <c r="AH289" s="3"/>
      <c r="AI289" s="3"/>
      <c r="AK289" s="3"/>
      <c r="AL289" s="3"/>
      <c r="AM289" s="3"/>
      <c r="AN289" s="3"/>
      <c r="AO289" s="3"/>
      <c r="AP289" s="3"/>
      <c r="AQ289" s="3"/>
      <c r="AR289" s="3"/>
    </row>
    <row r="290" spans="1:44" ht="16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S290" s="3"/>
      <c r="T290" s="3"/>
      <c r="U290" s="3"/>
      <c r="V290" s="3"/>
      <c r="W290" s="3"/>
      <c r="X290" s="3"/>
      <c r="Y290" s="3"/>
      <c r="Z290" s="3"/>
      <c r="AB290" s="3"/>
      <c r="AC290" s="3"/>
      <c r="AD290" s="3"/>
      <c r="AE290" s="3"/>
      <c r="AF290" s="3"/>
      <c r="AG290" s="3"/>
      <c r="AH290" s="3"/>
      <c r="AI290" s="3"/>
      <c r="AK290" s="3"/>
      <c r="AL290" s="3"/>
      <c r="AM290" s="3"/>
      <c r="AN290" s="3"/>
      <c r="AO290" s="3"/>
      <c r="AP290" s="3"/>
      <c r="AQ290" s="3"/>
      <c r="AR290" s="3"/>
    </row>
    <row r="291" spans="1:44" ht="16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S291" s="3"/>
      <c r="T291" s="3"/>
      <c r="U291" s="3"/>
      <c r="V291" s="3"/>
      <c r="W291" s="3"/>
      <c r="X291" s="3"/>
      <c r="Y291" s="3"/>
      <c r="Z291" s="3"/>
      <c r="AB291" s="3"/>
      <c r="AC291" s="3"/>
      <c r="AD291" s="3"/>
      <c r="AE291" s="3"/>
      <c r="AF291" s="3"/>
      <c r="AG291" s="3"/>
      <c r="AH291" s="3"/>
      <c r="AI291" s="3"/>
      <c r="AK291" s="3"/>
      <c r="AL291" s="3"/>
      <c r="AM291" s="3"/>
      <c r="AN291" s="3"/>
      <c r="AO291" s="3"/>
      <c r="AP291" s="3"/>
      <c r="AQ291" s="3"/>
      <c r="AR291" s="3"/>
    </row>
    <row r="292" spans="1:44" ht="16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S292" s="3"/>
      <c r="T292" s="3"/>
      <c r="U292" s="3"/>
      <c r="V292" s="3"/>
      <c r="W292" s="3"/>
      <c r="X292" s="3"/>
      <c r="Y292" s="3"/>
      <c r="Z292" s="3"/>
      <c r="AB292" s="3"/>
      <c r="AC292" s="3"/>
      <c r="AD292" s="3"/>
      <c r="AE292" s="3"/>
      <c r="AF292" s="3"/>
      <c r="AG292" s="3"/>
      <c r="AH292" s="3"/>
      <c r="AI292" s="3"/>
      <c r="AK292" s="3"/>
      <c r="AL292" s="3"/>
      <c r="AM292" s="3"/>
      <c r="AN292" s="3"/>
      <c r="AO292" s="3"/>
      <c r="AP292" s="3"/>
      <c r="AQ292" s="3"/>
      <c r="AR292" s="3"/>
    </row>
    <row r="293" spans="1:44" ht="16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S293" s="3"/>
      <c r="T293" s="3"/>
      <c r="U293" s="3"/>
      <c r="V293" s="3"/>
      <c r="W293" s="3"/>
      <c r="X293" s="3"/>
      <c r="Y293" s="3"/>
      <c r="Z293" s="3"/>
      <c r="AB293" s="3"/>
      <c r="AC293" s="3"/>
      <c r="AD293" s="3"/>
      <c r="AE293" s="3"/>
      <c r="AF293" s="3"/>
      <c r="AG293" s="3"/>
      <c r="AH293" s="3"/>
      <c r="AI293" s="3"/>
      <c r="AK293" s="3"/>
      <c r="AL293" s="3"/>
      <c r="AM293" s="3"/>
      <c r="AN293" s="3"/>
      <c r="AO293" s="3"/>
      <c r="AP293" s="3"/>
      <c r="AQ293" s="3"/>
      <c r="AR293" s="3"/>
    </row>
    <row r="294" spans="1:44" ht="16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S294" s="3"/>
      <c r="T294" s="3"/>
      <c r="U294" s="3"/>
      <c r="V294" s="3"/>
      <c r="W294" s="3"/>
      <c r="X294" s="3"/>
      <c r="Y294" s="3"/>
      <c r="Z294" s="3"/>
      <c r="AB294" s="3"/>
      <c r="AC294" s="3"/>
      <c r="AD294" s="3"/>
      <c r="AE294" s="3"/>
      <c r="AF294" s="3"/>
      <c r="AG294" s="3"/>
      <c r="AH294" s="3"/>
      <c r="AI294" s="3"/>
      <c r="AK294" s="3"/>
      <c r="AL294" s="3"/>
      <c r="AM294" s="3"/>
      <c r="AN294" s="3"/>
      <c r="AO294" s="3"/>
      <c r="AP294" s="3"/>
      <c r="AQ294" s="3"/>
      <c r="AR294" s="3"/>
    </row>
    <row r="295" spans="1:44" ht="16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S295" s="3"/>
      <c r="T295" s="3"/>
      <c r="U295" s="3"/>
      <c r="V295" s="3"/>
      <c r="W295" s="3"/>
      <c r="X295" s="3"/>
      <c r="Y295" s="3"/>
      <c r="Z295" s="3"/>
      <c r="AB295" s="3"/>
      <c r="AC295" s="3"/>
      <c r="AD295" s="3"/>
      <c r="AE295" s="3"/>
      <c r="AF295" s="3"/>
      <c r="AG295" s="3"/>
      <c r="AH295" s="3"/>
      <c r="AI295" s="3"/>
      <c r="AK295" s="3"/>
      <c r="AL295" s="3"/>
      <c r="AM295" s="3"/>
      <c r="AN295" s="3"/>
      <c r="AO295" s="3"/>
      <c r="AP295" s="3"/>
      <c r="AQ295" s="3"/>
      <c r="AR295" s="3"/>
    </row>
    <row r="296" spans="1:44" ht="16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S296" s="3"/>
      <c r="T296" s="3"/>
      <c r="U296" s="3"/>
      <c r="V296" s="3"/>
      <c r="W296" s="3"/>
      <c r="X296" s="3"/>
      <c r="Y296" s="3"/>
      <c r="Z296" s="3"/>
      <c r="AB296" s="3"/>
      <c r="AC296" s="3"/>
      <c r="AD296" s="3"/>
      <c r="AE296" s="3"/>
      <c r="AF296" s="3"/>
      <c r="AG296" s="3"/>
      <c r="AH296" s="3"/>
      <c r="AI296" s="3"/>
      <c r="AK296" s="3"/>
      <c r="AL296" s="3"/>
      <c r="AM296" s="3"/>
      <c r="AN296" s="3"/>
      <c r="AO296" s="3"/>
      <c r="AP296" s="3"/>
      <c r="AQ296" s="3"/>
      <c r="AR296" s="3"/>
    </row>
    <row r="297" spans="1:44" ht="16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S297" s="3"/>
      <c r="T297" s="3"/>
      <c r="U297" s="3"/>
      <c r="V297" s="3"/>
      <c r="W297" s="3"/>
      <c r="X297" s="3"/>
      <c r="Y297" s="3"/>
      <c r="Z297" s="3"/>
      <c r="AB297" s="3"/>
      <c r="AC297" s="3"/>
      <c r="AD297" s="3"/>
      <c r="AE297" s="3"/>
      <c r="AF297" s="3"/>
      <c r="AG297" s="3"/>
      <c r="AH297" s="3"/>
      <c r="AI297" s="3"/>
      <c r="AK297" s="3"/>
      <c r="AL297" s="3"/>
      <c r="AM297" s="3"/>
      <c r="AN297" s="3"/>
      <c r="AO297" s="3"/>
      <c r="AP297" s="3"/>
      <c r="AQ297" s="3"/>
      <c r="AR297" s="3"/>
    </row>
    <row r="298" spans="1:44" ht="16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S298" s="3"/>
      <c r="T298" s="3"/>
      <c r="U298" s="3"/>
      <c r="V298" s="3"/>
      <c r="W298" s="3"/>
      <c r="X298" s="3"/>
      <c r="Y298" s="3"/>
      <c r="Z298" s="3"/>
      <c r="AB298" s="3"/>
      <c r="AC298" s="3"/>
      <c r="AD298" s="3"/>
      <c r="AE298" s="3"/>
      <c r="AF298" s="3"/>
      <c r="AG298" s="3"/>
      <c r="AH298" s="3"/>
      <c r="AI298" s="3"/>
      <c r="AK298" s="3"/>
      <c r="AL298" s="3"/>
      <c r="AM298" s="3"/>
      <c r="AN298" s="3"/>
      <c r="AO298" s="3"/>
      <c r="AP298" s="3"/>
      <c r="AQ298" s="3"/>
      <c r="AR298" s="3"/>
    </row>
    <row r="299" spans="1:44" ht="16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S299" s="3"/>
      <c r="T299" s="3"/>
      <c r="U299" s="3"/>
      <c r="V299" s="3"/>
      <c r="W299" s="3"/>
      <c r="X299" s="3"/>
      <c r="Y299" s="3"/>
      <c r="Z299" s="3"/>
      <c r="AB299" s="3"/>
      <c r="AC299" s="3"/>
      <c r="AD299" s="3"/>
      <c r="AE299" s="3"/>
      <c r="AF299" s="3"/>
      <c r="AG299" s="3"/>
      <c r="AH299" s="3"/>
      <c r="AI299" s="3"/>
      <c r="AK299" s="3"/>
      <c r="AL299" s="3"/>
      <c r="AM299" s="3"/>
      <c r="AN299" s="3"/>
      <c r="AO299" s="3"/>
      <c r="AP299" s="3"/>
      <c r="AQ299" s="3"/>
      <c r="AR299" s="3"/>
    </row>
    <row r="300" spans="1:44" ht="16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S300" s="3"/>
      <c r="T300" s="3"/>
      <c r="U300" s="3"/>
      <c r="V300" s="3"/>
      <c r="W300" s="3"/>
      <c r="X300" s="3"/>
      <c r="Y300" s="3"/>
      <c r="Z300" s="3"/>
      <c r="AB300" s="3"/>
      <c r="AC300" s="3"/>
      <c r="AD300" s="3"/>
      <c r="AE300" s="3"/>
      <c r="AF300" s="3"/>
      <c r="AG300" s="3"/>
      <c r="AH300" s="3"/>
      <c r="AI300" s="3"/>
      <c r="AK300" s="3"/>
      <c r="AL300" s="3"/>
      <c r="AM300" s="3"/>
      <c r="AN300" s="3"/>
      <c r="AO300" s="3"/>
      <c r="AP300" s="3"/>
      <c r="AQ300" s="3"/>
      <c r="AR300" s="3"/>
    </row>
    <row r="301" spans="1:44" ht="16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S301" s="3"/>
      <c r="T301" s="3"/>
      <c r="U301" s="3"/>
      <c r="V301" s="3"/>
      <c r="W301" s="3"/>
      <c r="X301" s="3"/>
      <c r="Y301" s="3"/>
      <c r="Z301" s="3"/>
      <c r="AB301" s="3"/>
      <c r="AC301" s="3"/>
      <c r="AD301" s="3"/>
      <c r="AE301" s="3"/>
      <c r="AF301" s="3"/>
      <c r="AG301" s="3"/>
      <c r="AH301" s="3"/>
      <c r="AI301" s="3"/>
      <c r="AK301" s="3"/>
      <c r="AL301" s="3"/>
      <c r="AM301" s="3"/>
      <c r="AN301" s="3"/>
      <c r="AO301" s="3"/>
      <c r="AP301" s="3"/>
      <c r="AQ301" s="3"/>
      <c r="AR301" s="3"/>
    </row>
    <row r="302" spans="1:44" ht="16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S302" s="3"/>
      <c r="T302" s="3"/>
      <c r="U302" s="3"/>
      <c r="V302" s="3"/>
      <c r="W302" s="3"/>
      <c r="X302" s="3"/>
      <c r="Y302" s="3"/>
      <c r="Z302" s="3"/>
      <c r="AB302" s="3"/>
      <c r="AC302" s="3"/>
      <c r="AD302" s="3"/>
      <c r="AE302" s="3"/>
      <c r="AF302" s="3"/>
      <c r="AG302" s="3"/>
      <c r="AH302" s="3"/>
      <c r="AI302" s="3"/>
      <c r="AK302" s="3"/>
      <c r="AL302" s="3"/>
      <c r="AM302" s="3"/>
      <c r="AN302" s="3"/>
      <c r="AO302" s="3"/>
      <c r="AP302" s="3"/>
      <c r="AQ302" s="3"/>
      <c r="AR302" s="3"/>
    </row>
    <row r="303" spans="1:44" ht="16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S303" s="3"/>
      <c r="T303" s="3"/>
      <c r="U303" s="3"/>
      <c r="V303" s="3"/>
      <c r="W303" s="3"/>
      <c r="X303" s="3"/>
      <c r="Y303" s="3"/>
      <c r="Z303" s="3"/>
      <c r="AB303" s="3"/>
      <c r="AC303" s="3"/>
      <c r="AD303" s="3"/>
      <c r="AE303" s="3"/>
      <c r="AF303" s="3"/>
      <c r="AG303" s="3"/>
      <c r="AH303" s="3"/>
      <c r="AI303" s="3"/>
      <c r="AK303" s="3"/>
      <c r="AL303" s="3"/>
      <c r="AM303" s="3"/>
      <c r="AN303" s="3"/>
      <c r="AO303" s="3"/>
      <c r="AP303" s="3"/>
      <c r="AQ303" s="3"/>
      <c r="AR303" s="3"/>
    </row>
    <row r="304" spans="1:44" ht="16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S304" s="3"/>
      <c r="T304" s="3"/>
      <c r="U304" s="3"/>
      <c r="V304" s="3"/>
      <c r="W304" s="3"/>
      <c r="X304" s="3"/>
      <c r="Y304" s="3"/>
      <c r="Z304" s="3"/>
      <c r="AB304" s="3"/>
      <c r="AC304" s="3"/>
      <c r="AD304" s="3"/>
      <c r="AE304" s="3"/>
      <c r="AF304" s="3"/>
      <c r="AG304" s="3"/>
      <c r="AH304" s="3"/>
      <c r="AI304" s="3"/>
      <c r="AK304" s="3"/>
      <c r="AL304" s="3"/>
      <c r="AM304" s="3"/>
      <c r="AN304" s="3"/>
      <c r="AO304" s="3"/>
      <c r="AP304" s="3"/>
      <c r="AQ304" s="3"/>
      <c r="AR304" s="3"/>
    </row>
    <row r="305" spans="1:44" ht="16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S305" s="3"/>
      <c r="T305" s="3"/>
      <c r="U305" s="3"/>
      <c r="V305" s="3"/>
      <c r="W305" s="3"/>
      <c r="X305" s="3"/>
      <c r="Y305" s="3"/>
      <c r="Z305" s="3"/>
      <c r="AB305" s="3"/>
      <c r="AC305" s="3"/>
      <c r="AD305" s="3"/>
      <c r="AE305" s="3"/>
      <c r="AF305" s="3"/>
      <c r="AG305" s="3"/>
      <c r="AH305" s="3"/>
      <c r="AI305" s="3"/>
      <c r="AK305" s="3"/>
      <c r="AL305" s="3"/>
      <c r="AM305" s="3"/>
      <c r="AN305" s="3"/>
      <c r="AO305" s="3"/>
      <c r="AP305" s="3"/>
      <c r="AQ305" s="3"/>
      <c r="AR305" s="3"/>
    </row>
    <row r="306" spans="1:44" ht="16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S306" s="3"/>
      <c r="T306" s="3"/>
      <c r="U306" s="3"/>
      <c r="V306" s="3"/>
      <c r="W306" s="3"/>
      <c r="X306" s="3"/>
      <c r="Y306" s="3"/>
      <c r="Z306" s="3"/>
      <c r="AB306" s="3"/>
      <c r="AC306" s="3"/>
      <c r="AD306" s="3"/>
      <c r="AE306" s="3"/>
      <c r="AF306" s="3"/>
      <c r="AG306" s="3"/>
      <c r="AH306" s="3"/>
      <c r="AI306" s="3"/>
      <c r="AK306" s="3"/>
      <c r="AL306" s="3"/>
      <c r="AM306" s="3"/>
      <c r="AN306" s="3"/>
      <c r="AO306" s="3"/>
      <c r="AP306" s="3"/>
      <c r="AQ306" s="3"/>
      <c r="AR306" s="3"/>
    </row>
    <row r="307" spans="1:44" ht="16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S307" s="3"/>
      <c r="T307" s="3"/>
      <c r="U307" s="3"/>
      <c r="V307" s="3"/>
      <c r="W307" s="3"/>
      <c r="X307" s="3"/>
      <c r="Y307" s="3"/>
      <c r="Z307" s="3"/>
      <c r="AB307" s="3"/>
      <c r="AC307" s="3"/>
      <c r="AD307" s="3"/>
      <c r="AE307" s="3"/>
      <c r="AF307" s="3"/>
      <c r="AG307" s="3"/>
      <c r="AH307" s="3"/>
      <c r="AI307" s="3"/>
      <c r="AK307" s="3"/>
      <c r="AL307" s="3"/>
      <c r="AM307" s="3"/>
      <c r="AN307" s="3"/>
      <c r="AO307" s="3"/>
      <c r="AP307" s="3"/>
      <c r="AQ307" s="3"/>
      <c r="AR307" s="3"/>
    </row>
    <row r="308" spans="1:44" ht="16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S308" s="3"/>
      <c r="T308" s="3"/>
      <c r="U308" s="3"/>
      <c r="V308" s="3"/>
      <c r="W308" s="3"/>
      <c r="X308" s="3"/>
      <c r="Y308" s="3"/>
      <c r="Z308" s="3"/>
      <c r="AB308" s="3"/>
      <c r="AC308" s="3"/>
      <c r="AD308" s="3"/>
      <c r="AE308" s="3"/>
      <c r="AF308" s="3"/>
      <c r="AG308" s="3"/>
      <c r="AH308" s="3"/>
      <c r="AI308" s="3"/>
      <c r="AK308" s="3"/>
      <c r="AL308" s="3"/>
      <c r="AM308" s="3"/>
      <c r="AN308" s="3"/>
      <c r="AO308" s="3"/>
      <c r="AP308" s="3"/>
      <c r="AQ308" s="3"/>
      <c r="AR308" s="3"/>
    </row>
    <row r="309" spans="1:44" ht="16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S309" s="3"/>
      <c r="T309" s="3"/>
      <c r="U309" s="3"/>
      <c r="V309" s="3"/>
      <c r="W309" s="3"/>
      <c r="X309" s="3"/>
      <c r="Y309" s="3"/>
      <c r="Z309" s="3"/>
      <c r="AB309" s="3"/>
      <c r="AC309" s="3"/>
      <c r="AD309" s="3"/>
      <c r="AE309" s="3"/>
      <c r="AF309" s="3"/>
      <c r="AG309" s="3"/>
      <c r="AH309" s="3"/>
      <c r="AI309" s="3"/>
      <c r="AK309" s="3"/>
      <c r="AL309" s="3"/>
      <c r="AM309" s="3"/>
      <c r="AN309" s="3"/>
      <c r="AO309" s="3"/>
      <c r="AP309" s="3"/>
      <c r="AQ309" s="3"/>
      <c r="AR309" s="3"/>
    </row>
    <row r="310" spans="1:44" ht="16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S310" s="3"/>
      <c r="T310" s="3"/>
      <c r="U310" s="3"/>
      <c r="V310" s="3"/>
      <c r="W310" s="3"/>
      <c r="X310" s="3"/>
      <c r="Y310" s="3"/>
      <c r="Z310" s="3"/>
      <c r="AB310" s="3"/>
      <c r="AC310" s="3"/>
      <c r="AD310" s="3"/>
      <c r="AE310" s="3"/>
      <c r="AF310" s="3"/>
      <c r="AG310" s="3"/>
      <c r="AH310" s="3"/>
      <c r="AI310" s="3"/>
      <c r="AK310" s="3"/>
      <c r="AL310" s="3"/>
      <c r="AM310" s="3"/>
      <c r="AN310" s="3"/>
      <c r="AO310" s="3"/>
      <c r="AP310" s="3"/>
      <c r="AQ310" s="3"/>
      <c r="AR310" s="3"/>
    </row>
    <row r="311" spans="1:44" ht="16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S311" s="3"/>
      <c r="T311" s="3"/>
      <c r="U311" s="3"/>
      <c r="V311" s="3"/>
      <c r="W311" s="3"/>
      <c r="X311" s="3"/>
      <c r="Y311" s="3"/>
      <c r="Z311" s="3"/>
      <c r="AB311" s="3"/>
      <c r="AC311" s="3"/>
      <c r="AD311" s="3"/>
      <c r="AE311" s="3"/>
      <c r="AF311" s="3"/>
      <c r="AG311" s="3"/>
      <c r="AH311" s="3"/>
      <c r="AI311" s="3"/>
      <c r="AK311" s="3"/>
      <c r="AL311" s="3"/>
      <c r="AM311" s="3"/>
      <c r="AN311" s="3"/>
      <c r="AO311" s="3"/>
      <c r="AP311" s="3"/>
      <c r="AQ311" s="3"/>
      <c r="AR311" s="3"/>
    </row>
    <row r="312" spans="1:44" ht="16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S312" s="3"/>
      <c r="T312" s="3"/>
      <c r="U312" s="3"/>
      <c r="V312" s="3"/>
      <c r="W312" s="3"/>
      <c r="X312" s="3"/>
      <c r="Y312" s="3"/>
      <c r="Z312" s="3"/>
      <c r="AB312" s="3"/>
      <c r="AC312" s="3"/>
      <c r="AD312" s="3"/>
      <c r="AE312" s="3"/>
      <c r="AF312" s="3"/>
      <c r="AG312" s="3"/>
      <c r="AH312" s="3"/>
      <c r="AI312" s="3"/>
      <c r="AK312" s="3"/>
      <c r="AL312" s="3"/>
      <c r="AM312" s="3"/>
      <c r="AN312" s="3"/>
      <c r="AO312" s="3"/>
      <c r="AP312" s="3"/>
      <c r="AQ312" s="3"/>
      <c r="AR312" s="3"/>
    </row>
    <row r="313" spans="1:44" ht="16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S313" s="3"/>
      <c r="T313" s="3"/>
      <c r="U313" s="3"/>
      <c r="V313" s="3"/>
      <c r="W313" s="3"/>
      <c r="X313" s="3"/>
      <c r="Y313" s="3"/>
      <c r="Z313" s="3"/>
      <c r="AB313" s="3"/>
      <c r="AC313" s="3"/>
      <c r="AD313" s="3"/>
      <c r="AE313" s="3"/>
      <c r="AF313" s="3"/>
      <c r="AG313" s="3"/>
      <c r="AH313" s="3"/>
      <c r="AI313" s="3"/>
      <c r="AK313" s="3"/>
      <c r="AL313" s="3"/>
      <c r="AM313" s="3"/>
      <c r="AN313" s="3"/>
      <c r="AO313" s="3"/>
      <c r="AP313" s="3"/>
      <c r="AQ313" s="3"/>
      <c r="AR313" s="3"/>
    </row>
    <row r="314" spans="1:44" ht="16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S314" s="3"/>
      <c r="T314" s="3"/>
      <c r="U314" s="3"/>
      <c r="V314" s="3"/>
      <c r="W314" s="3"/>
      <c r="X314" s="3"/>
      <c r="Y314" s="3"/>
      <c r="Z314" s="3"/>
      <c r="AB314" s="3"/>
      <c r="AC314" s="3"/>
      <c r="AD314" s="3"/>
      <c r="AE314" s="3"/>
      <c r="AF314" s="3"/>
      <c r="AG314" s="3"/>
      <c r="AH314" s="3"/>
      <c r="AI314" s="3"/>
      <c r="AK314" s="3"/>
      <c r="AL314" s="3"/>
      <c r="AM314" s="3"/>
      <c r="AN314" s="3"/>
      <c r="AO314" s="3"/>
      <c r="AP314" s="3"/>
      <c r="AQ314" s="3"/>
      <c r="AR314" s="3"/>
    </row>
    <row r="315" spans="1:44" ht="16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S315" s="3"/>
      <c r="T315" s="3"/>
      <c r="U315" s="3"/>
      <c r="V315" s="3"/>
      <c r="W315" s="3"/>
      <c r="X315" s="3"/>
      <c r="Y315" s="3"/>
      <c r="Z315" s="3"/>
      <c r="AB315" s="3"/>
      <c r="AC315" s="3"/>
      <c r="AD315" s="3"/>
      <c r="AE315" s="3"/>
      <c r="AF315" s="3"/>
      <c r="AG315" s="3"/>
      <c r="AH315" s="3"/>
      <c r="AI315" s="3"/>
      <c r="AK315" s="3"/>
      <c r="AL315" s="3"/>
      <c r="AM315" s="3"/>
      <c r="AN315" s="3"/>
      <c r="AO315" s="3"/>
      <c r="AP315" s="3"/>
      <c r="AQ315" s="3"/>
      <c r="AR315" s="3"/>
    </row>
    <row r="316" spans="1:44" ht="16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S316" s="3"/>
      <c r="T316" s="3"/>
      <c r="U316" s="3"/>
      <c r="V316" s="3"/>
      <c r="W316" s="3"/>
      <c r="X316" s="3"/>
      <c r="Y316" s="3"/>
      <c r="Z316" s="3"/>
      <c r="AB316" s="3"/>
      <c r="AC316" s="3"/>
      <c r="AD316" s="3"/>
      <c r="AE316" s="3"/>
      <c r="AF316" s="3"/>
      <c r="AG316" s="3"/>
      <c r="AH316" s="3"/>
      <c r="AI316" s="3"/>
      <c r="AK316" s="3"/>
      <c r="AL316" s="3"/>
      <c r="AM316" s="3"/>
      <c r="AN316" s="3"/>
      <c r="AO316" s="3"/>
      <c r="AP316" s="3"/>
      <c r="AQ316" s="3"/>
      <c r="AR316" s="3"/>
    </row>
    <row r="317" spans="1:44" ht="16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S317" s="3"/>
      <c r="T317" s="3"/>
      <c r="U317" s="3"/>
      <c r="V317" s="3"/>
      <c r="W317" s="3"/>
      <c r="X317" s="3"/>
      <c r="Y317" s="3"/>
      <c r="Z317" s="3"/>
      <c r="AB317" s="3"/>
      <c r="AC317" s="3"/>
      <c r="AD317" s="3"/>
      <c r="AE317" s="3"/>
      <c r="AF317" s="3"/>
      <c r="AG317" s="3"/>
      <c r="AH317" s="3"/>
      <c r="AI317" s="3"/>
      <c r="AK317" s="3"/>
      <c r="AL317" s="3"/>
      <c r="AM317" s="3"/>
      <c r="AN317" s="3"/>
      <c r="AO317" s="3"/>
      <c r="AP317" s="3"/>
      <c r="AQ317" s="3"/>
      <c r="AR317" s="3"/>
    </row>
    <row r="318" spans="1:44" ht="16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S318" s="3"/>
      <c r="T318" s="3"/>
      <c r="U318" s="3"/>
      <c r="V318" s="3"/>
      <c r="W318" s="3"/>
      <c r="X318" s="3"/>
      <c r="Y318" s="3"/>
      <c r="Z318" s="3"/>
      <c r="AB318" s="3"/>
      <c r="AC318" s="3"/>
      <c r="AD318" s="3"/>
      <c r="AE318" s="3"/>
      <c r="AF318" s="3"/>
      <c r="AG318" s="3"/>
      <c r="AH318" s="3"/>
      <c r="AI318" s="3"/>
      <c r="AK318" s="3"/>
      <c r="AL318" s="3"/>
      <c r="AM318" s="3"/>
      <c r="AN318" s="3"/>
      <c r="AO318" s="3"/>
      <c r="AP318" s="3"/>
      <c r="AQ318" s="3"/>
      <c r="AR318" s="3"/>
    </row>
    <row r="319" spans="1:44" ht="16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S319" s="3"/>
      <c r="T319" s="3"/>
      <c r="U319" s="3"/>
      <c r="V319" s="3"/>
      <c r="W319" s="3"/>
      <c r="X319" s="3"/>
      <c r="Y319" s="3"/>
      <c r="Z319" s="3"/>
      <c r="AB319" s="3"/>
      <c r="AC319" s="3"/>
      <c r="AD319" s="3"/>
      <c r="AE319" s="3"/>
      <c r="AF319" s="3"/>
      <c r="AG319" s="3"/>
      <c r="AH319" s="3"/>
      <c r="AI319" s="3"/>
      <c r="AK319" s="3"/>
      <c r="AL319" s="3"/>
      <c r="AM319" s="3"/>
      <c r="AN319" s="3"/>
      <c r="AO319" s="3"/>
      <c r="AP319" s="3"/>
      <c r="AQ319" s="3"/>
      <c r="AR319" s="3"/>
    </row>
    <row r="320" spans="1:44" ht="16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S320" s="3"/>
      <c r="T320" s="3"/>
      <c r="U320" s="3"/>
      <c r="V320" s="3"/>
      <c r="W320" s="3"/>
      <c r="X320" s="3"/>
      <c r="Y320" s="3"/>
      <c r="Z320" s="3"/>
      <c r="AB320" s="3"/>
      <c r="AC320" s="3"/>
      <c r="AD320" s="3"/>
      <c r="AE320" s="3"/>
      <c r="AF320" s="3"/>
      <c r="AG320" s="3"/>
      <c r="AH320" s="3"/>
      <c r="AI320" s="3"/>
      <c r="AK320" s="3"/>
      <c r="AL320" s="3"/>
      <c r="AM320" s="3"/>
      <c r="AN320" s="3"/>
      <c r="AO320" s="3"/>
      <c r="AP320" s="3"/>
      <c r="AQ320" s="3"/>
      <c r="AR320" s="3"/>
    </row>
    <row r="321" spans="1:44" ht="16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S321" s="3"/>
      <c r="T321" s="3"/>
      <c r="U321" s="3"/>
      <c r="V321" s="3"/>
      <c r="W321" s="3"/>
      <c r="X321" s="3"/>
      <c r="Y321" s="3"/>
      <c r="Z321" s="3"/>
      <c r="AB321" s="3"/>
      <c r="AC321" s="3"/>
      <c r="AD321" s="3"/>
      <c r="AE321" s="3"/>
      <c r="AF321" s="3"/>
      <c r="AG321" s="3"/>
      <c r="AH321" s="3"/>
      <c r="AI321" s="3"/>
      <c r="AK321" s="3"/>
      <c r="AL321" s="3"/>
      <c r="AM321" s="3"/>
      <c r="AN321" s="3"/>
      <c r="AO321" s="3"/>
      <c r="AP321" s="3"/>
      <c r="AQ321" s="3"/>
      <c r="AR321" s="3"/>
    </row>
    <row r="322" spans="1:44" ht="16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S322" s="3"/>
      <c r="T322" s="3"/>
      <c r="U322" s="3"/>
      <c r="V322" s="3"/>
      <c r="W322" s="3"/>
      <c r="X322" s="3"/>
      <c r="Y322" s="3"/>
      <c r="Z322" s="3"/>
      <c r="AB322" s="3"/>
      <c r="AC322" s="3"/>
      <c r="AD322" s="3"/>
      <c r="AE322" s="3"/>
      <c r="AF322" s="3"/>
      <c r="AG322" s="3"/>
      <c r="AH322" s="3"/>
      <c r="AI322" s="3"/>
      <c r="AK322" s="3"/>
      <c r="AL322" s="3"/>
      <c r="AM322" s="3"/>
      <c r="AN322" s="3"/>
      <c r="AO322" s="3"/>
      <c r="AP322" s="3"/>
      <c r="AQ322" s="3"/>
      <c r="AR322" s="3"/>
    </row>
    <row r="323" spans="1:44" ht="16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S323" s="3"/>
      <c r="T323" s="3"/>
      <c r="U323" s="3"/>
      <c r="V323" s="3"/>
      <c r="W323" s="3"/>
      <c r="X323" s="3"/>
      <c r="Y323" s="3"/>
      <c r="Z323" s="3"/>
      <c r="AB323" s="3"/>
      <c r="AC323" s="3"/>
      <c r="AD323" s="3"/>
      <c r="AE323" s="3"/>
      <c r="AF323" s="3"/>
      <c r="AG323" s="3"/>
      <c r="AH323" s="3"/>
      <c r="AI323" s="3"/>
      <c r="AK323" s="3"/>
      <c r="AL323" s="3"/>
      <c r="AM323" s="3"/>
      <c r="AN323" s="3"/>
      <c r="AO323" s="3"/>
      <c r="AP323" s="3"/>
      <c r="AQ323" s="3"/>
      <c r="AR323" s="3"/>
    </row>
    <row r="324" spans="1:44" ht="16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S324" s="3"/>
      <c r="T324" s="3"/>
      <c r="U324" s="3"/>
      <c r="V324" s="3"/>
      <c r="W324" s="3"/>
      <c r="X324" s="3"/>
      <c r="Y324" s="3"/>
      <c r="Z324" s="3"/>
      <c r="AB324" s="3"/>
      <c r="AC324" s="3"/>
      <c r="AD324" s="3"/>
      <c r="AE324" s="3"/>
      <c r="AF324" s="3"/>
      <c r="AG324" s="3"/>
      <c r="AH324" s="3"/>
      <c r="AI324" s="3"/>
      <c r="AK324" s="3"/>
      <c r="AL324" s="3"/>
      <c r="AM324" s="3"/>
      <c r="AN324" s="3"/>
      <c r="AO324" s="3"/>
      <c r="AP324" s="3"/>
      <c r="AQ324" s="3"/>
      <c r="AR324" s="3"/>
    </row>
    <row r="325" spans="1:44" ht="16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S325" s="3"/>
      <c r="T325" s="3"/>
      <c r="U325" s="3"/>
      <c r="V325" s="3"/>
      <c r="W325" s="3"/>
      <c r="X325" s="3"/>
      <c r="Y325" s="3"/>
      <c r="Z325" s="3"/>
      <c r="AB325" s="3"/>
      <c r="AC325" s="3"/>
      <c r="AD325" s="3"/>
      <c r="AE325" s="3"/>
      <c r="AF325" s="3"/>
      <c r="AG325" s="3"/>
      <c r="AH325" s="3"/>
      <c r="AI325" s="3"/>
      <c r="AK325" s="3"/>
      <c r="AL325" s="3"/>
      <c r="AM325" s="3"/>
      <c r="AN325" s="3"/>
      <c r="AO325" s="3"/>
      <c r="AP325" s="3"/>
      <c r="AQ325" s="3"/>
      <c r="AR325" s="3"/>
    </row>
    <row r="326" spans="1:44" ht="16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S326" s="3"/>
      <c r="T326" s="3"/>
      <c r="U326" s="3"/>
      <c r="V326" s="3"/>
      <c r="W326" s="3"/>
      <c r="X326" s="3"/>
      <c r="Y326" s="3"/>
      <c r="Z326" s="3"/>
      <c r="AB326" s="3"/>
      <c r="AC326" s="3"/>
      <c r="AD326" s="3"/>
      <c r="AE326" s="3"/>
      <c r="AF326" s="3"/>
      <c r="AG326" s="3"/>
      <c r="AH326" s="3"/>
      <c r="AI326" s="3"/>
      <c r="AK326" s="3"/>
      <c r="AL326" s="3"/>
      <c r="AM326" s="3"/>
      <c r="AN326" s="3"/>
      <c r="AO326" s="3"/>
      <c r="AP326" s="3"/>
      <c r="AQ326" s="3"/>
      <c r="AR326" s="3"/>
    </row>
    <row r="327" spans="1:44" ht="16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S327" s="3"/>
      <c r="T327" s="3"/>
      <c r="U327" s="3"/>
      <c r="V327" s="3"/>
      <c r="W327" s="3"/>
      <c r="X327" s="3"/>
      <c r="Y327" s="3"/>
      <c r="Z327" s="3"/>
      <c r="AB327" s="3"/>
      <c r="AC327" s="3"/>
      <c r="AD327" s="3"/>
      <c r="AE327" s="3"/>
      <c r="AF327" s="3"/>
      <c r="AG327" s="3"/>
      <c r="AH327" s="3"/>
      <c r="AI327" s="3"/>
      <c r="AK327" s="3"/>
      <c r="AL327" s="3"/>
      <c r="AM327" s="3"/>
      <c r="AN327" s="3"/>
      <c r="AO327" s="3"/>
      <c r="AP327" s="3"/>
      <c r="AQ327" s="3"/>
      <c r="AR327" s="3"/>
    </row>
    <row r="328" spans="1:44" ht="16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S328" s="3"/>
      <c r="T328" s="3"/>
      <c r="U328" s="3"/>
      <c r="V328" s="3"/>
      <c r="W328" s="3"/>
      <c r="X328" s="3"/>
      <c r="Y328" s="3"/>
      <c r="Z328" s="3"/>
      <c r="AB328" s="3"/>
      <c r="AC328" s="3"/>
      <c r="AD328" s="3"/>
      <c r="AE328" s="3"/>
      <c r="AF328" s="3"/>
      <c r="AG328" s="3"/>
      <c r="AH328" s="3"/>
      <c r="AI328" s="3"/>
      <c r="AK328" s="3"/>
      <c r="AL328" s="3"/>
      <c r="AM328" s="3"/>
      <c r="AN328" s="3"/>
      <c r="AO328" s="3"/>
      <c r="AP328" s="3"/>
      <c r="AQ328" s="3"/>
      <c r="AR328" s="3"/>
    </row>
    <row r="329" spans="1:44" ht="16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S329" s="3"/>
      <c r="T329" s="3"/>
      <c r="U329" s="3"/>
      <c r="V329" s="3"/>
      <c r="W329" s="3"/>
      <c r="X329" s="3"/>
      <c r="Y329" s="3"/>
      <c r="Z329" s="3"/>
      <c r="AB329" s="3"/>
      <c r="AC329" s="3"/>
      <c r="AD329" s="3"/>
      <c r="AE329" s="3"/>
      <c r="AF329" s="3"/>
      <c r="AG329" s="3"/>
      <c r="AH329" s="3"/>
      <c r="AI329" s="3"/>
      <c r="AK329" s="3"/>
      <c r="AL329" s="3"/>
      <c r="AM329" s="3"/>
      <c r="AN329" s="3"/>
      <c r="AO329" s="3"/>
      <c r="AP329" s="3"/>
      <c r="AQ329" s="3"/>
      <c r="AR329" s="3"/>
    </row>
    <row r="330" spans="1:44" ht="16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S330" s="3"/>
      <c r="T330" s="3"/>
      <c r="U330" s="3"/>
      <c r="V330" s="3"/>
      <c r="W330" s="3"/>
      <c r="X330" s="3"/>
      <c r="Y330" s="3"/>
      <c r="Z330" s="3"/>
      <c r="AB330" s="3"/>
      <c r="AC330" s="3"/>
      <c r="AD330" s="3"/>
      <c r="AE330" s="3"/>
      <c r="AF330" s="3"/>
      <c r="AG330" s="3"/>
      <c r="AH330" s="3"/>
      <c r="AI330" s="3"/>
      <c r="AK330" s="3"/>
      <c r="AL330" s="3"/>
      <c r="AM330" s="3"/>
      <c r="AN330" s="3"/>
      <c r="AO330" s="3"/>
      <c r="AP330" s="3"/>
      <c r="AQ330" s="3"/>
      <c r="AR330" s="3"/>
    </row>
    <row r="331" spans="1:44" ht="16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S331" s="3"/>
      <c r="T331" s="3"/>
      <c r="U331" s="3"/>
      <c r="V331" s="3"/>
      <c r="W331" s="3"/>
      <c r="X331" s="3"/>
      <c r="Y331" s="3"/>
      <c r="Z331" s="3"/>
      <c r="AB331" s="3"/>
      <c r="AC331" s="3"/>
      <c r="AD331" s="3"/>
      <c r="AE331" s="3"/>
      <c r="AF331" s="3"/>
      <c r="AG331" s="3"/>
      <c r="AH331" s="3"/>
      <c r="AI331" s="3"/>
      <c r="AK331" s="3"/>
      <c r="AL331" s="3"/>
      <c r="AM331" s="3"/>
      <c r="AN331" s="3"/>
      <c r="AO331" s="3"/>
      <c r="AP331" s="3"/>
      <c r="AQ331" s="3"/>
      <c r="AR331" s="3"/>
    </row>
    <row r="332" spans="1:44" ht="16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S332" s="3"/>
      <c r="T332" s="3"/>
      <c r="U332" s="3"/>
      <c r="V332" s="3"/>
      <c r="W332" s="3"/>
      <c r="X332" s="3"/>
      <c r="Y332" s="3"/>
      <c r="Z332" s="3"/>
      <c r="AB332" s="3"/>
      <c r="AC332" s="3"/>
      <c r="AD332" s="3"/>
      <c r="AE332" s="3"/>
      <c r="AF332" s="3"/>
      <c r="AG332" s="3"/>
      <c r="AH332" s="3"/>
      <c r="AI332" s="3"/>
      <c r="AK332" s="3"/>
      <c r="AL332" s="3"/>
      <c r="AM332" s="3"/>
      <c r="AN332" s="3"/>
      <c r="AO332" s="3"/>
      <c r="AP332" s="3"/>
      <c r="AQ332" s="3"/>
      <c r="AR332" s="3"/>
    </row>
    <row r="333" spans="1:44" ht="16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S333" s="3"/>
      <c r="T333" s="3"/>
      <c r="U333" s="3"/>
      <c r="V333" s="3"/>
      <c r="W333" s="3"/>
      <c r="X333" s="3"/>
      <c r="Y333" s="3"/>
      <c r="Z333" s="3"/>
      <c r="AB333" s="3"/>
      <c r="AC333" s="3"/>
      <c r="AD333" s="3"/>
      <c r="AE333" s="3"/>
      <c r="AF333" s="3"/>
      <c r="AG333" s="3"/>
      <c r="AH333" s="3"/>
      <c r="AI333" s="3"/>
      <c r="AK333" s="3"/>
      <c r="AL333" s="3"/>
      <c r="AM333" s="3"/>
      <c r="AN333" s="3"/>
      <c r="AO333" s="3"/>
      <c r="AP333" s="3"/>
      <c r="AQ333" s="3"/>
      <c r="AR333" s="3"/>
    </row>
    <row r="334" spans="1:44" ht="16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S334" s="3"/>
      <c r="T334" s="3"/>
      <c r="U334" s="3"/>
      <c r="V334" s="3"/>
      <c r="W334" s="3"/>
      <c r="X334" s="3"/>
      <c r="Y334" s="3"/>
      <c r="Z334" s="3"/>
      <c r="AB334" s="3"/>
      <c r="AC334" s="3"/>
      <c r="AD334" s="3"/>
      <c r="AE334" s="3"/>
      <c r="AF334" s="3"/>
      <c r="AG334" s="3"/>
      <c r="AH334" s="3"/>
      <c r="AI334" s="3"/>
      <c r="AK334" s="3"/>
      <c r="AL334" s="3"/>
      <c r="AM334" s="3"/>
      <c r="AN334" s="3"/>
      <c r="AO334" s="3"/>
      <c r="AP334" s="3"/>
      <c r="AQ334" s="3"/>
      <c r="AR334" s="3"/>
    </row>
    <row r="335" spans="1:44" ht="16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S335" s="3"/>
      <c r="T335" s="3"/>
      <c r="U335" s="3"/>
      <c r="V335" s="3"/>
      <c r="W335" s="3"/>
      <c r="X335" s="3"/>
      <c r="Y335" s="3"/>
      <c r="Z335" s="3"/>
      <c r="AB335" s="3"/>
      <c r="AC335" s="3"/>
      <c r="AD335" s="3"/>
      <c r="AE335" s="3"/>
      <c r="AF335" s="3"/>
      <c r="AG335" s="3"/>
      <c r="AH335" s="3"/>
      <c r="AI335" s="3"/>
      <c r="AK335" s="3"/>
      <c r="AL335" s="3"/>
      <c r="AM335" s="3"/>
      <c r="AN335" s="3"/>
      <c r="AO335" s="3"/>
      <c r="AP335" s="3"/>
      <c r="AQ335" s="3"/>
      <c r="AR335" s="3"/>
    </row>
    <row r="336" spans="1:44" ht="16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S336" s="3"/>
      <c r="T336" s="3"/>
      <c r="U336" s="3"/>
      <c r="V336" s="3"/>
      <c r="W336" s="3"/>
      <c r="X336" s="3"/>
      <c r="Y336" s="3"/>
      <c r="Z336" s="3"/>
      <c r="AB336" s="3"/>
      <c r="AC336" s="3"/>
      <c r="AD336" s="3"/>
      <c r="AE336" s="3"/>
      <c r="AF336" s="3"/>
      <c r="AG336" s="3"/>
      <c r="AH336" s="3"/>
      <c r="AI336" s="3"/>
      <c r="AK336" s="3"/>
      <c r="AL336" s="3"/>
      <c r="AM336" s="3"/>
      <c r="AN336" s="3"/>
      <c r="AO336" s="3"/>
      <c r="AP336" s="3"/>
      <c r="AQ336" s="3"/>
      <c r="AR336" s="3"/>
    </row>
    <row r="337" spans="1:44" ht="16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S337" s="3"/>
      <c r="T337" s="3"/>
      <c r="U337" s="3"/>
      <c r="V337" s="3"/>
      <c r="W337" s="3"/>
      <c r="X337" s="3"/>
      <c r="Y337" s="3"/>
      <c r="Z337" s="3"/>
      <c r="AB337" s="3"/>
      <c r="AC337" s="3"/>
      <c r="AD337" s="3"/>
      <c r="AE337" s="3"/>
      <c r="AF337" s="3"/>
      <c r="AG337" s="3"/>
      <c r="AH337" s="3"/>
      <c r="AI337" s="3"/>
      <c r="AK337" s="3"/>
      <c r="AL337" s="3"/>
      <c r="AM337" s="3"/>
      <c r="AN337" s="3"/>
      <c r="AO337" s="3"/>
      <c r="AP337" s="3"/>
      <c r="AQ337" s="3"/>
      <c r="AR337" s="3"/>
    </row>
    <row r="338" spans="1:44" ht="16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S338" s="3"/>
      <c r="T338" s="3"/>
      <c r="U338" s="3"/>
      <c r="V338" s="3"/>
      <c r="W338" s="3"/>
      <c r="X338" s="3"/>
      <c r="Y338" s="3"/>
      <c r="Z338" s="3"/>
      <c r="AB338" s="3"/>
      <c r="AC338" s="3"/>
      <c r="AD338" s="3"/>
      <c r="AE338" s="3"/>
      <c r="AF338" s="3"/>
      <c r="AG338" s="3"/>
      <c r="AH338" s="3"/>
      <c r="AI338" s="3"/>
      <c r="AK338" s="3"/>
      <c r="AL338" s="3"/>
      <c r="AM338" s="3"/>
      <c r="AN338" s="3"/>
      <c r="AO338" s="3"/>
      <c r="AP338" s="3"/>
      <c r="AQ338" s="3"/>
      <c r="AR338" s="3"/>
    </row>
    <row r="339" spans="1:44" ht="16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S339" s="3"/>
      <c r="T339" s="3"/>
      <c r="U339" s="3"/>
      <c r="V339" s="3"/>
      <c r="W339" s="3"/>
      <c r="X339" s="3"/>
      <c r="Y339" s="3"/>
      <c r="Z339" s="3"/>
      <c r="AB339" s="3"/>
      <c r="AC339" s="3"/>
      <c r="AD339" s="3"/>
      <c r="AE339" s="3"/>
      <c r="AF339" s="3"/>
      <c r="AG339" s="3"/>
      <c r="AH339" s="3"/>
      <c r="AI339" s="3"/>
      <c r="AK339" s="3"/>
      <c r="AL339" s="3"/>
      <c r="AM339" s="3"/>
      <c r="AN339" s="3"/>
      <c r="AO339" s="3"/>
      <c r="AP339" s="3"/>
      <c r="AQ339" s="3"/>
      <c r="AR339" s="3"/>
    </row>
    <row r="340" spans="1:44" ht="16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S340" s="3"/>
      <c r="T340" s="3"/>
      <c r="U340" s="3"/>
      <c r="V340" s="3"/>
      <c r="W340" s="3"/>
      <c r="X340" s="3"/>
      <c r="Y340" s="3"/>
      <c r="Z340" s="3"/>
      <c r="AB340" s="3"/>
      <c r="AC340" s="3"/>
      <c r="AD340" s="3"/>
      <c r="AE340" s="3"/>
      <c r="AF340" s="3"/>
      <c r="AG340" s="3"/>
      <c r="AH340" s="3"/>
      <c r="AI340" s="3"/>
      <c r="AK340" s="3"/>
      <c r="AL340" s="3"/>
      <c r="AM340" s="3"/>
      <c r="AN340" s="3"/>
      <c r="AO340" s="3"/>
      <c r="AP340" s="3"/>
      <c r="AQ340" s="3"/>
      <c r="AR340" s="3"/>
    </row>
    <row r="341" spans="1:44" ht="16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S341" s="3"/>
      <c r="T341" s="3"/>
      <c r="U341" s="3"/>
      <c r="V341" s="3"/>
      <c r="W341" s="3"/>
      <c r="X341" s="3"/>
      <c r="Y341" s="3"/>
      <c r="Z341" s="3"/>
      <c r="AB341" s="3"/>
      <c r="AC341" s="3"/>
      <c r="AD341" s="3"/>
      <c r="AE341" s="3"/>
      <c r="AF341" s="3"/>
      <c r="AG341" s="3"/>
      <c r="AH341" s="3"/>
      <c r="AI341" s="3"/>
      <c r="AK341" s="3"/>
      <c r="AL341" s="3"/>
      <c r="AM341" s="3"/>
      <c r="AN341" s="3"/>
      <c r="AO341" s="3"/>
      <c r="AP341" s="3"/>
      <c r="AQ341" s="3"/>
      <c r="AR341" s="3"/>
    </row>
    <row r="342" spans="1:44" ht="16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S342" s="3"/>
      <c r="T342" s="3"/>
      <c r="U342" s="3"/>
      <c r="V342" s="3"/>
      <c r="W342" s="3"/>
      <c r="X342" s="3"/>
      <c r="Y342" s="3"/>
      <c r="Z342" s="3"/>
      <c r="AB342" s="3"/>
      <c r="AC342" s="3"/>
      <c r="AD342" s="3"/>
      <c r="AE342" s="3"/>
      <c r="AF342" s="3"/>
      <c r="AG342" s="3"/>
      <c r="AH342" s="3"/>
      <c r="AI342" s="3"/>
      <c r="AK342" s="3"/>
      <c r="AL342" s="3"/>
      <c r="AM342" s="3"/>
      <c r="AN342" s="3"/>
      <c r="AO342" s="3"/>
      <c r="AP342" s="3"/>
      <c r="AQ342" s="3"/>
      <c r="AR342" s="3"/>
    </row>
    <row r="343" spans="1:44" ht="16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S343" s="3"/>
      <c r="T343" s="3"/>
      <c r="U343" s="3"/>
      <c r="V343" s="3"/>
      <c r="W343" s="3"/>
      <c r="X343" s="3"/>
      <c r="Y343" s="3"/>
      <c r="Z343" s="3"/>
      <c r="AB343" s="3"/>
      <c r="AC343" s="3"/>
      <c r="AD343" s="3"/>
      <c r="AE343" s="3"/>
      <c r="AF343" s="3"/>
      <c r="AG343" s="3"/>
      <c r="AH343" s="3"/>
      <c r="AI343" s="3"/>
      <c r="AK343" s="3"/>
      <c r="AL343" s="3"/>
      <c r="AM343" s="3"/>
      <c r="AN343" s="3"/>
      <c r="AO343" s="3"/>
      <c r="AP343" s="3"/>
      <c r="AQ343" s="3"/>
      <c r="AR343" s="3"/>
    </row>
    <row r="344" spans="1:44" ht="16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S344" s="3"/>
      <c r="T344" s="3"/>
      <c r="U344" s="3"/>
      <c r="V344" s="3"/>
      <c r="W344" s="3"/>
      <c r="X344" s="3"/>
      <c r="Y344" s="3"/>
      <c r="Z344" s="3"/>
      <c r="AB344" s="3"/>
      <c r="AC344" s="3"/>
      <c r="AD344" s="3"/>
      <c r="AE344" s="3"/>
      <c r="AF344" s="3"/>
      <c r="AG344" s="3"/>
      <c r="AH344" s="3"/>
      <c r="AI344" s="3"/>
      <c r="AK344" s="3"/>
      <c r="AL344" s="3"/>
      <c r="AM344" s="3"/>
      <c r="AN344" s="3"/>
      <c r="AO344" s="3"/>
      <c r="AP344" s="3"/>
      <c r="AQ344" s="3"/>
      <c r="AR344" s="3"/>
    </row>
    <row r="345" spans="1:44" ht="16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S345" s="3"/>
      <c r="T345" s="3"/>
      <c r="U345" s="3"/>
      <c r="V345" s="3"/>
      <c r="W345" s="3"/>
      <c r="X345" s="3"/>
      <c r="Y345" s="3"/>
      <c r="Z345" s="3"/>
      <c r="AB345" s="3"/>
      <c r="AC345" s="3"/>
      <c r="AD345" s="3"/>
      <c r="AE345" s="3"/>
      <c r="AF345" s="3"/>
      <c r="AG345" s="3"/>
      <c r="AH345" s="3"/>
      <c r="AI345" s="3"/>
      <c r="AK345" s="3"/>
      <c r="AL345" s="3"/>
      <c r="AM345" s="3"/>
      <c r="AN345" s="3"/>
      <c r="AO345" s="3"/>
      <c r="AP345" s="3"/>
      <c r="AQ345" s="3"/>
      <c r="AR345" s="3"/>
    </row>
    <row r="346" spans="1:44" ht="16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S346" s="3"/>
      <c r="T346" s="3"/>
      <c r="U346" s="3"/>
      <c r="V346" s="3"/>
      <c r="W346" s="3"/>
      <c r="X346" s="3"/>
      <c r="Y346" s="3"/>
      <c r="Z346" s="3"/>
      <c r="AB346" s="3"/>
      <c r="AC346" s="3"/>
      <c r="AD346" s="3"/>
      <c r="AE346" s="3"/>
      <c r="AF346" s="3"/>
      <c r="AG346" s="3"/>
      <c r="AH346" s="3"/>
      <c r="AI346" s="3"/>
      <c r="AK346" s="3"/>
      <c r="AL346" s="3"/>
      <c r="AM346" s="3"/>
      <c r="AN346" s="3"/>
      <c r="AO346" s="3"/>
      <c r="AP346" s="3"/>
      <c r="AQ346" s="3"/>
      <c r="AR346" s="3"/>
    </row>
    <row r="347" spans="1:44" ht="16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S347" s="3"/>
      <c r="T347" s="3"/>
      <c r="U347" s="3"/>
      <c r="V347" s="3"/>
      <c r="W347" s="3"/>
      <c r="X347" s="3"/>
      <c r="Y347" s="3"/>
      <c r="Z347" s="3"/>
      <c r="AB347" s="3"/>
      <c r="AC347" s="3"/>
      <c r="AD347" s="3"/>
      <c r="AE347" s="3"/>
      <c r="AF347" s="3"/>
      <c r="AG347" s="3"/>
      <c r="AH347" s="3"/>
      <c r="AI347" s="3"/>
      <c r="AK347" s="3"/>
      <c r="AL347" s="3"/>
      <c r="AM347" s="3"/>
      <c r="AN347" s="3"/>
      <c r="AO347" s="3"/>
      <c r="AP347" s="3"/>
      <c r="AQ347" s="3"/>
      <c r="AR347" s="3"/>
    </row>
    <row r="348" spans="1:44" ht="16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S348" s="3"/>
      <c r="T348" s="3"/>
      <c r="U348" s="3"/>
      <c r="V348" s="3"/>
      <c r="W348" s="3"/>
      <c r="X348" s="3"/>
      <c r="Y348" s="3"/>
      <c r="Z348" s="3"/>
      <c r="AB348" s="3"/>
      <c r="AC348" s="3"/>
      <c r="AD348" s="3"/>
      <c r="AE348" s="3"/>
      <c r="AF348" s="3"/>
      <c r="AG348" s="3"/>
      <c r="AH348" s="3"/>
      <c r="AI348" s="3"/>
      <c r="AK348" s="3"/>
      <c r="AL348" s="3"/>
      <c r="AM348" s="3"/>
      <c r="AN348" s="3"/>
      <c r="AO348" s="3"/>
      <c r="AP348" s="3"/>
      <c r="AQ348" s="3"/>
      <c r="AR348" s="3"/>
    </row>
    <row r="349" spans="1:44" ht="16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S349" s="3"/>
      <c r="T349" s="3"/>
      <c r="U349" s="3"/>
      <c r="V349" s="3"/>
      <c r="W349" s="3"/>
      <c r="X349" s="3"/>
      <c r="Y349" s="3"/>
      <c r="Z349" s="3"/>
      <c r="AB349" s="3"/>
      <c r="AC349" s="3"/>
      <c r="AD349" s="3"/>
      <c r="AE349" s="3"/>
      <c r="AF349" s="3"/>
      <c r="AG349" s="3"/>
      <c r="AH349" s="3"/>
      <c r="AI349" s="3"/>
      <c r="AK349" s="3"/>
      <c r="AL349" s="3"/>
      <c r="AM349" s="3"/>
      <c r="AN349" s="3"/>
      <c r="AO349" s="3"/>
      <c r="AP349" s="3"/>
      <c r="AQ349" s="3"/>
      <c r="AR349" s="3"/>
    </row>
    <row r="350" spans="1:44" ht="16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S350" s="3"/>
      <c r="T350" s="3"/>
      <c r="U350" s="3"/>
      <c r="V350" s="3"/>
      <c r="W350" s="3"/>
      <c r="X350" s="3"/>
      <c r="Y350" s="3"/>
      <c r="Z350" s="3"/>
      <c r="AB350" s="3"/>
      <c r="AC350" s="3"/>
      <c r="AD350" s="3"/>
      <c r="AE350" s="3"/>
      <c r="AF350" s="3"/>
      <c r="AG350" s="3"/>
      <c r="AH350" s="3"/>
      <c r="AI350" s="3"/>
      <c r="AK350" s="3"/>
      <c r="AL350" s="3"/>
      <c r="AM350" s="3"/>
      <c r="AN350" s="3"/>
      <c r="AO350" s="3"/>
      <c r="AP350" s="3"/>
      <c r="AQ350" s="3"/>
      <c r="AR350" s="3"/>
    </row>
    <row r="351" spans="1:44" ht="16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S351" s="3"/>
      <c r="T351" s="3"/>
      <c r="U351" s="3"/>
      <c r="V351" s="3"/>
      <c r="W351" s="3"/>
      <c r="X351" s="3"/>
      <c r="Y351" s="3"/>
      <c r="Z351" s="3"/>
      <c r="AB351" s="3"/>
      <c r="AC351" s="3"/>
      <c r="AD351" s="3"/>
      <c r="AE351" s="3"/>
      <c r="AF351" s="3"/>
      <c r="AG351" s="3"/>
      <c r="AH351" s="3"/>
      <c r="AI351" s="3"/>
      <c r="AK351" s="3"/>
      <c r="AL351" s="3"/>
      <c r="AM351" s="3"/>
      <c r="AN351" s="3"/>
      <c r="AO351" s="3"/>
      <c r="AP351" s="3"/>
      <c r="AQ351" s="3"/>
      <c r="AR351" s="3"/>
    </row>
    <row r="352" spans="1:44" ht="16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S352" s="3"/>
      <c r="T352" s="3"/>
      <c r="U352" s="3"/>
      <c r="V352" s="3"/>
      <c r="W352" s="3"/>
      <c r="X352" s="3"/>
      <c r="Y352" s="3"/>
      <c r="Z352" s="3"/>
      <c r="AB352" s="3"/>
      <c r="AC352" s="3"/>
      <c r="AD352" s="3"/>
      <c r="AE352" s="3"/>
      <c r="AF352" s="3"/>
      <c r="AG352" s="3"/>
      <c r="AH352" s="3"/>
      <c r="AI352" s="3"/>
      <c r="AK352" s="3"/>
      <c r="AL352" s="3"/>
      <c r="AM352" s="3"/>
      <c r="AN352" s="3"/>
      <c r="AO352" s="3"/>
      <c r="AP352" s="3"/>
      <c r="AQ352" s="3"/>
      <c r="AR352" s="3"/>
    </row>
    <row r="353" spans="1:44" ht="16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S353" s="3"/>
      <c r="T353" s="3"/>
      <c r="U353" s="3"/>
      <c r="V353" s="3"/>
      <c r="W353" s="3"/>
      <c r="X353" s="3"/>
      <c r="Y353" s="3"/>
      <c r="Z353" s="3"/>
      <c r="AB353" s="3"/>
      <c r="AC353" s="3"/>
      <c r="AD353" s="3"/>
      <c r="AE353" s="3"/>
      <c r="AF353" s="3"/>
      <c r="AG353" s="3"/>
      <c r="AH353" s="3"/>
      <c r="AI353" s="3"/>
      <c r="AK353" s="3"/>
      <c r="AL353" s="3"/>
      <c r="AM353" s="3"/>
      <c r="AN353" s="3"/>
      <c r="AO353" s="3"/>
      <c r="AP353" s="3"/>
      <c r="AQ353" s="3"/>
      <c r="AR353" s="3"/>
    </row>
    <row r="354" spans="1:44" ht="16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S354" s="3"/>
      <c r="T354" s="3"/>
      <c r="U354" s="3"/>
      <c r="V354" s="3"/>
      <c r="W354" s="3"/>
      <c r="X354" s="3"/>
      <c r="Y354" s="3"/>
      <c r="Z354" s="3"/>
      <c r="AB354" s="3"/>
      <c r="AC354" s="3"/>
      <c r="AD354" s="3"/>
      <c r="AE354" s="3"/>
      <c r="AF354" s="3"/>
      <c r="AG354" s="3"/>
      <c r="AH354" s="3"/>
      <c r="AI354" s="3"/>
      <c r="AK354" s="3"/>
      <c r="AL354" s="3"/>
      <c r="AM354" s="3"/>
      <c r="AN354" s="3"/>
      <c r="AO354" s="3"/>
      <c r="AP354" s="3"/>
      <c r="AQ354" s="3"/>
      <c r="AR354" s="3"/>
    </row>
    <row r="355" spans="1:44" ht="16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S355" s="3"/>
      <c r="T355" s="3"/>
      <c r="U355" s="3"/>
      <c r="V355" s="3"/>
      <c r="W355" s="3"/>
      <c r="X355" s="3"/>
      <c r="Y355" s="3"/>
      <c r="Z355" s="3"/>
      <c r="AB355" s="3"/>
      <c r="AC355" s="3"/>
      <c r="AD355" s="3"/>
      <c r="AE355" s="3"/>
      <c r="AF355" s="3"/>
      <c r="AG355" s="3"/>
      <c r="AH355" s="3"/>
      <c r="AI355" s="3"/>
      <c r="AK355" s="3"/>
      <c r="AL355" s="3"/>
      <c r="AM355" s="3"/>
      <c r="AN355" s="3"/>
      <c r="AO355" s="3"/>
      <c r="AP355" s="3"/>
      <c r="AQ355" s="3"/>
      <c r="AR355" s="3"/>
    </row>
    <row r="356" spans="1:44" ht="16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S356" s="3"/>
      <c r="T356" s="3"/>
      <c r="U356" s="3"/>
      <c r="V356" s="3"/>
      <c r="W356" s="3"/>
      <c r="X356" s="3"/>
      <c r="Y356" s="3"/>
      <c r="Z356" s="3"/>
      <c r="AB356" s="3"/>
      <c r="AC356" s="3"/>
      <c r="AD356" s="3"/>
      <c r="AE356" s="3"/>
      <c r="AF356" s="3"/>
      <c r="AG356" s="3"/>
      <c r="AH356" s="3"/>
      <c r="AI356" s="3"/>
      <c r="AK356" s="3"/>
      <c r="AL356" s="3"/>
      <c r="AM356" s="3"/>
      <c r="AN356" s="3"/>
      <c r="AO356" s="3"/>
      <c r="AP356" s="3"/>
      <c r="AQ356" s="3"/>
      <c r="AR356" s="3"/>
    </row>
    <row r="357" spans="1:44" ht="16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S357" s="3"/>
      <c r="T357" s="3"/>
      <c r="U357" s="3"/>
      <c r="V357" s="3"/>
      <c r="W357" s="3"/>
      <c r="X357" s="3"/>
      <c r="Y357" s="3"/>
      <c r="Z357" s="3"/>
      <c r="AB357" s="3"/>
      <c r="AC357" s="3"/>
      <c r="AD357" s="3"/>
      <c r="AE357" s="3"/>
      <c r="AF357" s="3"/>
      <c r="AG357" s="3"/>
      <c r="AH357" s="3"/>
      <c r="AI357" s="3"/>
      <c r="AK357" s="3"/>
      <c r="AL357" s="3"/>
      <c r="AM357" s="3"/>
      <c r="AN357" s="3"/>
      <c r="AO357" s="3"/>
      <c r="AP357" s="3"/>
      <c r="AQ357" s="3"/>
      <c r="AR357" s="3"/>
    </row>
    <row r="358" spans="1:44" ht="16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S358" s="3"/>
      <c r="T358" s="3"/>
      <c r="U358" s="3"/>
      <c r="V358" s="3"/>
      <c r="W358" s="3"/>
      <c r="X358" s="3"/>
      <c r="Y358" s="3"/>
      <c r="Z358" s="3"/>
      <c r="AB358" s="3"/>
      <c r="AC358" s="3"/>
      <c r="AD358" s="3"/>
      <c r="AE358" s="3"/>
      <c r="AF358" s="3"/>
      <c r="AG358" s="3"/>
      <c r="AH358" s="3"/>
      <c r="AI358" s="3"/>
      <c r="AK358" s="3"/>
      <c r="AL358" s="3"/>
      <c r="AM358" s="3"/>
      <c r="AN358" s="3"/>
      <c r="AO358" s="3"/>
      <c r="AP358" s="3"/>
      <c r="AQ358" s="3"/>
      <c r="AR358" s="3"/>
    </row>
    <row r="359" spans="1:44" ht="16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S359" s="3"/>
      <c r="T359" s="3"/>
      <c r="U359" s="3"/>
      <c r="V359" s="3"/>
      <c r="W359" s="3"/>
      <c r="X359" s="3"/>
      <c r="Y359" s="3"/>
      <c r="Z359" s="3"/>
      <c r="AB359" s="3"/>
      <c r="AC359" s="3"/>
      <c r="AD359" s="3"/>
      <c r="AE359" s="3"/>
      <c r="AF359" s="3"/>
      <c r="AG359" s="3"/>
      <c r="AH359" s="3"/>
      <c r="AI359" s="3"/>
      <c r="AK359" s="3"/>
      <c r="AL359" s="3"/>
      <c r="AM359" s="3"/>
      <c r="AN359" s="3"/>
      <c r="AO359" s="3"/>
      <c r="AP359" s="3"/>
      <c r="AQ359" s="3"/>
      <c r="AR359" s="3"/>
    </row>
    <row r="360" spans="1:44" ht="16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S360" s="3"/>
      <c r="T360" s="3"/>
      <c r="U360" s="3"/>
      <c r="V360" s="3"/>
      <c r="W360" s="3"/>
      <c r="X360" s="3"/>
      <c r="Y360" s="3"/>
      <c r="Z360" s="3"/>
      <c r="AB360" s="3"/>
      <c r="AC360" s="3"/>
      <c r="AD360" s="3"/>
      <c r="AE360" s="3"/>
      <c r="AF360" s="3"/>
      <c r="AG360" s="3"/>
      <c r="AH360" s="3"/>
      <c r="AI360" s="3"/>
      <c r="AK360" s="3"/>
      <c r="AL360" s="3"/>
      <c r="AM360" s="3"/>
      <c r="AN360" s="3"/>
      <c r="AO360" s="3"/>
      <c r="AP360" s="3"/>
      <c r="AQ360" s="3"/>
      <c r="AR360" s="3"/>
    </row>
    <row r="361" spans="1:44" ht="16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S361" s="3"/>
      <c r="T361" s="3"/>
      <c r="U361" s="3"/>
      <c r="V361" s="3"/>
      <c r="W361" s="3"/>
      <c r="X361" s="3"/>
      <c r="Y361" s="3"/>
      <c r="Z361" s="3"/>
      <c r="AB361" s="3"/>
      <c r="AC361" s="3"/>
      <c r="AD361" s="3"/>
      <c r="AE361" s="3"/>
      <c r="AF361" s="3"/>
      <c r="AG361" s="3"/>
      <c r="AH361" s="3"/>
      <c r="AI361" s="3"/>
      <c r="AK361" s="3"/>
      <c r="AL361" s="3"/>
      <c r="AM361" s="3"/>
      <c r="AN361" s="3"/>
      <c r="AO361" s="3"/>
      <c r="AP361" s="3"/>
      <c r="AQ361" s="3"/>
      <c r="AR361" s="3"/>
    </row>
    <row r="362" spans="1:44" ht="16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S362" s="3"/>
      <c r="T362" s="3"/>
      <c r="U362" s="3"/>
      <c r="V362" s="3"/>
      <c r="W362" s="3"/>
      <c r="X362" s="3"/>
      <c r="Y362" s="3"/>
      <c r="Z362" s="3"/>
      <c r="AB362" s="3"/>
      <c r="AC362" s="3"/>
      <c r="AD362" s="3"/>
      <c r="AE362" s="3"/>
      <c r="AF362" s="3"/>
      <c r="AG362" s="3"/>
      <c r="AH362" s="3"/>
      <c r="AI362" s="3"/>
      <c r="AK362" s="3"/>
      <c r="AL362" s="3"/>
      <c r="AM362" s="3"/>
      <c r="AN362" s="3"/>
      <c r="AO362" s="3"/>
      <c r="AP362" s="3"/>
      <c r="AQ362" s="3"/>
      <c r="AR362" s="3"/>
    </row>
    <row r="363" spans="1:44" ht="16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S363" s="3"/>
      <c r="T363" s="3"/>
      <c r="U363" s="3"/>
      <c r="V363" s="3"/>
      <c r="W363" s="3"/>
      <c r="X363" s="3"/>
      <c r="Y363" s="3"/>
      <c r="Z363" s="3"/>
      <c r="AB363" s="3"/>
      <c r="AC363" s="3"/>
      <c r="AD363" s="3"/>
      <c r="AE363" s="3"/>
      <c r="AF363" s="3"/>
      <c r="AG363" s="3"/>
      <c r="AH363" s="3"/>
      <c r="AI363" s="3"/>
      <c r="AK363" s="3"/>
      <c r="AL363" s="3"/>
      <c r="AM363" s="3"/>
      <c r="AN363" s="3"/>
      <c r="AO363" s="3"/>
      <c r="AP363" s="3"/>
      <c r="AQ363" s="3"/>
      <c r="AR363" s="3"/>
    </row>
    <row r="364" spans="1:44" ht="16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S364" s="3"/>
      <c r="T364" s="3"/>
      <c r="U364" s="3"/>
      <c r="V364" s="3"/>
      <c r="W364" s="3"/>
      <c r="X364" s="3"/>
      <c r="Y364" s="3"/>
      <c r="Z364" s="3"/>
      <c r="AB364" s="3"/>
      <c r="AC364" s="3"/>
      <c r="AD364" s="3"/>
      <c r="AE364" s="3"/>
      <c r="AF364" s="3"/>
      <c r="AG364" s="3"/>
      <c r="AH364" s="3"/>
      <c r="AI364" s="3"/>
      <c r="AK364" s="3"/>
      <c r="AL364" s="3"/>
      <c r="AM364" s="3"/>
      <c r="AN364" s="3"/>
      <c r="AO364" s="3"/>
      <c r="AP364" s="3"/>
      <c r="AQ364" s="3"/>
      <c r="AR364" s="3"/>
    </row>
    <row r="365" spans="1:44" ht="16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S365" s="3"/>
      <c r="T365" s="3"/>
      <c r="U365" s="3"/>
      <c r="V365" s="3"/>
      <c r="W365" s="3"/>
      <c r="X365" s="3"/>
      <c r="Y365" s="3"/>
      <c r="Z365" s="3"/>
      <c r="AB365" s="3"/>
      <c r="AC365" s="3"/>
      <c r="AD365" s="3"/>
      <c r="AE365" s="3"/>
      <c r="AF365" s="3"/>
      <c r="AG365" s="3"/>
      <c r="AH365" s="3"/>
      <c r="AI365" s="3"/>
      <c r="AK365" s="3"/>
      <c r="AL365" s="3"/>
      <c r="AM365" s="3"/>
      <c r="AN365" s="3"/>
      <c r="AO365" s="3"/>
      <c r="AP365" s="3"/>
      <c r="AQ365" s="3"/>
      <c r="AR365" s="3"/>
    </row>
    <row r="366" spans="1:44" ht="16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S366" s="3"/>
      <c r="T366" s="3"/>
      <c r="U366" s="3"/>
      <c r="V366" s="3"/>
      <c r="W366" s="3"/>
      <c r="X366" s="3"/>
      <c r="Y366" s="3"/>
      <c r="Z366" s="3"/>
      <c r="AB366" s="3"/>
      <c r="AC366" s="3"/>
      <c r="AD366" s="3"/>
      <c r="AE366" s="3"/>
      <c r="AF366" s="3"/>
      <c r="AG366" s="3"/>
      <c r="AH366" s="3"/>
      <c r="AI366" s="3"/>
      <c r="AK366" s="3"/>
      <c r="AL366" s="3"/>
      <c r="AM366" s="3"/>
      <c r="AN366" s="3"/>
      <c r="AO366" s="3"/>
      <c r="AP366" s="3"/>
      <c r="AQ366" s="3"/>
      <c r="AR366" s="3"/>
    </row>
    <row r="367" spans="1:44" ht="16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S367" s="3"/>
      <c r="T367" s="3"/>
      <c r="U367" s="3"/>
      <c r="V367" s="3"/>
      <c r="W367" s="3"/>
      <c r="X367" s="3"/>
      <c r="Y367" s="3"/>
      <c r="Z367" s="3"/>
      <c r="AB367" s="3"/>
      <c r="AC367" s="3"/>
      <c r="AD367" s="3"/>
      <c r="AE367" s="3"/>
      <c r="AF367" s="3"/>
      <c r="AG367" s="3"/>
      <c r="AH367" s="3"/>
      <c r="AI367" s="3"/>
      <c r="AK367" s="3"/>
      <c r="AL367" s="3"/>
      <c r="AM367" s="3"/>
      <c r="AN367" s="3"/>
      <c r="AO367" s="3"/>
      <c r="AP367" s="3"/>
      <c r="AQ367" s="3"/>
      <c r="AR367" s="3"/>
    </row>
    <row r="368" spans="1:44" ht="16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S368" s="3"/>
      <c r="T368" s="3"/>
      <c r="U368" s="3"/>
      <c r="V368" s="3"/>
      <c r="W368" s="3"/>
      <c r="X368" s="3"/>
      <c r="Y368" s="3"/>
      <c r="Z368" s="3"/>
      <c r="AB368" s="3"/>
      <c r="AC368" s="3"/>
      <c r="AD368" s="3"/>
      <c r="AE368" s="3"/>
      <c r="AF368" s="3"/>
      <c r="AG368" s="3"/>
      <c r="AH368" s="3"/>
      <c r="AI368" s="3"/>
      <c r="AK368" s="3"/>
      <c r="AL368" s="3"/>
      <c r="AM368" s="3"/>
      <c r="AN368" s="3"/>
      <c r="AO368" s="3"/>
      <c r="AP368" s="3"/>
      <c r="AQ368" s="3"/>
      <c r="AR368" s="3"/>
    </row>
    <row r="369" spans="1:44" ht="16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S369" s="3"/>
      <c r="T369" s="3"/>
      <c r="U369" s="3"/>
      <c r="V369" s="3"/>
      <c r="W369" s="3"/>
      <c r="X369" s="3"/>
      <c r="Y369" s="3"/>
      <c r="Z369" s="3"/>
      <c r="AB369" s="3"/>
      <c r="AC369" s="3"/>
      <c r="AD369" s="3"/>
      <c r="AE369" s="3"/>
      <c r="AF369" s="3"/>
      <c r="AG369" s="3"/>
      <c r="AH369" s="3"/>
      <c r="AI369" s="3"/>
      <c r="AK369" s="3"/>
      <c r="AL369" s="3"/>
      <c r="AM369" s="3"/>
      <c r="AN369" s="3"/>
      <c r="AO369" s="3"/>
      <c r="AP369" s="3"/>
      <c r="AQ369" s="3"/>
      <c r="AR369" s="3"/>
    </row>
    <row r="370" spans="1:44" ht="16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S370" s="3"/>
      <c r="T370" s="3"/>
      <c r="U370" s="3"/>
      <c r="V370" s="3"/>
      <c r="W370" s="3"/>
      <c r="X370" s="3"/>
      <c r="Y370" s="3"/>
      <c r="Z370" s="3"/>
      <c r="AB370" s="3"/>
      <c r="AC370" s="3"/>
      <c r="AD370" s="3"/>
      <c r="AE370" s="3"/>
      <c r="AF370" s="3"/>
      <c r="AG370" s="3"/>
      <c r="AH370" s="3"/>
      <c r="AI370" s="3"/>
      <c r="AK370" s="3"/>
      <c r="AL370" s="3"/>
      <c r="AM370" s="3"/>
      <c r="AN370" s="3"/>
      <c r="AO370" s="3"/>
      <c r="AP370" s="3"/>
      <c r="AQ370" s="3"/>
      <c r="AR370" s="3"/>
    </row>
    <row r="371" spans="1:44" ht="16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S371" s="3"/>
      <c r="T371" s="3"/>
      <c r="U371" s="3"/>
      <c r="V371" s="3"/>
      <c r="W371" s="3"/>
      <c r="X371" s="3"/>
      <c r="Y371" s="3"/>
      <c r="Z371" s="3"/>
      <c r="AB371" s="3"/>
      <c r="AC371" s="3"/>
      <c r="AD371" s="3"/>
      <c r="AE371" s="3"/>
      <c r="AF371" s="3"/>
      <c r="AG371" s="3"/>
      <c r="AH371" s="3"/>
      <c r="AI371" s="3"/>
      <c r="AK371" s="3"/>
      <c r="AL371" s="3"/>
      <c r="AM371" s="3"/>
      <c r="AN371" s="3"/>
      <c r="AO371" s="3"/>
      <c r="AP371" s="3"/>
      <c r="AQ371" s="3"/>
      <c r="AR371" s="3"/>
    </row>
    <row r="372" spans="1:44" ht="16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S372" s="3"/>
      <c r="T372" s="3"/>
      <c r="U372" s="3"/>
      <c r="V372" s="3"/>
      <c r="W372" s="3"/>
      <c r="X372" s="3"/>
      <c r="Y372" s="3"/>
      <c r="Z372" s="3"/>
      <c r="AB372" s="3"/>
      <c r="AC372" s="3"/>
      <c r="AD372" s="3"/>
      <c r="AE372" s="3"/>
      <c r="AF372" s="3"/>
      <c r="AG372" s="3"/>
      <c r="AH372" s="3"/>
      <c r="AI372" s="3"/>
      <c r="AK372" s="3"/>
      <c r="AL372" s="3"/>
      <c r="AM372" s="3"/>
      <c r="AN372" s="3"/>
      <c r="AO372" s="3"/>
      <c r="AP372" s="3"/>
      <c r="AQ372" s="3"/>
      <c r="AR372" s="3"/>
    </row>
    <row r="373" spans="1:44" ht="16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S373" s="3"/>
      <c r="T373" s="3"/>
      <c r="U373" s="3"/>
      <c r="V373" s="3"/>
      <c r="W373" s="3"/>
      <c r="X373" s="3"/>
      <c r="Y373" s="3"/>
      <c r="Z373" s="3"/>
      <c r="AB373" s="3"/>
      <c r="AC373" s="3"/>
      <c r="AD373" s="3"/>
      <c r="AE373" s="3"/>
      <c r="AF373" s="3"/>
      <c r="AG373" s="3"/>
      <c r="AH373" s="3"/>
      <c r="AI373" s="3"/>
      <c r="AK373" s="3"/>
      <c r="AL373" s="3"/>
      <c r="AM373" s="3"/>
      <c r="AN373" s="3"/>
      <c r="AO373" s="3"/>
      <c r="AP373" s="3"/>
      <c r="AQ373" s="3"/>
      <c r="AR373" s="3"/>
    </row>
    <row r="374" spans="1:44" ht="16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S374" s="3"/>
      <c r="T374" s="3"/>
      <c r="U374" s="3"/>
      <c r="V374" s="3"/>
      <c r="W374" s="3"/>
      <c r="X374" s="3"/>
      <c r="Y374" s="3"/>
      <c r="Z374" s="3"/>
      <c r="AB374" s="3"/>
      <c r="AC374" s="3"/>
      <c r="AD374" s="3"/>
      <c r="AE374" s="3"/>
      <c r="AF374" s="3"/>
      <c r="AG374" s="3"/>
      <c r="AH374" s="3"/>
      <c r="AI374" s="3"/>
      <c r="AK374" s="3"/>
      <c r="AL374" s="3"/>
      <c r="AM374" s="3"/>
      <c r="AN374" s="3"/>
      <c r="AO374" s="3"/>
      <c r="AP374" s="3"/>
      <c r="AQ374" s="3"/>
      <c r="AR374" s="3"/>
    </row>
    <row r="375" spans="1:44" ht="16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S375" s="3"/>
      <c r="T375" s="3"/>
      <c r="U375" s="3"/>
      <c r="V375" s="3"/>
      <c r="W375" s="3"/>
      <c r="X375" s="3"/>
      <c r="Y375" s="3"/>
      <c r="Z375" s="3"/>
      <c r="AB375" s="3"/>
      <c r="AC375" s="3"/>
      <c r="AD375" s="3"/>
      <c r="AE375" s="3"/>
      <c r="AF375" s="3"/>
      <c r="AG375" s="3"/>
      <c r="AH375" s="3"/>
      <c r="AI375" s="3"/>
      <c r="AK375" s="3"/>
      <c r="AL375" s="3"/>
      <c r="AM375" s="3"/>
      <c r="AN375" s="3"/>
      <c r="AO375" s="3"/>
      <c r="AP375" s="3"/>
      <c r="AQ375" s="3"/>
      <c r="AR375" s="3"/>
    </row>
    <row r="376" spans="1:44" ht="16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S376" s="3"/>
      <c r="T376" s="3"/>
      <c r="U376" s="3"/>
      <c r="V376" s="3"/>
      <c r="W376" s="3"/>
      <c r="X376" s="3"/>
      <c r="Y376" s="3"/>
      <c r="Z376" s="3"/>
      <c r="AB376" s="3"/>
      <c r="AC376" s="3"/>
      <c r="AD376" s="3"/>
      <c r="AE376" s="3"/>
      <c r="AF376" s="3"/>
      <c r="AG376" s="3"/>
      <c r="AH376" s="3"/>
      <c r="AI376" s="3"/>
      <c r="AK376" s="3"/>
      <c r="AL376" s="3"/>
      <c r="AM376" s="3"/>
      <c r="AN376" s="3"/>
      <c r="AO376" s="3"/>
      <c r="AP376" s="3"/>
      <c r="AQ376" s="3"/>
      <c r="AR376" s="3"/>
    </row>
    <row r="377" spans="1:44" ht="16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S377" s="3"/>
      <c r="T377" s="3"/>
      <c r="U377" s="3"/>
      <c r="V377" s="3"/>
      <c r="W377" s="3"/>
      <c r="X377" s="3"/>
      <c r="Y377" s="3"/>
      <c r="Z377" s="3"/>
      <c r="AB377" s="3"/>
      <c r="AC377" s="3"/>
      <c r="AD377" s="3"/>
      <c r="AE377" s="3"/>
      <c r="AF377" s="3"/>
      <c r="AG377" s="3"/>
      <c r="AH377" s="3"/>
      <c r="AI377" s="3"/>
      <c r="AK377" s="3"/>
      <c r="AL377" s="3"/>
      <c r="AM377" s="3"/>
      <c r="AN377" s="3"/>
      <c r="AO377" s="3"/>
      <c r="AP377" s="3"/>
      <c r="AQ377" s="3"/>
      <c r="AR377" s="3"/>
    </row>
    <row r="378" spans="1:44" ht="16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S378" s="3"/>
      <c r="T378" s="3"/>
      <c r="U378" s="3"/>
      <c r="V378" s="3"/>
      <c r="W378" s="3"/>
      <c r="X378" s="3"/>
      <c r="Y378" s="3"/>
      <c r="Z378" s="3"/>
      <c r="AB378" s="3"/>
      <c r="AC378" s="3"/>
      <c r="AD378" s="3"/>
      <c r="AE378" s="3"/>
      <c r="AF378" s="3"/>
      <c r="AG378" s="3"/>
      <c r="AH378" s="3"/>
      <c r="AI378" s="3"/>
      <c r="AK378" s="3"/>
      <c r="AL378" s="3"/>
      <c r="AM378" s="3"/>
      <c r="AN378" s="3"/>
      <c r="AO378" s="3"/>
      <c r="AP378" s="3"/>
      <c r="AQ378" s="3"/>
      <c r="AR378" s="3"/>
    </row>
    <row r="379" spans="1:44" ht="16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S379" s="3"/>
      <c r="T379" s="3"/>
      <c r="U379" s="3"/>
      <c r="V379" s="3"/>
      <c r="W379" s="3"/>
      <c r="X379" s="3"/>
      <c r="Y379" s="3"/>
      <c r="Z379" s="3"/>
      <c r="AB379" s="3"/>
      <c r="AC379" s="3"/>
      <c r="AD379" s="3"/>
      <c r="AE379" s="3"/>
      <c r="AF379" s="3"/>
      <c r="AG379" s="3"/>
      <c r="AH379" s="3"/>
      <c r="AI379" s="3"/>
      <c r="AK379" s="3"/>
      <c r="AL379" s="3"/>
      <c r="AM379" s="3"/>
      <c r="AN379" s="3"/>
      <c r="AO379" s="3"/>
      <c r="AP379" s="3"/>
      <c r="AQ379" s="3"/>
      <c r="AR379" s="3"/>
    </row>
    <row r="380" spans="1:44" ht="16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S380" s="3"/>
      <c r="T380" s="3"/>
      <c r="U380" s="3"/>
      <c r="V380" s="3"/>
      <c r="W380" s="3"/>
      <c r="X380" s="3"/>
      <c r="Y380" s="3"/>
      <c r="Z380" s="3"/>
      <c r="AB380" s="3"/>
      <c r="AC380" s="3"/>
      <c r="AD380" s="3"/>
      <c r="AE380" s="3"/>
      <c r="AF380" s="3"/>
      <c r="AG380" s="3"/>
      <c r="AH380" s="3"/>
      <c r="AI380" s="3"/>
      <c r="AK380" s="3"/>
      <c r="AL380" s="3"/>
      <c r="AM380" s="3"/>
      <c r="AN380" s="3"/>
      <c r="AO380" s="3"/>
      <c r="AP380" s="3"/>
      <c r="AQ380" s="3"/>
      <c r="AR380" s="3"/>
    </row>
    <row r="381" spans="1:44" ht="16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S381" s="3"/>
      <c r="T381" s="3"/>
      <c r="U381" s="3"/>
      <c r="V381" s="3"/>
      <c r="W381" s="3"/>
      <c r="X381" s="3"/>
      <c r="Y381" s="3"/>
      <c r="Z381" s="3"/>
      <c r="AB381" s="3"/>
      <c r="AC381" s="3"/>
      <c r="AD381" s="3"/>
      <c r="AE381" s="3"/>
      <c r="AF381" s="3"/>
      <c r="AG381" s="3"/>
      <c r="AH381" s="3"/>
      <c r="AI381" s="3"/>
      <c r="AK381" s="3"/>
      <c r="AL381" s="3"/>
      <c r="AM381" s="3"/>
      <c r="AN381" s="3"/>
      <c r="AO381" s="3"/>
      <c r="AP381" s="3"/>
      <c r="AQ381" s="3"/>
      <c r="AR381" s="3"/>
    </row>
    <row r="382" spans="1:44" ht="16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S382" s="3"/>
      <c r="T382" s="3"/>
      <c r="U382" s="3"/>
      <c r="V382" s="3"/>
      <c r="W382" s="3"/>
      <c r="X382" s="3"/>
      <c r="Y382" s="3"/>
      <c r="Z382" s="3"/>
      <c r="AB382" s="3"/>
      <c r="AC382" s="3"/>
      <c r="AD382" s="3"/>
      <c r="AE382" s="3"/>
      <c r="AF382" s="3"/>
      <c r="AG382" s="3"/>
      <c r="AH382" s="3"/>
      <c r="AI382" s="3"/>
      <c r="AK382" s="3"/>
      <c r="AL382" s="3"/>
      <c r="AM382" s="3"/>
      <c r="AN382" s="3"/>
      <c r="AO382" s="3"/>
      <c r="AP382" s="3"/>
      <c r="AQ382" s="3"/>
      <c r="AR382" s="3"/>
    </row>
    <row r="383" spans="1:44" ht="16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S383" s="3"/>
      <c r="T383" s="3"/>
      <c r="U383" s="3"/>
      <c r="V383" s="3"/>
      <c r="W383" s="3"/>
      <c r="X383" s="3"/>
      <c r="Y383" s="3"/>
      <c r="Z383" s="3"/>
      <c r="AB383" s="3"/>
      <c r="AC383" s="3"/>
      <c r="AD383" s="3"/>
      <c r="AE383" s="3"/>
      <c r="AF383" s="3"/>
      <c r="AG383" s="3"/>
      <c r="AH383" s="3"/>
      <c r="AI383" s="3"/>
      <c r="AK383" s="3"/>
      <c r="AL383" s="3"/>
      <c r="AM383" s="3"/>
      <c r="AN383" s="3"/>
      <c r="AO383" s="3"/>
      <c r="AP383" s="3"/>
      <c r="AQ383" s="3"/>
      <c r="AR383" s="3"/>
    </row>
    <row r="384" spans="1:44" ht="16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S384" s="3"/>
      <c r="T384" s="3"/>
      <c r="U384" s="3"/>
      <c r="V384" s="3"/>
      <c r="W384" s="3"/>
      <c r="X384" s="3"/>
      <c r="Y384" s="3"/>
      <c r="Z384" s="3"/>
      <c r="AB384" s="3"/>
      <c r="AC384" s="3"/>
      <c r="AD384" s="3"/>
      <c r="AE384" s="3"/>
      <c r="AF384" s="3"/>
      <c r="AG384" s="3"/>
      <c r="AH384" s="3"/>
      <c r="AI384" s="3"/>
      <c r="AK384" s="3"/>
      <c r="AL384" s="3"/>
      <c r="AM384" s="3"/>
      <c r="AN384" s="3"/>
      <c r="AO384" s="3"/>
      <c r="AP384" s="3"/>
      <c r="AQ384" s="3"/>
      <c r="AR384" s="3"/>
    </row>
    <row r="385" spans="1:44" ht="16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S385" s="3"/>
      <c r="T385" s="3"/>
      <c r="U385" s="3"/>
      <c r="V385" s="3"/>
      <c r="W385" s="3"/>
      <c r="X385" s="3"/>
      <c r="Y385" s="3"/>
      <c r="Z385" s="3"/>
      <c r="AB385" s="3"/>
      <c r="AC385" s="3"/>
      <c r="AD385" s="3"/>
      <c r="AE385" s="3"/>
      <c r="AF385" s="3"/>
      <c r="AG385" s="3"/>
      <c r="AH385" s="3"/>
      <c r="AI385" s="3"/>
      <c r="AK385" s="3"/>
      <c r="AL385" s="3"/>
      <c r="AM385" s="3"/>
      <c r="AN385" s="3"/>
      <c r="AO385" s="3"/>
      <c r="AP385" s="3"/>
      <c r="AQ385" s="3"/>
      <c r="AR385" s="3"/>
    </row>
    <row r="386" spans="1:44" ht="16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S386" s="3"/>
      <c r="T386" s="3"/>
      <c r="U386" s="3"/>
      <c r="V386" s="3"/>
      <c r="W386" s="3"/>
      <c r="X386" s="3"/>
      <c r="Y386" s="3"/>
      <c r="Z386" s="3"/>
      <c r="AB386" s="3"/>
      <c r="AC386" s="3"/>
      <c r="AD386" s="3"/>
      <c r="AE386" s="3"/>
      <c r="AF386" s="3"/>
      <c r="AG386" s="3"/>
      <c r="AH386" s="3"/>
      <c r="AI386" s="3"/>
      <c r="AK386" s="3"/>
      <c r="AL386" s="3"/>
      <c r="AM386" s="3"/>
      <c r="AN386" s="3"/>
      <c r="AO386" s="3"/>
      <c r="AP386" s="3"/>
      <c r="AQ386" s="3"/>
      <c r="AR386" s="3"/>
    </row>
    <row r="387" spans="1:44" ht="16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S387" s="3"/>
      <c r="T387" s="3"/>
      <c r="U387" s="3"/>
      <c r="V387" s="3"/>
      <c r="W387" s="3"/>
      <c r="X387" s="3"/>
      <c r="Y387" s="3"/>
      <c r="Z387" s="3"/>
      <c r="AB387" s="3"/>
      <c r="AC387" s="3"/>
      <c r="AD387" s="3"/>
      <c r="AE387" s="3"/>
      <c r="AF387" s="3"/>
      <c r="AG387" s="3"/>
      <c r="AH387" s="3"/>
      <c r="AI387" s="3"/>
      <c r="AK387" s="3"/>
      <c r="AL387" s="3"/>
      <c r="AM387" s="3"/>
      <c r="AN387" s="3"/>
      <c r="AO387" s="3"/>
      <c r="AP387" s="3"/>
      <c r="AQ387" s="3"/>
      <c r="AR387" s="3"/>
    </row>
    <row r="388" spans="1:44" ht="16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S388" s="3"/>
      <c r="T388" s="3"/>
      <c r="U388" s="3"/>
      <c r="V388" s="3"/>
      <c r="W388" s="3"/>
      <c r="X388" s="3"/>
      <c r="Y388" s="3"/>
      <c r="Z388" s="3"/>
      <c r="AB388" s="3"/>
      <c r="AC388" s="3"/>
      <c r="AD388" s="3"/>
      <c r="AE388" s="3"/>
      <c r="AF388" s="3"/>
      <c r="AG388" s="3"/>
      <c r="AH388" s="3"/>
      <c r="AI388" s="3"/>
      <c r="AK388" s="3"/>
      <c r="AL388" s="3"/>
      <c r="AM388" s="3"/>
      <c r="AN388" s="3"/>
      <c r="AO388" s="3"/>
      <c r="AP388" s="3"/>
      <c r="AQ388" s="3"/>
      <c r="AR388" s="3"/>
    </row>
    <row r="389" spans="1:44" ht="16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S389" s="3"/>
      <c r="T389" s="3"/>
      <c r="U389" s="3"/>
      <c r="V389" s="3"/>
      <c r="W389" s="3"/>
      <c r="X389" s="3"/>
      <c r="Y389" s="3"/>
      <c r="Z389" s="3"/>
      <c r="AB389" s="3"/>
      <c r="AC389" s="3"/>
      <c r="AD389" s="3"/>
      <c r="AE389" s="3"/>
      <c r="AF389" s="3"/>
      <c r="AG389" s="3"/>
      <c r="AH389" s="3"/>
      <c r="AI389" s="3"/>
      <c r="AK389" s="3"/>
      <c r="AL389" s="3"/>
      <c r="AM389" s="3"/>
      <c r="AN389" s="3"/>
      <c r="AO389" s="3"/>
      <c r="AP389" s="3"/>
      <c r="AQ389" s="3"/>
      <c r="AR389" s="3"/>
    </row>
    <row r="390" spans="1:44" ht="16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S390" s="3"/>
      <c r="T390" s="3"/>
      <c r="U390" s="3"/>
      <c r="V390" s="3"/>
      <c r="W390" s="3"/>
      <c r="X390" s="3"/>
      <c r="Y390" s="3"/>
      <c r="Z390" s="3"/>
      <c r="AB390" s="3"/>
      <c r="AC390" s="3"/>
      <c r="AD390" s="3"/>
      <c r="AE390" s="3"/>
      <c r="AF390" s="3"/>
      <c r="AG390" s="3"/>
      <c r="AH390" s="3"/>
      <c r="AI390" s="3"/>
      <c r="AK390" s="3"/>
      <c r="AL390" s="3"/>
      <c r="AM390" s="3"/>
      <c r="AN390" s="3"/>
      <c r="AO390" s="3"/>
      <c r="AP390" s="3"/>
      <c r="AQ390" s="3"/>
      <c r="AR390" s="3"/>
    </row>
    <row r="391" spans="1:44" ht="16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S391" s="3"/>
      <c r="T391" s="3"/>
      <c r="U391" s="3"/>
      <c r="V391" s="3"/>
      <c r="W391" s="3"/>
      <c r="X391" s="3"/>
      <c r="Y391" s="3"/>
      <c r="Z391" s="3"/>
      <c r="AB391" s="3"/>
      <c r="AC391" s="3"/>
      <c r="AD391" s="3"/>
      <c r="AE391" s="3"/>
      <c r="AF391" s="3"/>
      <c r="AG391" s="3"/>
      <c r="AH391" s="3"/>
      <c r="AI391" s="3"/>
      <c r="AK391" s="3"/>
      <c r="AL391" s="3"/>
      <c r="AM391" s="3"/>
      <c r="AN391" s="3"/>
      <c r="AO391" s="3"/>
      <c r="AP391" s="3"/>
      <c r="AQ391" s="3"/>
      <c r="AR391" s="3"/>
    </row>
    <row r="392" spans="1:44" ht="16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S392" s="3"/>
      <c r="T392" s="3"/>
      <c r="U392" s="3"/>
      <c r="V392" s="3"/>
      <c r="W392" s="3"/>
      <c r="X392" s="3"/>
      <c r="Y392" s="3"/>
      <c r="Z392" s="3"/>
      <c r="AB392" s="3"/>
      <c r="AC392" s="3"/>
      <c r="AD392" s="3"/>
      <c r="AE392" s="3"/>
      <c r="AF392" s="3"/>
      <c r="AG392" s="3"/>
      <c r="AH392" s="3"/>
      <c r="AI392" s="3"/>
      <c r="AK392" s="3"/>
      <c r="AL392" s="3"/>
      <c r="AM392" s="3"/>
      <c r="AN392" s="3"/>
      <c r="AO392" s="3"/>
      <c r="AP392" s="3"/>
      <c r="AQ392" s="3"/>
      <c r="AR392" s="3"/>
    </row>
    <row r="393" spans="1:44" ht="16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S393" s="3"/>
      <c r="T393" s="3"/>
      <c r="U393" s="3"/>
      <c r="V393" s="3"/>
      <c r="W393" s="3"/>
      <c r="X393" s="3"/>
      <c r="Y393" s="3"/>
      <c r="Z393" s="3"/>
      <c r="AB393" s="3"/>
      <c r="AC393" s="3"/>
      <c r="AD393" s="3"/>
      <c r="AE393" s="3"/>
      <c r="AF393" s="3"/>
      <c r="AG393" s="3"/>
      <c r="AH393" s="3"/>
      <c r="AI393" s="3"/>
      <c r="AK393" s="3"/>
      <c r="AL393" s="3"/>
      <c r="AM393" s="3"/>
      <c r="AN393" s="3"/>
      <c r="AO393" s="3"/>
      <c r="AP393" s="3"/>
      <c r="AQ393" s="3"/>
      <c r="AR393" s="3"/>
    </row>
    <row r="394" spans="1:44" ht="16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S394" s="3"/>
      <c r="T394" s="3"/>
      <c r="U394" s="3"/>
      <c r="V394" s="3"/>
      <c r="W394" s="3"/>
      <c r="X394" s="3"/>
      <c r="Y394" s="3"/>
      <c r="Z394" s="3"/>
      <c r="AB394" s="3"/>
      <c r="AC394" s="3"/>
      <c r="AD394" s="3"/>
      <c r="AE394" s="3"/>
      <c r="AF394" s="3"/>
      <c r="AG394" s="3"/>
      <c r="AH394" s="3"/>
      <c r="AI394" s="3"/>
      <c r="AK394" s="3"/>
      <c r="AL394" s="3"/>
      <c r="AM394" s="3"/>
      <c r="AN394" s="3"/>
      <c r="AO394" s="3"/>
      <c r="AP394" s="3"/>
      <c r="AQ394" s="3"/>
      <c r="AR394" s="3"/>
    </row>
    <row r="395" spans="1:44" ht="16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S395" s="3"/>
      <c r="T395" s="3"/>
      <c r="U395" s="3"/>
      <c r="V395" s="3"/>
      <c r="W395" s="3"/>
      <c r="X395" s="3"/>
      <c r="Y395" s="3"/>
      <c r="Z395" s="3"/>
      <c r="AB395" s="3"/>
      <c r="AC395" s="3"/>
      <c r="AD395" s="3"/>
      <c r="AE395" s="3"/>
      <c r="AF395" s="3"/>
      <c r="AG395" s="3"/>
      <c r="AH395" s="3"/>
      <c r="AI395" s="3"/>
      <c r="AK395" s="3"/>
      <c r="AL395" s="3"/>
      <c r="AM395" s="3"/>
      <c r="AN395" s="3"/>
      <c r="AO395" s="3"/>
      <c r="AP395" s="3"/>
      <c r="AQ395" s="3"/>
      <c r="AR395" s="3"/>
    </row>
    <row r="396" spans="1:44" ht="16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S396" s="3"/>
      <c r="T396" s="3"/>
      <c r="U396" s="3"/>
      <c r="V396" s="3"/>
      <c r="W396" s="3"/>
      <c r="X396" s="3"/>
      <c r="Y396" s="3"/>
      <c r="Z396" s="3"/>
      <c r="AB396" s="3"/>
      <c r="AC396" s="3"/>
      <c r="AD396" s="3"/>
      <c r="AE396" s="3"/>
      <c r="AF396" s="3"/>
      <c r="AG396" s="3"/>
      <c r="AH396" s="3"/>
      <c r="AI396" s="3"/>
      <c r="AK396" s="3"/>
      <c r="AL396" s="3"/>
      <c r="AM396" s="3"/>
      <c r="AN396" s="3"/>
      <c r="AO396" s="3"/>
      <c r="AP396" s="3"/>
      <c r="AQ396" s="3"/>
      <c r="AR396" s="3"/>
    </row>
    <row r="397" spans="1:44" ht="16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S397" s="3"/>
      <c r="T397" s="3"/>
      <c r="U397" s="3"/>
      <c r="V397" s="3"/>
      <c r="W397" s="3"/>
      <c r="X397" s="3"/>
      <c r="Y397" s="3"/>
      <c r="Z397" s="3"/>
      <c r="AB397" s="3"/>
      <c r="AC397" s="3"/>
      <c r="AD397" s="3"/>
      <c r="AE397" s="3"/>
      <c r="AF397" s="3"/>
      <c r="AG397" s="3"/>
      <c r="AH397" s="3"/>
      <c r="AI397" s="3"/>
      <c r="AK397" s="3"/>
      <c r="AL397" s="3"/>
      <c r="AM397" s="3"/>
      <c r="AN397" s="3"/>
      <c r="AO397" s="3"/>
      <c r="AP397" s="3"/>
      <c r="AQ397" s="3"/>
      <c r="AR397" s="3"/>
    </row>
    <row r="398" spans="1:44" ht="16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S398" s="3"/>
      <c r="T398" s="3"/>
      <c r="U398" s="3"/>
      <c r="V398" s="3"/>
      <c r="W398" s="3"/>
      <c r="X398" s="3"/>
      <c r="Y398" s="3"/>
      <c r="Z398" s="3"/>
      <c r="AB398" s="3"/>
      <c r="AC398" s="3"/>
      <c r="AD398" s="3"/>
      <c r="AE398" s="3"/>
      <c r="AF398" s="3"/>
      <c r="AG398" s="3"/>
      <c r="AH398" s="3"/>
      <c r="AI398" s="3"/>
      <c r="AK398" s="3"/>
      <c r="AL398" s="3"/>
      <c r="AM398" s="3"/>
      <c r="AN398" s="3"/>
      <c r="AO398" s="3"/>
      <c r="AP398" s="3"/>
      <c r="AQ398" s="3"/>
      <c r="AR398" s="3"/>
    </row>
    <row r="399" spans="1:44" ht="16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S399" s="3"/>
      <c r="T399" s="3"/>
      <c r="U399" s="3"/>
      <c r="V399" s="3"/>
      <c r="W399" s="3"/>
      <c r="X399" s="3"/>
      <c r="Y399" s="3"/>
      <c r="Z399" s="3"/>
      <c r="AB399" s="3"/>
      <c r="AC399" s="3"/>
      <c r="AD399" s="3"/>
      <c r="AE399" s="3"/>
      <c r="AF399" s="3"/>
      <c r="AG399" s="3"/>
      <c r="AH399" s="3"/>
      <c r="AI399" s="3"/>
      <c r="AK399" s="3"/>
      <c r="AL399" s="3"/>
      <c r="AM399" s="3"/>
      <c r="AN399" s="3"/>
      <c r="AO399" s="3"/>
      <c r="AP399" s="3"/>
      <c r="AQ399" s="3"/>
      <c r="AR399" s="3"/>
    </row>
    <row r="400" spans="1:44" ht="16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S400" s="3"/>
      <c r="T400" s="3"/>
      <c r="U400" s="3"/>
      <c r="V400" s="3"/>
      <c r="W400" s="3"/>
      <c r="X400" s="3"/>
      <c r="Y400" s="3"/>
      <c r="Z400" s="3"/>
      <c r="AB400" s="3"/>
      <c r="AC400" s="3"/>
      <c r="AD400" s="3"/>
      <c r="AE400" s="3"/>
      <c r="AF400" s="3"/>
      <c r="AG400" s="3"/>
      <c r="AH400" s="3"/>
      <c r="AI400" s="3"/>
      <c r="AK400" s="3"/>
      <c r="AL400" s="3"/>
      <c r="AM400" s="3"/>
      <c r="AN400" s="3"/>
      <c r="AO400" s="3"/>
      <c r="AP400" s="3"/>
      <c r="AQ400" s="3"/>
      <c r="AR400" s="3"/>
    </row>
    <row r="401" spans="1:44" ht="16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S401" s="3"/>
      <c r="T401" s="3"/>
      <c r="U401" s="3"/>
      <c r="V401" s="3"/>
      <c r="W401" s="3"/>
      <c r="X401" s="3"/>
      <c r="Y401" s="3"/>
      <c r="Z401" s="3"/>
      <c r="AB401" s="3"/>
      <c r="AC401" s="3"/>
      <c r="AD401" s="3"/>
      <c r="AE401" s="3"/>
      <c r="AF401" s="3"/>
      <c r="AG401" s="3"/>
      <c r="AH401" s="3"/>
      <c r="AI401" s="3"/>
      <c r="AK401" s="3"/>
      <c r="AL401" s="3"/>
      <c r="AM401" s="3"/>
      <c r="AN401" s="3"/>
      <c r="AO401" s="3"/>
      <c r="AP401" s="3"/>
      <c r="AQ401" s="3"/>
      <c r="AR401" s="3"/>
    </row>
    <row r="402" spans="1:44" ht="16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S402" s="3"/>
      <c r="T402" s="3"/>
      <c r="U402" s="3"/>
      <c r="V402" s="3"/>
      <c r="W402" s="3"/>
      <c r="X402" s="3"/>
      <c r="Y402" s="3"/>
      <c r="Z402" s="3"/>
      <c r="AB402" s="3"/>
      <c r="AC402" s="3"/>
      <c r="AD402" s="3"/>
      <c r="AE402" s="3"/>
      <c r="AF402" s="3"/>
      <c r="AG402" s="3"/>
      <c r="AH402" s="3"/>
      <c r="AI402" s="3"/>
      <c r="AK402" s="3"/>
      <c r="AL402" s="3"/>
      <c r="AM402" s="3"/>
      <c r="AN402" s="3"/>
      <c r="AO402" s="3"/>
      <c r="AP402" s="3"/>
      <c r="AQ402" s="3"/>
      <c r="AR402" s="3"/>
    </row>
    <row r="403" spans="1:44" ht="16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S403" s="3"/>
      <c r="T403" s="3"/>
      <c r="U403" s="3"/>
      <c r="V403" s="3"/>
      <c r="W403" s="3"/>
      <c r="X403" s="3"/>
      <c r="Y403" s="3"/>
      <c r="Z403" s="3"/>
      <c r="AB403" s="3"/>
      <c r="AC403" s="3"/>
      <c r="AD403" s="3"/>
      <c r="AE403" s="3"/>
      <c r="AF403" s="3"/>
      <c r="AG403" s="3"/>
      <c r="AH403" s="3"/>
      <c r="AI403" s="3"/>
      <c r="AK403" s="3"/>
      <c r="AL403" s="3"/>
      <c r="AM403" s="3"/>
      <c r="AN403" s="3"/>
      <c r="AO403" s="3"/>
      <c r="AP403" s="3"/>
      <c r="AQ403" s="3"/>
      <c r="AR403" s="3"/>
    </row>
    <row r="404" spans="1:44" ht="16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S404" s="3"/>
      <c r="T404" s="3"/>
      <c r="U404" s="3"/>
      <c r="V404" s="3"/>
      <c r="W404" s="3"/>
      <c r="X404" s="3"/>
      <c r="Y404" s="3"/>
      <c r="Z404" s="3"/>
      <c r="AB404" s="3"/>
      <c r="AC404" s="3"/>
      <c r="AD404" s="3"/>
      <c r="AE404" s="3"/>
      <c r="AF404" s="3"/>
      <c r="AG404" s="3"/>
      <c r="AH404" s="3"/>
      <c r="AI404" s="3"/>
      <c r="AK404" s="3"/>
      <c r="AL404" s="3"/>
      <c r="AM404" s="3"/>
      <c r="AN404" s="3"/>
      <c r="AO404" s="3"/>
      <c r="AP404" s="3"/>
      <c r="AQ404" s="3"/>
      <c r="AR404" s="3"/>
    </row>
    <row r="405" spans="1:44" ht="16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S405" s="3"/>
      <c r="T405" s="3"/>
      <c r="U405" s="3"/>
      <c r="V405" s="3"/>
      <c r="W405" s="3"/>
      <c r="X405" s="3"/>
      <c r="Y405" s="3"/>
      <c r="Z405" s="3"/>
      <c r="AB405" s="3"/>
      <c r="AC405" s="3"/>
      <c r="AD405" s="3"/>
      <c r="AE405" s="3"/>
      <c r="AF405" s="3"/>
      <c r="AG405" s="3"/>
      <c r="AH405" s="3"/>
      <c r="AI405" s="3"/>
      <c r="AK405" s="3"/>
      <c r="AL405" s="3"/>
      <c r="AM405" s="3"/>
      <c r="AN405" s="3"/>
      <c r="AO405" s="3"/>
      <c r="AP405" s="3"/>
      <c r="AQ405" s="3"/>
      <c r="AR405" s="3"/>
    </row>
    <row r="406" spans="1:44" ht="16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S406" s="3"/>
      <c r="T406" s="3"/>
      <c r="U406" s="3"/>
      <c r="V406" s="3"/>
      <c r="W406" s="3"/>
      <c r="X406" s="3"/>
      <c r="Y406" s="3"/>
      <c r="Z406" s="3"/>
      <c r="AB406" s="3"/>
      <c r="AC406" s="3"/>
      <c r="AD406" s="3"/>
      <c r="AE406" s="3"/>
      <c r="AF406" s="3"/>
      <c r="AG406" s="3"/>
      <c r="AH406" s="3"/>
      <c r="AI406" s="3"/>
      <c r="AK406" s="3"/>
      <c r="AL406" s="3"/>
      <c r="AM406" s="3"/>
      <c r="AN406" s="3"/>
      <c r="AO406" s="3"/>
      <c r="AP406" s="3"/>
      <c r="AQ406" s="3"/>
      <c r="AR406" s="3"/>
    </row>
    <row r="407" spans="1:44" ht="16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S407" s="3"/>
      <c r="T407" s="3"/>
      <c r="U407" s="3"/>
      <c r="V407" s="3"/>
      <c r="W407" s="3"/>
      <c r="X407" s="3"/>
      <c r="Y407" s="3"/>
      <c r="Z407" s="3"/>
      <c r="AB407" s="3"/>
      <c r="AC407" s="3"/>
      <c r="AD407" s="3"/>
      <c r="AE407" s="3"/>
      <c r="AF407" s="3"/>
      <c r="AG407" s="3"/>
      <c r="AH407" s="3"/>
      <c r="AI407" s="3"/>
      <c r="AK407" s="3"/>
      <c r="AL407" s="3"/>
      <c r="AM407" s="3"/>
      <c r="AN407" s="3"/>
      <c r="AO407" s="3"/>
      <c r="AP407" s="3"/>
      <c r="AQ407" s="3"/>
      <c r="AR407" s="3"/>
    </row>
    <row r="408" spans="1:44" ht="16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S408" s="3"/>
      <c r="T408" s="3"/>
      <c r="U408" s="3"/>
      <c r="V408" s="3"/>
      <c r="W408" s="3"/>
      <c r="X408" s="3"/>
      <c r="Y408" s="3"/>
      <c r="Z408" s="3"/>
      <c r="AB408" s="3"/>
      <c r="AC408" s="3"/>
      <c r="AD408" s="3"/>
      <c r="AE408" s="3"/>
      <c r="AF408" s="3"/>
      <c r="AG408" s="3"/>
      <c r="AH408" s="3"/>
      <c r="AI408" s="3"/>
      <c r="AK408" s="3"/>
      <c r="AL408" s="3"/>
      <c r="AM408" s="3"/>
      <c r="AN408" s="3"/>
      <c r="AO408" s="3"/>
      <c r="AP408" s="3"/>
      <c r="AQ408" s="3"/>
      <c r="AR408" s="3"/>
    </row>
    <row r="409" spans="1:44" ht="16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S409" s="3"/>
      <c r="T409" s="3"/>
      <c r="U409" s="3"/>
      <c r="V409" s="3"/>
      <c r="W409" s="3"/>
      <c r="X409" s="3"/>
      <c r="Y409" s="3"/>
      <c r="Z409" s="3"/>
      <c r="AB409" s="3"/>
      <c r="AC409" s="3"/>
      <c r="AD409" s="3"/>
      <c r="AE409" s="3"/>
      <c r="AF409" s="3"/>
      <c r="AG409" s="3"/>
      <c r="AH409" s="3"/>
      <c r="AI409" s="3"/>
      <c r="AK409" s="3"/>
      <c r="AL409" s="3"/>
      <c r="AM409" s="3"/>
      <c r="AN409" s="3"/>
      <c r="AO409" s="3"/>
      <c r="AP409" s="3"/>
      <c r="AQ409" s="3"/>
      <c r="AR409" s="3"/>
    </row>
    <row r="410" spans="1:44" ht="16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S410" s="3"/>
      <c r="T410" s="3"/>
      <c r="U410" s="3"/>
      <c r="V410" s="3"/>
      <c r="W410" s="3"/>
      <c r="X410" s="3"/>
      <c r="Y410" s="3"/>
      <c r="Z410" s="3"/>
      <c r="AB410" s="3"/>
      <c r="AC410" s="3"/>
      <c r="AD410" s="3"/>
      <c r="AE410" s="3"/>
      <c r="AF410" s="3"/>
      <c r="AG410" s="3"/>
      <c r="AH410" s="3"/>
      <c r="AI410" s="3"/>
      <c r="AK410" s="3"/>
      <c r="AL410" s="3"/>
      <c r="AM410" s="3"/>
      <c r="AN410" s="3"/>
      <c r="AO410" s="3"/>
      <c r="AP410" s="3"/>
      <c r="AQ410" s="3"/>
      <c r="AR410" s="3"/>
    </row>
    <row r="411" spans="1:44" ht="16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S411" s="3"/>
      <c r="T411" s="3"/>
      <c r="U411" s="3"/>
      <c r="V411" s="3"/>
      <c r="W411" s="3"/>
      <c r="X411" s="3"/>
      <c r="Y411" s="3"/>
      <c r="Z411" s="3"/>
      <c r="AB411" s="3"/>
      <c r="AC411" s="3"/>
      <c r="AD411" s="3"/>
      <c r="AE411" s="3"/>
      <c r="AF411" s="3"/>
      <c r="AG411" s="3"/>
      <c r="AH411" s="3"/>
      <c r="AI411" s="3"/>
      <c r="AK411" s="3"/>
      <c r="AL411" s="3"/>
      <c r="AM411" s="3"/>
      <c r="AN411" s="3"/>
      <c r="AO411" s="3"/>
      <c r="AP411" s="3"/>
      <c r="AQ411" s="3"/>
      <c r="AR411" s="3"/>
    </row>
    <row r="412" spans="1:44" ht="16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S412" s="3"/>
      <c r="T412" s="3"/>
      <c r="U412" s="3"/>
      <c r="V412" s="3"/>
      <c r="W412" s="3"/>
      <c r="X412" s="3"/>
      <c r="Y412" s="3"/>
      <c r="Z412" s="3"/>
      <c r="AB412" s="3"/>
      <c r="AC412" s="3"/>
      <c r="AD412" s="3"/>
      <c r="AE412" s="3"/>
      <c r="AF412" s="3"/>
      <c r="AG412" s="3"/>
      <c r="AH412" s="3"/>
      <c r="AI412" s="3"/>
      <c r="AK412" s="3"/>
      <c r="AL412" s="3"/>
      <c r="AM412" s="3"/>
      <c r="AN412" s="3"/>
      <c r="AO412" s="3"/>
      <c r="AP412" s="3"/>
      <c r="AQ412" s="3"/>
      <c r="AR412" s="3"/>
    </row>
    <row r="413" spans="1:44" ht="16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S413" s="3"/>
      <c r="T413" s="3"/>
      <c r="U413" s="3"/>
      <c r="V413" s="3"/>
      <c r="W413" s="3"/>
      <c r="X413" s="3"/>
      <c r="Y413" s="3"/>
      <c r="Z413" s="3"/>
      <c r="AB413" s="3"/>
      <c r="AC413" s="3"/>
      <c r="AD413" s="3"/>
      <c r="AE413" s="3"/>
      <c r="AF413" s="3"/>
      <c r="AG413" s="3"/>
      <c r="AH413" s="3"/>
      <c r="AI413" s="3"/>
      <c r="AK413" s="3"/>
      <c r="AL413" s="3"/>
      <c r="AM413" s="3"/>
      <c r="AN413" s="3"/>
      <c r="AO413" s="3"/>
      <c r="AP413" s="3"/>
      <c r="AQ413" s="3"/>
      <c r="AR413" s="3"/>
    </row>
    <row r="414" spans="1:44" ht="16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S414" s="3"/>
      <c r="T414" s="3"/>
      <c r="U414" s="3"/>
      <c r="V414" s="3"/>
      <c r="W414" s="3"/>
      <c r="X414" s="3"/>
      <c r="Y414" s="3"/>
      <c r="Z414" s="3"/>
      <c r="AB414" s="3"/>
      <c r="AC414" s="3"/>
      <c r="AD414" s="3"/>
      <c r="AE414" s="3"/>
      <c r="AF414" s="3"/>
      <c r="AG414" s="3"/>
      <c r="AH414" s="3"/>
      <c r="AI414" s="3"/>
      <c r="AK414" s="3"/>
      <c r="AL414" s="3"/>
      <c r="AM414" s="3"/>
      <c r="AN414" s="3"/>
      <c r="AO414" s="3"/>
      <c r="AP414" s="3"/>
      <c r="AQ414" s="3"/>
      <c r="AR414" s="3"/>
    </row>
    <row r="415" spans="1:44" ht="16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S415" s="3"/>
      <c r="T415" s="3"/>
      <c r="U415" s="3"/>
      <c r="V415" s="3"/>
      <c r="W415" s="3"/>
      <c r="X415" s="3"/>
      <c r="Y415" s="3"/>
      <c r="Z415" s="3"/>
      <c r="AB415" s="3"/>
      <c r="AC415" s="3"/>
      <c r="AD415" s="3"/>
      <c r="AE415" s="3"/>
      <c r="AF415" s="3"/>
      <c r="AG415" s="3"/>
      <c r="AH415" s="3"/>
      <c r="AI415" s="3"/>
      <c r="AK415" s="3"/>
      <c r="AL415" s="3"/>
      <c r="AM415" s="3"/>
      <c r="AN415" s="3"/>
      <c r="AO415" s="3"/>
      <c r="AP415" s="3"/>
      <c r="AQ415" s="3"/>
      <c r="AR415" s="3"/>
    </row>
    <row r="416" spans="1:44" ht="16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S416" s="3"/>
      <c r="T416" s="3"/>
      <c r="U416" s="3"/>
      <c r="V416" s="3"/>
      <c r="W416" s="3"/>
      <c r="X416" s="3"/>
      <c r="Y416" s="3"/>
      <c r="Z416" s="3"/>
      <c r="AB416" s="3"/>
      <c r="AC416" s="3"/>
      <c r="AD416" s="3"/>
      <c r="AE416" s="3"/>
      <c r="AF416" s="3"/>
      <c r="AG416" s="3"/>
      <c r="AH416" s="3"/>
      <c r="AI416" s="3"/>
      <c r="AK416" s="3"/>
      <c r="AL416" s="3"/>
      <c r="AM416" s="3"/>
      <c r="AN416" s="3"/>
      <c r="AO416" s="3"/>
      <c r="AP416" s="3"/>
      <c r="AQ416" s="3"/>
      <c r="AR416" s="3"/>
    </row>
    <row r="417" spans="1:44" ht="16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S417" s="3"/>
      <c r="T417" s="3"/>
      <c r="U417" s="3"/>
      <c r="V417" s="3"/>
      <c r="W417" s="3"/>
      <c r="X417" s="3"/>
      <c r="Y417" s="3"/>
      <c r="Z417" s="3"/>
      <c r="AB417" s="3"/>
      <c r="AC417" s="3"/>
      <c r="AD417" s="3"/>
      <c r="AE417" s="3"/>
      <c r="AF417" s="3"/>
      <c r="AG417" s="3"/>
      <c r="AH417" s="3"/>
      <c r="AI417" s="3"/>
      <c r="AK417" s="3"/>
      <c r="AL417" s="3"/>
      <c r="AM417" s="3"/>
      <c r="AN417" s="3"/>
      <c r="AO417" s="3"/>
      <c r="AP417" s="3"/>
      <c r="AQ417" s="3"/>
      <c r="AR417" s="3"/>
    </row>
    <row r="418" spans="1:44" ht="16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S418" s="3"/>
      <c r="T418" s="3"/>
      <c r="U418" s="3"/>
      <c r="V418" s="3"/>
      <c r="W418" s="3"/>
      <c r="X418" s="3"/>
      <c r="Y418" s="3"/>
      <c r="Z418" s="3"/>
      <c r="AB418" s="3"/>
      <c r="AC418" s="3"/>
      <c r="AD418" s="3"/>
      <c r="AE418" s="3"/>
      <c r="AF418" s="3"/>
      <c r="AG418" s="3"/>
      <c r="AH418" s="3"/>
      <c r="AI418" s="3"/>
      <c r="AK418" s="3"/>
      <c r="AL418" s="3"/>
      <c r="AM418" s="3"/>
      <c r="AN418" s="3"/>
      <c r="AO418" s="3"/>
      <c r="AP418" s="3"/>
      <c r="AQ418" s="3"/>
      <c r="AR418" s="3"/>
    </row>
    <row r="419" spans="1:44" ht="16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S419" s="3"/>
      <c r="T419" s="3"/>
      <c r="U419" s="3"/>
      <c r="V419" s="3"/>
      <c r="W419" s="3"/>
      <c r="X419" s="3"/>
      <c r="Y419" s="3"/>
      <c r="Z419" s="3"/>
      <c r="AB419" s="3"/>
      <c r="AC419" s="3"/>
      <c r="AD419" s="3"/>
      <c r="AE419" s="3"/>
      <c r="AF419" s="3"/>
      <c r="AG419" s="3"/>
      <c r="AH419" s="3"/>
      <c r="AI419" s="3"/>
      <c r="AK419" s="3"/>
      <c r="AL419" s="3"/>
      <c r="AM419" s="3"/>
      <c r="AN419" s="3"/>
      <c r="AO419" s="3"/>
      <c r="AP419" s="3"/>
      <c r="AQ419" s="3"/>
      <c r="AR419" s="3"/>
    </row>
    <row r="420" spans="1:44" ht="16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S420" s="3"/>
      <c r="T420" s="3"/>
      <c r="U420" s="3"/>
      <c r="V420" s="3"/>
      <c r="W420" s="3"/>
      <c r="X420" s="3"/>
      <c r="Y420" s="3"/>
      <c r="Z420" s="3"/>
      <c r="AB420" s="3"/>
      <c r="AC420" s="3"/>
      <c r="AD420" s="3"/>
      <c r="AE420" s="3"/>
      <c r="AF420" s="3"/>
      <c r="AG420" s="3"/>
      <c r="AH420" s="3"/>
      <c r="AI420" s="3"/>
      <c r="AK420" s="3"/>
      <c r="AL420" s="3"/>
      <c r="AM420" s="3"/>
      <c r="AN420" s="3"/>
      <c r="AO420" s="3"/>
      <c r="AP420" s="3"/>
      <c r="AQ420" s="3"/>
      <c r="AR420" s="3"/>
    </row>
    <row r="421" spans="1:44" ht="16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S421" s="3"/>
      <c r="T421" s="3"/>
      <c r="U421" s="3"/>
      <c r="V421" s="3"/>
      <c r="W421" s="3"/>
      <c r="X421" s="3"/>
      <c r="Y421" s="3"/>
      <c r="Z421" s="3"/>
      <c r="AB421" s="3"/>
      <c r="AC421" s="3"/>
      <c r="AD421" s="3"/>
      <c r="AE421" s="3"/>
      <c r="AF421" s="3"/>
      <c r="AG421" s="3"/>
      <c r="AH421" s="3"/>
      <c r="AI421" s="3"/>
      <c r="AK421" s="3"/>
      <c r="AL421" s="3"/>
      <c r="AM421" s="3"/>
      <c r="AN421" s="3"/>
      <c r="AO421" s="3"/>
      <c r="AP421" s="3"/>
      <c r="AQ421" s="3"/>
      <c r="AR421" s="3"/>
    </row>
    <row r="422" spans="1:44" ht="16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S422" s="3"/>
      <c r="T422" s="3"/>
      <c r="U422" s="3"/>
      <c r="V422" s="3"/>
      <c r="W422" s="3"/>
      <c r="X422" s="3"/>
      <c r="Y422" s="3"/>
      <c r="Z422" s="3"/>
      <c r="AB422" s="3"/>
      <c r="AC422" s="3"/>
      <c r="AD422" s="3"/>
      <c r="AE422" s="3"/>
      <c r="AF422" s="3"/>
      <c r="AG422" s="3"/>
      <c r="AH422" s="3"/>
      <c r="AI422" s="3"/>
      <c r="AK422" s="3"/>
      <c r="AL422" s="3"/>
      <c r="AM422" s="3"/>
      <c r="AN422" s="3"/>
      <c r="AO422" s="3"/>
      <c r="AP422" s="3"/>
      <c r="AQ422" s="3"/>
      <c r="AR422" s="3"/>
    </row>
    <row r="423" spans="1:44" ht="16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S423" s="3"/>
      <c r="T423" s="3"/>
      <c r="U423" s="3"/>
      <c r="V423" s="3"/>
      <c r="W423" s="3"/>
      <c r="X423" s="3"/>
      <c r="Y423" s="3"/>
      <c r="Z423" s="3"/>
      <c r="AB423" s="3"/>
      <c r="AC423" s="3"/>
      <c r="AD423" s="3"/>
      <c r="AE423" s="3"/>
      <c r="AF423" s="3"/>
      <c r="AG423" s="3"/>
      <c r="AH423" s="3"/>
      <c r="AI423" s="3"/>
      <c r="AK423" s="3"/>
      <c r="AL423" s="3"/>
      <c r="AM423" s="3"/>
      <c r="AN423" s="3"/>
      <c r="AO423" s="3"/>
      <c r="AP423" s="3"/>
      <c r="AQ423" s="3"/>
      <c r="AR423" s="3"/>
    </row>
    <row r="424" spans="1:44" ht="16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S424" s="3"/>
      <c r="T424" s="3"/>
      <c r="U424" s="3"/>
      <c r="V424" s="3"/>
      <c r="W424" s="3"/>
      <c r="X424" s="3"/>
      <c r="Y424" s="3"/>
      <c r="Z424" s="3"/>
      <c r="AB424" s="3"/>
      <c r="AC424" s="3"/>
      <c r="AD424" s="3"/>
      <c r="AE424" s="3"/>
      <c r="AF424" s="3"/>
      <c r="AG424" s="3"/>
      <c r="AH424" s="3"/>
      <c r="AI424" s="3"/>
      <c r="AK424" s="3"/>
      <c r="AL424" s="3"/>
      <c r="AM424" s="3"/>
      <c r="AN424" s="3"/>
      <c r="AO424" s="3"/>
      <c r="AP424" s="3"/>
      <c r="AQ424" s="3"/>
      <c r="AR424" s="3"/>
    </row>
    <row r="425" spans="1:44" ht="16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S425" s="3"/>
      <c r="T425" s="3"/>
      <c r="U425" s="3"/>
      <c r="V425" s="3"/>
      <c r="W425" s="3"/>
      <c r="X425" s="3"/>
      <c r="Y425" s="3"/>
      <c r="Z425" s="3"/>
      <c r="AB425" s="3"/>
      <c r="AC425" s="3"/>
      <c r="AD425" s="3"/>
      <c r="AE425" s="3"/>
      <c r="AF425" s="3"/>
      <c r="AG425" s="3"/>
      <c r="AH425" s="3"/>
      <c r="AI425" s="3"/>
      <c r="AK425" s="3"/>
      <c r="AL425" s="3"/>
      <c r="AM425" s="3"/>
      <c r="AN425" s="3"/>
      <c r="AO425" s="3"/>
      <c r="AP425" s="3"/>
      <c r="AQ425" s="3"/>
      <c r="AR425" s="3"/>
    </row>
    <row r="426" spans="1:44" ht="16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S426" s="3"/>
      <c r="T426" s="3"/>
      <c r="U426" s="3"/>
      <c r="V426" s="3"/>
      <c r="W426" s="3"/>
      <c r="X426" s="3"/>
      <c r="Y426" s="3"/>
      <c r="Z426" s="3"/>
      <c r="AB426" s="3"/>
      <c r="AC426" s="3"/>
      <c r="AD426" s="3"/>
      <c r="AE426" s="3"/>
      <c r="AF426" s="3"/>
      <c r="AG426" s="3"/>
      <c r="AH426" s="3"/>
      <c r="AI426" s="3"/>
      <c r="AK426" s="3"/>
      <c r="AL426" s="3"/>
      <c r="AM426" s="3"/>
      <c r="AN426" s="3"/>
      <c r="AO426" s="3"/>
      <c r="AP426" s="3"/>
      <c r="AQ426" s="3"/>
      <c r="AR426" s="3"/>
    </row>
    <row r="427" spans="1:44" ht="16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S427" s="3"/>
      <c r="T427" s="3"/>
      <c r="U427" s="3"/>
      <c r="V427" s="3"/>
      <c r="W427" s="3"/>
      <c r="X427" s="3"/>
      <c r="Y427" s="3"/>
      <c r="Z427" s="3"/>
      <c r="AB427" s="3"/>
      <c r="AC427" s="3"/>
      <c r="AD427" s="3"/>
      <c r="AE427" s="3"/>
      <c r="AF427" s="3"/>
      <c r="AG427" s="3"/>
      <c r="AH427" s="3"/>
      <c r="AI427" s="3"/>
      <c r="AK427" s="3"/>
      <c r="AL427" s="3"/>
      <c r="AM427" s="3"/>
      <c r="AN427" s="3"/>
      <c r="AO427" s="3"/>
      <c r="AP427" s="3"/>
      <c r="AQ427" s="3"/>
      <c r="AR427" s="3"/>
    </row>
    <row r="428" spans="1:44" ht="16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S428" s="3"/>
      <c r="T428" s="3"/>
      <c r="U428" s="3"/>
      <c r="V428" s="3"/>
      <c r="W428" s="3"/>
      <c r="X428" s="3"/>
      <c r="Y428" s="3"/>
      <c r="Z428" s="3"/>
      <c r="AB428" s="3"/>
      <c r="AC428" s="3"/>
      <c r="AD428" s="3"/>
      <c r="AE428" s="3"/>
      <c r="AF428" s="3"/>
      <c r="AG428" s="3"/>
      <c r="AH428" s="3"/>
      <c r="AI428" s="3"/>
      <c r="AK428" s="3"/>
      <c r="AL428" s="3"/>
      <c r="AM428" s="3"/>
      <c r="AN428" s="3"/>
      <c r="AO428" s="3"/>
      <c r="AP428" s="3"/>
      <c r="AQ428" s="3"/>
      <c r="AR428" s="3"/>
    </row>
    <row r="429" spans="1:44" ht="16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S429" s="3"/>
      <c r="T429" s="3"/>
      <c r="U429" s="3"/>
      <c r="V429" s="3"/>
      <c r="W429" s="3"/>
      <c r="X429" s="3"/>
      <c r="Y429" s="3"/>
      <c r="Z429" s="3"/>
      <c r="AB429" s="3"/>
      <c r="AC429" s="3"/>
      <c r="AD429" s="3"/>
      <c r="AE429" s="3"/>
      <c r="AF429" s="3"/>
      <c r="AG429" s="3"/>
      <c r="AH429" s="3"/>
      <c r="AI429" s="3"/>
      <c r="AK429" s="3"/>
      <c r="AL429" s="3"/>
      <c r="AM429" s="3"/>
      <c r="AN429" s="3"/>
      <c r="AO429" s="3"/>
      <c r="AP429" s="3"/>
      <c r="AQ429" s="3"/>
      <c r="AR429" s="3"/>
    </row>
    <row r="430" spans="1:44" ht="16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S430" s="3"/>
      <c r="T430" s="3"/>
      <c r="U430" s="3"/>
      <c r="V430" s="3"/>
      <c r="W430" s="3"/>
      <c r="X430" s="3"/>
      <c r="Y430" s="3"/>
      <c r="Z430" s="3"/>
      <c r="AB430" s="3"/>
      <c r="AC430" s="3"/>
      <c r="AD430" s="3"/>
      <c r="AE430" s="3"/>
      <c r="AF430" s="3"/>
      <c r="AG430" s="3"/>
      <c r="AH430" s="3"/>
      <c r="AI430" s="3"/>
      <c r="AK430" s="3"/>
      <c r="AL430" s="3"/>
      <c r="AM430" s="3"/>
      <c r="AN430" s="3"/>
      <c r="AO430" s="3"/>
      <c r="AP430" s="3"/>
      <c r="AQ430" s="3"/>
      <c r="AR430" s="3"/>
    </row>
    <row r="431" spans="1:44" ht="16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S431" s="3"/>
      <c r="T431" s="3"/>
      <c r="U431" s="3"/>
      <c r="V431" s="3"/>
      <c r="W431" s="3"/>
      <c r="X431" s="3"/>
      <c r="Y431" s="3"/>
      <c r="Z431" s="3"/>
      <c r="AB431" s="3"/>
      <c r="AC431" s="3"/>
      <c r="AD431" s="3"/>
      <c r="AE431" s="3"/>
      <c r="AF431" s="3"/>
      <c r="AG431" s="3"/>
      <c r="AH431" s="3"/>
      <c r="AI431" s="3"/>
      <c r="AK431" s="3"/>
      <c r="AL431" s="3"/>
      <c r="AM431" s="3"/>
      <c r="AN431" s="3"/>
      <c r="AO431" s="3"/>
      <c r="AP431" s="3"/>
      <c r="AQ431" s="3"/>
      <c r="AR431" s="3"/>
    </row>
    <row r="432" spans="1:44" ht="16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S432" s="3"/>
      <c r="T432" s="3"/>
      <c r="U432" s="3"/>
      <c r="V432" s="3"/>
      <c r="W432" s="3"/>
      <c r="X432" s="3"/>
      <c r="Y432" s="3"/>
      <c r="Z432" s="3"/>
      <c r="AB432" s="3"/>
      <c r="AC432" s="3"/>
      <c r="AD432" s="3"/>
      <c r="AE432" s="3"/>
      <c r="AF432" s="3"/>
      <c r="AG432" s="3"/>
      <c r="AH432" s="3"/>
      <c r="AI432" s="3"/>
      <c r="AK432" s="3"/>
      <c r="AL432" s="3"/>
      <c r="AM432" s="3"/>
      <c r="AN432" s="3"/>
      <c r="AO432" s="3"/>
      <c r="AP432" s="3"/>
      <c r="AQ432" s="3"/>
      <c r="AR432" s="3"/>
    </row>
    <row r="433" spans="1:44" ht="16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S433" s="3"/>
      <c r="T433" s="3"/>
      <c r="U433" s="3"/>
      <c r="V433" s="3"/>
      <c r="W433" s="3"/>
      <c r="X433" s="3"/>
      <c r="Y433" s="3"/>
      <c r="Z433" s="3"/>
      <c r="AB433" s="3"/>
      <c r="AC433" s="3"/>
      <c r="AD433" s="3"/>
      <c r="AE433" s="3"/>
      <c r="AF433" s="3"/>
      <c r="AG433" s="3"/>
      <c r="AH433" s="3"/>
      <c r="AI433" s="3"/>
      <c r="AK433" s="3"/>
      <c r="AL433" s="3"/>
      <c r="AM433" s="3"/>
      <c r="AN433" s="3"/>
      <c r="AO433" s="3"/>
      <c r="AP433" s="3"/>
      <c r="AQ433" s="3"/>
      <c r="AR433" s="3"/>
    </row>
    <row r="434" spans="1:44" ht="16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S434" s="3"/>
      <c r="T434" s="3"/>
      <c r="U434" s="3"/>
      <c r="V434" s="3"/>
      <c r="W434" s="3"/>
      <c r="X434" s="3"/>
      <c r="Y434" s="3"/>
      <c r="Z434" s="3"/>
      <c r="AB434" s="3"/>
      <c r="AC434" s="3"/>
      <c r="AD434" s="3"/>
      <c r="AE434" s="3"/>
      <c r="AF434" s="3"/>
      <c r="AG434" s="3"/>
      <c r="AH434" s="3"/>
      <c r="AI434" s="3"/>
      <c r="AK434" s="3"/>
      <c r="AL434" s="3"/>
      <c r="AM434" s="3"/>
      <c r="AN434" s="3"/>
      <c r="AO434" s="3"/>
      <c r="AP434" s="3"/>
      <c r="AQ434" s="3"/>
      <c r="AR434" s="3"/>
    </row>
    <row r="435" spans="1:44" ht="16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S435" s="3"/>
      <c r="T435" s="3"/>
      <c r="U435" s="3"/>
      <c r="V435" s="3"/>
      <c r="W435" s="3"/>
      <c r="X435" s="3"/>
      <c r="Y435" s="3"/>
      <c r="Z435" s="3"/>
      <c r="AB435" s="3"/>
      <c r="AC435" s="3"/>
      <c r="AD435" s="3"/>
      <c r="AE435" s="3"/>
      <c r="AF435" s="3"/>
      <c r="AG435" s="3"/>
      <c r="AH435" s="3"/>
      <c r="AI435" s="3"/>
      <c r="AK435" s="3"/>
      <c r="AL435" s="3"/>
      <c r="AM435" s="3"/>
      <c r="AN435" s="3"/>
      <c r="AO435" s="3"/>
      <c r="AP435" s="3"/>
      <c r="AQ435" s="3"/>
      <c r="AR435" s="3"/>
    </row>
    <row r="436" spans="1:44" ht="16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S436" s="3"/>
      <c r="T436" s="3"/>
      <c r="U436" s="3"/>
      <c r="V436" s="3"/>
      <c r="W436" s="3"/>
      <c r="X436" s="3"/>
      <c r="Y436" s="3"/>
      <c r="Z436" s="3"/>
      <c r="AB436" s="3"/>
      <c r="AC436" s="3"/>
      <c r="AD436" s="3"/>
      <c r="AE436" s="3"/>
      <c r="AF436" s="3"/>
      <c r="AG436" s="3"/>
      <c r="AH436" s="3"/>
      <c r="AI436" s="3"/>
      <c r="AK436" s="3"/>
      <c r="AL436" s="3"/>
      <c r="AM436" s="3"/>
      <c r="AN436" s="3"/>
      <c r="AO436" s="3"/>
      <c r="AP436" s="3"/>
      <c r="AQ436" s="3"/>
      <c r="AR436" s="3"/>
    </row>
    <row r="437" spans="1:44" ht="16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S437" s="3"/>
      <c r="T437" s="3"/>
      <c r="U437" s="3"/>
      <c r="V437" s="3"/>
      <c r="W437" s="3"/>
      <c r="X437" s="3"/>
      <c r="Y437" s="3"/>
      <c r="Z437" s="3"/>
      <c r="AB437" s="3"/>
      <c r="AC437" s="3"/>
      <c r="AD437" s="3"/>
      <c r="AE437" s="3"/>
      <c r="AF437" s="3"/>
      <c r="AG437" s="3"/>
      <c r="AH437" s="3"/>
      <c r="AI437" s="3"/>
      <c r="AK437" s="3"/>
      <c r="AL437" s="3"/>
      <c r="AM437" s="3"/>
      <c r="AN437" s="3"/>
      <c r="AO437" s="3"/>
      <c r="AP437" s="3"/>
      <c r="AQ437" s="3"/>
      <c r="AR437" s="3"/>
    </row>
    <row r="438" spans="1:44" ht="16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S438" s="3"/>
      <c r="T438" s="3"/>
      <c r="U438" s="3"/>
      <c r="V438" s="3"/>
      <c r="W438" s="3"/>
      <c r="X438" s="3"/>
      <c r="Y438" s="3"/>
      <c r="Z438" s="3"/>
      <c r="AB438" s="3"/>
      <c r="AC438" s="3"/>
      <c r="AD438" s="3"/>
      <c r="AE438" s="3"/>
      <c r="AF438" s="3"/>
      <c r="AG438" s="3"/>
      <c r="AH438" s="3"/>
      <c r="AI438" s="3"/>
      <c r="AK438" s="3"/>
      <c r="AL438" s="3"/>
      <c r="AM438" s="3"/>
      <c r="AN438" s="3"/>
      <c r="AO438" s="3"/>
      <c r="AP438" s="3"/>
      <c r="AQ438" s="3"/>
      <c r="AR438" s="3"/>
    </row>
    <row r="439" spans="1:44" ht="16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S439" s="3"/>
      <c r="T439" s="3"/>
      <c r="U439" s="3"/>
      <c r="V439" s="3"/>
      <c r="W439" s="3"/>
      <c r="X439" s="3"/>
      <c r="Y439" s="3"/>
      <c r="Z439" s="3"/>
      <c r="AB439" s="3"/>
      <c r="AC439" s="3"/>
      <c r="AD439" s="3"/>
      <c r="AE439" s="3"/>
      <c r="AF439" s="3"/>
      <c r="AG439" s="3"/>
      <c r="AH439" s="3"/>
      <c r="AI439" s="3"/>
      <c r="AK439" s="3"/>
      <c r="AL439" s="3"/>
      <c r="AM439" s="3"/>
      <c r="AN439" s="3"/>
      <c r="AO439" s="3"/>
      <c r="AP439" s="3"/>
      <c r="AQ439" s="3"/>
      <c r="AR439" s="3"/>
    </row>
    <row r="440" spans="1:44" ht="16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S440" s="3"/>
      <c r="T440" s="3"/>
      <c r="U440" s="3"/>
      <c r="V440" s="3"/>
      <c r="W440" s="3"/>
      <c r="X440" s="3"/>
      <c r="Y440" s="3"/>
      <c r="Z440" s="3"/>
      <c r="AB440" s="3"/>
      <c r="AC440" s="3"/>
      <c r="AD440" s="3"/>
      <c r="AE440" s="3"/>
      <c r="AF440" s="3"/>
      <c r="AG440" s="3"/>
      <c r="AH440" s="3"/>
      <c r="AI440" s="3"/>
      <c r="AK440" s="3"/>
      <c r="AL440" s="3"/>
      <c r="AM440" s="3"/>
      <c r="AN440" s="3"/>
      <c r="AO440" s="3"/>
      <c r="AP440" s="3"/>
      <c r="AQ440" s="3"/>
      <c r="AR440" s="3"/>
    </row>
    <row r="441" spans="1:44" ht="16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S441" s="3"/>
      <c r="T441" s="3"/>
      <c r="U441" s="3"/>
      <c r="V441" s="3"/>
      <c r="W441" s="3"/>
      <c r="X441" s="3"/>
      <c r="Y441" s="3"/>
      <c r="Z441" s="3"/>
      <c r="AB441" s="3"/>
      <c r="AC441" s="3"/>
      <c r="AD441" s="3"/>
      <c r="AE441" s="3"/>
      <c r="AF441" s="3"/>
      <c r="AG441" s="3"/>
      <c r="AH441" s="3"/>
      <c r="AI441" s="3"/>
      <c r="AK441" s="3"/>
      <c r="AL441" s="3"/>
      <c r="AM441" s="3"/>
      <c r="AN441" s="3"/>
      <c r="AO441" s="3"/>
      <c r="AP441" s="3"/>
      <c r="AQ441" s="3"/>
      <c r="AR441" s="3"/>
    </row>
    <row r="442" spans="1:44" ht="16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S442" s="3"/>
      <c r="T442" s="3"/>
      <c r="U442" s="3"/>
      <c r="V442" s="3"/>
      <c r="W442" s="3"/>
      <c r="X442" s="3"/>
      <c r="Y442" s="3"/>
      <c r="Z442" s="3"/>
      <c r="AB442" s="3"/>
      <c r="AC442" s="3"/>
      <c r="AD442" s="3"/>
      <c r="AE442" s="3"/>
      <c r="AF442" s="3"/>
      <c r="AG442" s="3"/>
      <c r="AH442" s="3"/>
      <c r="AI442" s="3"/>
      <c r="AK442" s="3"/>
      <c r="AL442" s="3"/>
      <c r="AM442" s="3"/>
      <c r="AN442" s="3"/>
      <c r="AO442" s="3"/>
      <c r="AP442" s="3"/>
      <c r="AQ442" s="3"/>
      <c r="AR442" s="3"/>
    </row>
    <row r="443" spans="1:44" ht="16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S443" s="3"/>
      <c r="T443" s="3"/>
      <c r="U443" s="3"/>
      <c r="V443" s="3"/>
      <c r="W443" s="3"/>
      <c r="X443" s="3"/>
      <c r="Y443" s="3"/>
      <c r="Z443" s="3"/>
      <c r="AB443" s="3"/>
      <c r="AC443" s="3"/>
      <c r="AD443" s="3"/>
      <c r="AE443" s="3"/>
      <c r="AF443" s="3"/>
      <c r="AG443" s="3"/>
      <c r="AH443" s="3"/>
      <c r="AI443" s="3"/>
      <c r="AK443" s="3"/>
      <c r="AL443" s="3"/>
      <c r="AM443" s="3"/>
      <c r="AN443" s="3"/>
      <c r="AO443" s="3"/>
      <c r="AP443" s="3"/>
      <c r="AQ443" s="3"/>
      <c r="AR443" s="3"/>
    </row>
    <row r="444" spans="1:44" ht="16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S444" s="3"/>
      <c r="T444" s="3"/>
      <c r="U444" s="3"/>
      <c r="V444" s="3"/>
      <c r="W444" s="3"/>
      <c r="X444" s="3"/>
      <c r="Y444" s="3"/>
      <c r="Z444" s="3"/>
      <c r="AB444" s="3"/>
      <c r="AC444" s="3"/>
      <c r="AD444" s="3"/>
      <c r="AE444" s="3"/>
      <c r="AF444" s="3"/>
      <c r="AG444" s="3"/>
      <c r="AH444" s="3"/>
      <c r="AI444" s="3"/>
      <c r="AK444" s="3"/>
      <c r="AL444" s="3"/>
      <c r="AM444" s="3"/>
      <c r="AN444" s="3"/>
      <c r="AO444" s="3"/>
      <c r="AP444" s="3"/>
      <c r="AQ444" s="3"/>
      <c r="AR444" s="3"/>
    </row>
    <row r="445" spans="1:44" ht="16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S445" s="3"/>
      <c r="T445" s="3"/>
      <c r="U445" s="3"/>
      <c r="V445" s="3"/>
      <c r="W445" s="3"/>
      <c r="X445" s="3"/>
      <c r="Y445" s="3"/>
      <c r="Z445" s="3"/>
      <c r="AB445" s="3"/>
      <c r="AC445" s="3"/>
      <c r="AD445" s="3"/>
      <c r="AE445" s="3"/>
      <c r="AF445" s="3"/>
      <c r="AG445" s="3"/>
      <c r="AH445" s="3"/>
      <c r="AI445" s="3"/>
      <c r="AK445" s="3"/>
      <c r="AL445" s="3"/>
      <c r="AM445" s="3"/>
      <c r="AN445" s="3"/>
      <c r="AO445" s="3"/>
      <c r="AP445" s="3"/>
      <c r="AQ445" s="3"/>
      <c r="AR445" s="3"/>
    </row>
    <row r="446" spans="1:44" ht="16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S446" s="3"/>
      <c r="T446" s="3"/>
      <c r="U446" s="3"/>
      <c r="V446" s="3"/>
      <c r="W446" s="3"/>
      <c r="X446" s="3"/>
      <c r="Y446" s="3"/>
      <c r="Z446" s="3"/>
      <c r="AB446" s="3"/>
      <c r="AC446" s="3"/>
      <c r="AD446" s="3"/>
      <c r="AE446" s="3"/>
      <c r="AF446" s="3"/>
      <c r="AG446" s="3"/>
      <c r="AH446" s="3"/>
      <c r="AI446" s="3"/>
      <c r="AK446" s="3"/>
      <c r="AL446" s="3"/>
      <c r="AM446" s="3"/>
      <c r="AN446" s="3"/>
      <c r="AO446" s="3"/>
      <c r="AP446" s="3"/>
      <c r="AQ446" s="3"/>
      <c r="AR446" s="3"/>
    </row>
    <row r="447" spans="1:44" ht="16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S447" s="3"/>
      <c r="T447" s="3"/>
      <c r="U447" s="3"/>
      <c r="V447" s="3"/>
      <c r="W447" s="3"/>
      <c r="X447" s="3"/>
      <c r="Y447" s="3"/>
      <c r="Z447" s="3"/>
      <c r="AB447" s="3"/>
      <c r="AC447" s="3"/>
      <c r="AD447" s="3"/>
      <c r="AE447" s="3"/>
      <c r="AF447" s="3"/>
      <c r="AG447" s="3"/>
      <c r="AH447" s="3"/>
      <c r="AI447" s="3"/>
      <c r="AK447" s="3"/>
      <c r="AL447" s="3"/>
      <c r="AM447" s="3"/>
      <c r="AN447" s="3"/>
      <c r="AO447" s="3"/>
      <c r="AP447" s="3"/>
      <c r="AQ447" s="3"/>
      <c r="AR447" s="3"/>
    </row>
    <row r="448" spans="1:44" ht="16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S448" s="3"/>
      <c r="T448" s="3"/>
      <c r="U448" s="3"/>
      <c r="V448" s="3"/>
      <c r="W448" s="3"/>
      <c r="X448" s="3"/>
      <c r="Y448" s="3"/>
      <c r="Z448" s="3"/>
      <c r="AB448" s="3"/>
      <c r="AC448" s="3"/>
      <c r="AD448" s="3"/>
      <c r="AE448" s="3"/>
      <c r="AF448" s="3"/>
      <c r="AG448" s="3"/>
      <c r="AH448" s="3"/>
      <c r="AI448" s="3"/>
      <c r="AK448" s="3"/>
      <c r="AL448" s="3"/>
      <c r="AM448" s="3"/>
      <c r="AN448" s="3"/>
      <c r="AO448" s="3"/>
      <c r="AP448" s="3"/>
      <c r="AQ448" s="3"/>
      <c r="AR448" s="3"/>
    </row>
    <row r="449" spans="1:44" ht="16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S449" s="3"/>
      <c r="T449" s="3"/>
      <c r="U449" s="3"/>
      <c r="V449" s="3"/>
      <c r="W449" s="3"/>
      <c r="X449" s="3"/>
      <c r="Y449" s="3"/>
      <c r="Z449" s="3"/>
      <c r="AB449" s="3"/>
      <c r="AC449" s="3"/>
      <c r="AD449" s="3"/>
      <c r="AE449" s="3"/>
      <c r="AF449" s="3"/>
      <c r="AG449" s="3"/>
      <c r="AH449" s="3"/>
      <c r="AI449" s="3"/>
      <c r="AK449" s="3"/>
      <c r="AL449" s="3"/>
      <c r="AM449" s="3"/>
      <c r="AN449" s="3"/>
      <c r="AO449" s="3"/>
      <c r="AP449" s="3"/>
      <c r="AQ449" s="3"/>
      <c r="AR449" s="3"/>
    </row>
    <row r="450" spans="1:44" ht="16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S450" s="3"/>
      <c r="T450" s="3"/>
      <c r="U450" s="3"/>
      <c r="V450" s="3"/>
      <c r="W450" s="3"/>
      <c r="X450" s="3"/>
      <c r="Y450" s="3"/>
      <c r="Z450" s="3"/>
      <c r="AB450" s="3"/>
      <c r="AC450" s="3"/>
      <c r="AD450" s="3"/>
      <c r="AE450" s="3"/>
      <c r="AF450" s="3"/>
      <c r="AG450" s="3"/>
      <c r="AH450" s="3"/>
      <c r="AI450" s="3"/>
      <c r="AK450" s="3"/>
      <c r="AL450" s="3"/>
      <c r="AM450" s="3"/>
      <c r="AN450" s="3"/>
      <c r="AO450" s="3"/>
      <c r="AP450" s="3"/>
      <c r="AQ450" s="3"/>
      <c r="AR450" s="3"/>
    </row>
    <row r="451" spans="1:44" ht="16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S451" s="3"/>
      <c r="T451" s="3"/>
      <c r="U451" s="3"/>
      <c r="V451" s="3"/>
      <c r="W451" s="3"/>
      <c r="X451" s="3"/>
      <c r="Y451" s="3"/>
      <c r="Z451" s="3"/>
      <c r="AB451" s="3"/>
      <c r="AC451" s="3"/>
      <c r="AD451" s="3"/>
      <c r="AE451" s="3"/>
      <c r="AF451" s="3"/>
      <c r="AG451" s="3"/>
      <c r="AH451" s="3"/>
      <c r="AI451" s="3"/>
      <c r="AK451" s="3"/>
      <c r="AL451" s="3"/>
      <c r="AM451" s="3"/>
      <c r="AN451" s="3"/>
      <c r="AO451" s="3"/>
      <c r="AP451" s="3"/>
      <c r="AQ451" s="3"/>
      <c r="AR451" s="3"/>
    </row>
    <row r="452" spans="1:44" ht="16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S452" s="3"/>
      <c r="T452" s="3"/>
      <c r="U452" s="3"/>
      <c r="V452" s="3"/>
      <c r="W452" s="3"/>
      <c r="X452" s="3"/>
      <c r="Y452" s="3"/>
      <c r="Z452" s="3"/>
      <c r="AB452" s="3"/>
      <c r="AC452" s="3"/>
      <c r="AD452" s="3"/>
      <c r="AE452" s="3"/>
      <c r="AF452" s="3"/>
      <c r="AG452" s="3"/>
      <c r="AH452" s="3"/>
      <c r="AI452" s="3"/>
      <c r="AK452" s="3"/>
      <c r="AL452" s="3"/>
      <c r="AM452" s="3"/>
      <c r="AN452" s="3"/>
      <c r="AO452" s="3"/>
      <c r="AP452" s="3"/>
      <c r="AQ452" s="3"/>
      <c r="AR452" s="3"/>
    </row>
    <row r="453" spans="1:44" ht="16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S453" s="3"/>
      <c r="T453" s="3"/>
      <c r="U453" s="3"/>
      <c r="V453" s="3"/>
      <c r="W453" s="3"/>
      <c r="X453" s="3"/>
      <c r="Y453" s="3"/>
      <c r="Z453" s="3"/>
      <c r="AB453" s="3"/>
      <c r="AC453" s="3"/>
      <c r="AD453" s="3"/>
      <c r="AE453" s="3"/>
      <c r="AF453" s="3"/>
      <c r="AG453" s="3"/>
      <c r="AH453" s="3"/>
      <c r="AI453" s="3"/>
      <c r="AK453" s="3"/>
      <c r="AL453" s="3"/>
      <c r="AM453" s="3"/>
      <c r="AN453" s="3"/>
      <c r="AO453" s="3"/>
      <c r="AP453" s="3"/>
      <c r="AQ453" s="3"/>
      <c r="AR453" s="3"/>
    </row>
    <row r="454" spans="1:44" ht="16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S454" s="3"/>
      <c r="T454" s="3"/>
      <c r="U454" s="3"/>
      <c r="V454" s="3"/>
      <c r="W454" s="3"/>
      <c r="X454" s="3"/>
      <c r="Y454" s="3"/>
      <c r="Z454" s="3"/>
      <c r="AB454" s="3"/>
      <c r="AC454" s="3"/>
      <c r="AD454" s="3"/>
      <c r="AE454" s="3"/>
      <c r="AF454" s="3"/>
      <c r="AG454" s="3"/>
      <c r="AH454" s="3"/>
      <c r="AI454" s="3"/>
      <c r="AK454" s="3"/>
      <c r="AL454" s="3"/>
      <c r="AM454" s="3"/>
      <c r="AN454" s="3"/>
      <c r="AO454" s="3"/>
      <c r="AP454" s="3"/>
      <c r="AQ454" s="3"/>
      <c r="AR454" s="3"/>
    </row>
    <row r="455" spans="1:44" ht="16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S455" s="3"/>
      <c r="T455" s="3"/>
      <c r="U455" s="3"/>
      <c r="V455" s="3"/>
      <c r="W455" s="3"/>
      <c r="X455" s="3"/>
      <c r="Y455" s="3"/>
      <c r="Z455" s="3"/>
      <c r="AB455" s="3"/>
      <c r="AC455" s="3"/>
      <c r="AD455" s="3"/>
      <c r="AE455" s="3"/>
      <c r="AF455" s="3"/>
      <c r="AG455" s="3"/>
      <c r="AH455" s="3"/>
      <c r="AI455" s="3"/>
      <c r="AK455" s="3"/>
      <c r="AL455" s="3"/>
      <c r="AM455" s="3"/>
      <c r="AN455" s="3"/>
      <c r="AO455" s="3"/>
      <c r="AP455" s="3"/>
      <c r="AQ455" s="3"/>
      <c r="AR455" s="3"/>
    </row>
    <row r="456" spans="1:44" ht="16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S456" s="3"/>
      <c r="T456" s="3"/>
      <c r="U456" s="3"/>
      <c r="V456" s="3"/>
      <c r="W456" s="3"/>
      <c r="X456" s="3"/>
      <c r="Y456" s="3"/>
      <c r="Z456" s="3"/>
      <c r="AB456" s="3"/>
      <c r="AC456" s="3"/>
      <c r="AD456" s="3"/>
      <c r="AE456" s="3"/>
      <c r="AF456" s="3"/>
      <c r="AG456" s="3"/>
      <c r="AH456" s="3"/>
      <c r="AI456" s="3"/>
      <c r="AK456" s="3"/>
      <c r="AL456" s="3"/>
      <c r="AM456" s="3"/>
      <c r="AN456" s="3"/>
      <c r="AO456" s="3"/>
      <c r="AP456" s="3"/>
      <c r="AQ456" s="3"/>
      <c r="AR456" s="3"/>
    </row>
    <row r="457" spans="1:44" ht="16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S457" s="3"/>
      <c r="T457" s="3"/>
      <c r="U457" s="3"/>
      <c r="V457" s="3"/>
      <c r="W457" s="3"/>
      <c r="X457" s="3"/>
      <c r="Y457" s="3"/>
      <c r="Z457" s="3"/>
      <c r="AB457" s="3"/>
      <c r="AC457" s="3"/>
      <c r="AD457" s="3"/>
      <c r="AE457" s="3"/>
      <c r="AF457" s="3"/>
      <c r="AG457" s="3"/>
      <c r="AH457" s="3"/>
      <c r="AI457" s="3"/>
      <c r="AK457" s="3"/>
      <c r="AL457" s="3"/>
      <c r="AM457" s="3"/>
      <c r="AN457" s="3"/>
      <c r="AO457" s="3"/>
      <c r="AP457" s="3"/>
      <c r="AQ457" s="3"/>
      <c r="AR457" s="3"/>
    </row>
    <row r="458" spans="1:44" ht="16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S458" s="3"/>
      <c r="T458" s="3"/>
      <c r="U458" s="3"/>
      <c r="V458" s="3"/>
      <c r="W458" s="3"/>
      <c r="X458" s="3"/>
      <c r="Y458" s="3"/>
      <c r="Z458" s="3"/>
      <c r="AB458" s="3"/>
      <c r="AC458" s="3"/>
      <c r="AD458" s="3"/>
      <c r="AE458" s="3"/>
      <c r="AF458" s="3"/>
      <c r="AG458" s="3"/>
      <c r="AH458" s="3"/>
      <c r="AI458" s="3"/>
      <c r="AK458" s="3"/>
      <c r="AL458" s="3"/>
      <c r="AM458" s="3"/>
      <c r="AN458" s="3"/>
      <c r="AO458" s="3"/>
      <c r="AP458" s="3"/>
      <c r="AQ458" s="3"/>
      <c r="AR458" s="3"/>
    </row>
    <row r="459" spans="1:44" ht="16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S459" s="3"/>
      <c r="T459" s="3"/>
      <c r="U459" s="3"/>
      <c r="V459" s="3"/>
      <c r="W459" s="3"/>
      <c r="X459" s="3"/>
      <c r="Y459" s="3"/>
      <c r="Z459" s="3"/>
      <c r="AB459" s="3"/>
      <c r="AC459" s="3"/>
      <c r="AD459" s="3"/>
      <c r="AE459" s="3"/>
      <c r="AF459" s="3"/>
      <c r="AG459" s="3"/>
      <c r="AH459" s="3"/>
      <c r="AI459" s="3"/>
      <c r="AK459" s="3"/>
      <c r="AL459" s="3"/>
      <c r="AM459" s="3"/>
      <c r="AN459" s="3"/>
      <c r="AO459" s="3"/>
      <c r="AP459" s="3"/>
      <c r="AQ459" s="3"/>
      <c r="AR459" s="3"/>
    </row>
    <row r="460" spans="1:44" ht="16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S460" s="3"/>
      <c r="T460" s="3"/>
      <c r="U460" s="3"/>
      <c r="V460" s="3"/>
      <c r="W460" s="3"/>
      <c r="X460" s="3"/>
      <c r="Y460" s="3"/>
      <c r="Z460" s="3"/>
      <c r="AB460" s="3"/>
      <c r="AC460" s="3"/>
      <c r="AD460" s="3"/>
      <c r="AE460" s="3"/>
      <c r="AF460" s="3"/>
      <c r="AG460" s="3"/>
      <c r="AH460" s="3"/>
      <c r="AI460" s="3"/>
      <c r="AK460" s="3"/>
      <c r="AL460" s="3"/>
      <c r="AM460" s="3"/>
      <c r="AN460" s="3"/>
      <c r="AO460" s="3"/>
      <c r="AP460" s="3"/>
      <c r="AQ460" s="3"/>
      <c r="AR460" s="3"/>
    </row>
    <row r="461" spans="1:44" ht="16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S461" s="3"/>
      <c r="T461" s="3"/>
      <c r="U461" s="3"/>
      <c r="V461" s="3"/>
      <c r="W461" s="3"/>
      <c r="X461" s="3"/>
      <c r="Y461" s="3"/>
      <c r="Z461" s="3"/>
      <c r="AB461" s="3"/>
      <c r="AC461" s="3"/>
      <c r="AD461" s="3"/>
      <c r="AE461" s="3"/>
      <c r="AF461" s="3"/>
      <c r="AG461" s="3"/>
      <c r="AH461" s="3"/>
      <c r="AI461" s="3"/>
      <c r="AK461" s="3"/>
      <c r="AL461" s="3"/>
      <c r="AM461" s="3"/>
      <c r="AN461" s="3"/>
      <c r="AO461" s="3"/>
      <c r="AP461" s="3"/>
      <c r="AQ461" s="3"/>
      <c r="AR461" s="3"/>
    </row>
    <row r="462" spans="1:44" ht="16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S462" s="3"/>
      <c r="T462" s="3"/>
      <c r="U462" s="3"/>
      <c r="V462" s="3"/>
      <c r="W462" s="3"/>
      <c r="X462" s="3"/>
      <c r="Y462" s="3"/>
      <c r="Z462" s="3"/>
      <c r="AB462" s="3"/>
      <c r="AC462" s="3"/>
      <c r="AD462" s="3"/>
      <c r="AE462" s="3"/>
      <c r="AF462" s="3"/>
      <c r="AG462" s="3"/>
      <c r="AH462" s="3"/>
      <c r="AI462" s="3"/>
      <c r="AK462" s="3"/>
      <c r="AL462" s="3"/>
      <c r="AM462" s="3"/>
      <c r="AN462" s="3"/>
      <c r="AO462" s="3"/>
      <c r="AP462" s="3"/>
      <c r="AQ462" s="3"/>
      <c r="AR462" s="3"/>
    </row>
    <row r="463" spans="1:44" ht="16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S463" s="3"/>
      <c r="T463" s="3"/>
      <c r="U463" s="3"/>
      <c r="V463" s="3"/>
      <c r="W463" s="3"/>
      <c r="X463" s="3"/>
      <c r="Y463" s="3"/>
      <c r="Z463" s="3"/>
      <c r="AB463" s="3"/>
      <c r="AC463" s="3"/>
      <c r="AD463" s="3"/>
      <c r="AE463" s="3"/>
      <c r="AF463" s="3"/>
      <c r="AG463" s="3"/>
      <c r="AH463" s="3"/>
      <c r="AI463" s="3"/>
      <c r="AK463" s="3"/>
      <c r="AL463" s="3"/>
      <c r="AM463" s="3"/>
      <c r="AN463" s="3"/>
      <c r="AO463" s="3"/>
      <c r="AP463" s="3"/>
      <c r="AQ463" s="3"/>
      <c r="AR463" s="3"/>
    </row>
    <row r="464" spans="1:44" ht="16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S464" s="3"/>
      <c r="T464" s="3"/>
      <c r="U464" s="3"/>
      <c r="V464" s="3"/>
      <c r="W464" s="3"/>
      <c r="X464" s="3"/>
      <c r="Y464" s="3"/>
      <c r="Z464" s="3"/>
      <c r="AB464" s="3"/>
      <c r="AC464" s="3"/>
      <c r="AD464" s="3"/>
      <c r="AE464" s="3"/>
      <c r="AF464" s="3"/>
      <c r="AG464" s="3"/>
      <c r="AH464" s="3"/>
      <c r="AI464" s="3"/>
      <c r="AK464" s="3"/>
      <c r="AL464" s="3"/>
      <c r="AM464" s="3"/>
      <c r="AN464" s="3"/>
      <c r="AO464" s="3"/>
      <c r="AP464" s="3"/>
      <c r="AQ464" s="3"/>
      <c r="AR464" s="3"/>
    </row>
    <row r="465" spans="1:44" ht="16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S465" s="3"/>
      <c r="T465" s="3"/>
      <c r="U465" s="3"/>
      <c r="V465" s="3"/>
      <c r="W465" s="3"/>
      <c r="X465" s="3"/>
      <c r="Y465" s="3"/>
      <c r="Z465" s="3"/>
      <c r="AB465" s="3"/>
      <c r="AC465" s="3"/>
      <c r="AD465" s="3"/>
      <c r="AE465" s="3"/>
      <c r="AF465" s="3"/>
      <c r="AG465" s="3"/>
      <c r="AH465" s="3"/>
      <c r="AI465" s="3"/>
      <c r="AK465" s="3"/>
      <c r="AL465" s="3"/>
      <c r="AM465" s="3"/>
      <c r="AN465" s="3"/>
      <c r="AO465" s="3"/>
      <c r="AP465" s="3"/>
      <c r="AQ465" s="3"/>
      <c r="AR465" s="3"/>
    </row>
    <row r="466" spans="1:44" ht="16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S466" s="3"/>
      <c r="T466" s="3"/>
      <c r="U466" s="3"/>
      <c r="V466" s="3"/>
      <c r="W466" s="3"/>
      <c r="X466" s="3"/>
      <c r="Y466" s="3"/>
      <c r="Z466" s="3"/>
      <c r="AB466" s="3"/>
      <c r="AC466" s="3"/>
      <c r="AD466" s="3"/>
      <c r="AE466" s="3"/>
      <c r="AF466" s="3"/>
      <c r="AG466" s="3"/>
      <c r="AH466" s="3"/>
      <c r="AI466" s="3"/>
      <c r="AK466" s="3"/>
      <c r="AL466" s="3"/>
      <c r="AM466" s="3"/>
      <c r="AN466" s="3"/>
      <c r="AO466" s="3"/>
      <c r="AP466" s="3"/>
      <c r="AQ466" s="3"/>
      <c r="AR466" s="3"/>
    </row>
    <row r="467" spans="1:44" ht="16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S467" s="3"/>
      <c r="T467" s="3"/>
      <c r="U467" s="3"/>
      <c r="V467" s="3"/>
      <c r="W467" s="3"/>
      <c r="X467" s="3"/>
      <c r="Y467" s="3"/>
      <c r="Z467" s="3"/>
      <c r="AB467" s="3"/>
      <c r="AC467" s="3"/>
      <c r="AD467" s="3"/>
      <c r="AE467" s="3"/>
      <c r="AF467" s="3"/>
      <c r="AG467" s="3"/>
      <c r="AH467" s="3"/>
      <c r="AI467" s="3"/>
      <c r="AK467" s="3"/>
      <c r="AL467" s="3"/>
      <c r="AM467" s="3"/>
      <c r="AN467" s="3"/>
      <c r="AO467" s="3"/>
      <c r="AP467" s="3"/>
      <c r="AQ467" s="3"/>
      <c r="AR467" s="3"/>
    </row>
    <row r="468" spans="1:44" ht="16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S468" s="3"/>
      <c r="T468" s="3"/>
      <c r="U468" s="3"/>
      <c r="V468" s="3"/>
      <c r="W468" s="3"/>
      <c r="X468" s="3"/>
      <c r="Y468" s="3"/>
      <c r="Z468" s="3"/>
      <c r="AB468" s="3"/>
      <c r="AC468" s="3"/>
      <c r="AD468" s="3"/>
      <c r="AE468" s="3"/>
      <c r="AF468" s="3"/>
      <c r="AG468" s="3"/>
      <c r="AH468" s="3"/>
      <c r="AI468" s="3"/>
      <c r="AK468" s="3"/>
      <c r="AL468" s="3"/>
      <c r="AM468" s="3"/>
      <c r="AN468" s="3"/>
      <c r="AO468" s="3"/>
      <c r="AP468" s="3"/>
      <c r="AQ468" s="3"/>
      <c r="AR468" s="3"/>
    </row>
    <row r="469" spans="1:44" ht="16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S469" s="3"/>
      <c r="T469" s="3"/>
      <c r="U469" s="3"/>
      <c r="V469" s="3"/>
      <c r="W469" s="3"/>
      <c r="X469" s="3"/>
      <c r="Y469" s="3"/>
      <c r="Z469" s="3"/>
      <c r="AB469" s="3"/>
      <c r="AC469" s="3"/>
      <c r="AD469" s="3"/>
      <c r="AE469" s="3"/>
      <c r="AF469" s="3"/>
      <c r="AG469" s="3"/>
      <c r="AH469" s="3"/>
      <c r="AI469" s="3"/>
      <c r="AK469" s="3"/>
      <c r="AL469" s="3"/>
      <c r="AM469" s="3"/>
      <c r="AN469" s="3"/>
      <c r="AO469" s="3"/>
      <c r="AP469" s="3"/>
      <c r="AQ469" s="3"/>
      <c r="AR469" s="3"/>
    </row>
    <row r="470" spans="1:44" ht="16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S470" s="3"/>
      <c r="T470" s="3"/>
      <c r="U470" s="3"/>
      <c r="V470" s="3"/>
      <c r="W470" s="3"/>
      <c r="X470" s="3"/>
      <c r="Y470" s="3"/>
      <c r="Z470" s="3"/>
      <c r="AB470" s="3"/>
      <c r="AC470" s="3"/>
      <c r="AD470" s="3"/>
      <c r="AE470" s="3"/>
      <c r="AF470" s="3"/>
      <c r="AG470" s="3"/>
      <c r="AH470" s="3"/>
      <c r="AI470" s="3"/>
      <c r="AK470" s="3"/>
      <c r="AL470" s="3"/>
      <c r="AM470" s="3"/>
      <c r="AN470" s="3"/>
      <c r="AO470" s="3"/>
      <c r="AP470" s="3"/>
      <c r="AQ470" s="3"/>
      <c r="AR470" s="3"/>
    </row>
    <row r="471" spans="1:44" ht="16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S471" s="3"/>
      <c r="T471" s="3"/>
      <c r="U471" s="3"/>
      <c r="V471" s="3"/>
      <c r="W471" s="3"/>
      <c r="X471" s="3"/>
      <c r="Y471" s="3"/>
      <c r="Z471" s="3"/>
      <c r="AB471" s="3"/>
      <c r="AC471" s="3"/>
      <c r="AD471" s="3"/>
      <c r="AE471" s="3"/>
      <c r="AF471" s="3"/>
      <c r="AG471" s="3"/>
      <c r="AH471" s="3"/>
      <c r="AI471" s="3"/>
      <c r="AK471" s="3"/>
      <c r="AL471" s="3"/>
      <c r="AM471" s="3"/>
      <c r="AN471" s="3"/>
      <c r="AO471" s="3"/>
      <c r="AP471" s="3"/>
      <c r="AQ471" s="3"/>
      <c r="AR471" s="3"/>
    </row>
    <row r="472" spans="1:44" ht="16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S472" s="3"/>
      <c r="T472" s="3"/>
      <c r="U472" s="3"/>
      <c r="V472" s="3"/>
      <c r="W472" s="3"/>
      <c r="X472" s="3"/>
      <c r="Y472" s="3"/>
      <c r="Z472" s="3"/>
      <c r="AB472" s="3"/>
      <c r="AC472" s="3"/>
      <c r="AD472" s="3"/>
      <c r="AE472" s="3"/>
      <c r="AF472" s="3"/>
      <c r="AG472" s="3"/>
      <c r="AH472" s="3"/>
      <c r="AI472" s="3"/>
      <c r="AK472" s="3"/>
      <c r="AL472" s="3"/>
      <c r="AM472" s="3"/>
      <c r="AN472" s="3"/>
      <c r="AO472" s="3"/>
      <c r="AP472" s="3"/>
      <c r="AQ472" s="3"/>
      <c r="AR472" s="3"/>
    </row>
    <row r="473" spans="1:44" ht="16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S473" s="3"/>
      <c r="T473" s="3"/>
      <c r="U473" s="3"/>
      <c r="V473" s="3"/>
      <c r="W473" s="3"/>
      <c r="X473" s="3"/>
      <c r="Y473" s="3"/>
      <c r="Z473" s="3"/>
      <c r="AB473" s="3"/>
      <c r="AC473" s="3"/>
      <c r="AD473" s="3"/>
      <c r="AE473" s="3"/>
      <c r="AF473" s="3"/>
      <c r="AG473" s="3"/>
      <c r="AH473" s="3"/>
      <c r="AI473" s="3"/>
      <c r="AK473" s="3"/>
      <c r="AL473" s="3"/>
      <c r="AM473" s="3"/>
      <c r="AN473" s="3"/>
      <c r="AO473" s="3"/>
      <c r="AP473" s="3"/>
      <c r="AQ473" s="3"/>
      <c r="AR473" s="3"/>
    </row>
    <row r="474" spans="1:44" ht="16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S474" s="3"/>
      <c r="T474" s="3"/>
      <c r="U474" s="3"/>
      <c r="V474" s="3"/>
      <c r="W474" s="3"/>
      <c r="X474" s="3"/>
      <c r="Y474" s="3"/>
      <c r="Z474" s="3"/>
      <c r="AB474" s="3"/>
      <c r="AC474" s="3"/>
      <c r="AD474" s="3"/>
      <c r="AE474" s="3"/>
      <c r="AF474" s="3"/>
      <c r="AG474" s="3"/>
      <c r="AH474" s="3"/>
      <c r="AI474" s="3"/>
      <c r="AK474" s="3"/>
      <c r="AL474" s="3"/>
      <c r="AM474" s="3"/>
      <c r="AN474" s="3"/>
      <c r="AO474" s="3"/>
      <c r="AP474" s="3"/>
      <c r="AQ474" s="3"/>
      <c r="AR474" s="3"/>
    </row>
    <row r="475" spans="1:44" ht="16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S475" s="3"/>
      <c r="T475" s="3"/>
      <c r="U475" s="3"/>
      <c r="V475" s="3"/>
      <c r="W475" s="3"/>
      <c r="X475" s="3"/>
      <c r="Y475" s="3"/>
      <c r="Z475" s="3"/>
      <c r="AB475" s="3"/>
      <c r="AC475" s="3"/>
      <c r="AD475" s="3"/>
      <c r="AE475" s="3"/>
      <c r="AF475" s="3"/>
      <c r="AG475" s="3"/>
      <c r="AH475" s="3"/>
      <c r="AI475" s="3"/>
      <c r="AK475" s="3"/>
      <c r="AL475" s="3"/>
      <c r="AM475" s="3"/>
      <c r="AN475" s="3"/>
      <c r="AO475" s="3"/>
      <c r="AP475" s="3"/>
      <c r="AQ475" s="3"/>
      <c r="AR475" s="3"/>
    </row>
    <row r="476" spans="1:44" ht="16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S476" s="3"/>
      <c r="T476" s="3"/>
      <c r="U476" s="3"/>
      <c r="V476" s="3"/>
      <c r="W476" s="3"/>
      <c r="X476" s="3"/>
      <c r="Y476" s="3"/>
      <c r="Z476" s="3"/>
      <c r="AB476" s="3"/>
      <c r="AC476" s="3"/>
      <c r="AD476" s="3"/>
      <c r="AE476" s="3"/>
      <c r="AF476" s="3"/>
      <c r="AG476" s="3"/>
      <c r="AH476" s="3"/>
      <c r="AI476" s="3"/>
      <c r="AK476" s="3"/>
      <c r="AL476" s="3"/>
      <c r="AM476" s="3"/>
      <c r="AN476" s="3"/>
      <c r="AO476" s="3"/>
      <c r="AP476" s="3"/>
      <c r="AQ476" s="3"/>
      <c r="AR476" s="3"/>
    </row>
    <row r="477" spans="1:44" ht="16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S477" s="3"/>
      <c r="T477" s="3"/>
      <c r="U477" s="3"/>
      <c r="V477" s="3"/>
      <c r="W477" s="3"/>
      <c r="X477" s="3"/>
      <c r="Y477" s="3"/>
      <c r="Z477" s="3"/>
      <c r="AB477" s="3"/>
      <c r="AC477" s="3"/>
      <c r="AD477" s="3"/>
      <c r="AE477" s="3"/>
      <c r="AF477" s="3"/>
      <c r="AG477" s="3"/>
      <c r="AH477" s="3"/>
      <c r="AI477" s="3"/>
      <c r="AK477" s="3"/>
      <c r="AL477" s="3"/>
      <c r="AM477" s="3"/>
      <c r="AN477" s="3"/>
      <c r="AO477" s="3"/>
      <c r="AP477" s="3"/>
      <c r="AQ477" s="3"/>
      <c r="AR477" s="3"/>
    </row>
    <row r="478" spans="1:44" ht="16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S478" s="3"/>
      <c r="T478" s="3"/>
      <c r="U478" s="3"/>
      <c r="V478" s="3"/>
      <c r="W478" s="3"/>
      <c r="X478" s="3"/>
      <c r="Y478" s="3"/>
      <c r="Z478" s="3"/>
      <c r="AB478" s="3"/>
      <c r="AC478" s="3"/>
      <c r="AD478" s="3"/>
      <c r="AE478" s="3"/>
      <c r="AF478" s="3"/>
      <c r="AG478" s="3"/>
      <c r="AH478" s="3"/>
      <c r="AI478" s="3"/>
      <c r="AK478" s="3"/>
      <c r="AL478" s="3"/>
      <c r="AM478" s="3"/>
      <c r="AN478" s="3"/>
      <c r="AO478" s="3"/>
      <c r="AP478" s="3"/>
      <c r="AQ478" s="3"/>
      <c r="AR478" s="3"/>
    </row>
    <row r="479" spans="1:44" ht="16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S479" s="3"/>
      <c r="T479" s="3"/>
      <c r="U479" s="3"/>
      <c r="V479" s="3"/>
      <c r="W479" s="3"/>
      <c r="X479" s="3"/>
      <c r="Y479" s="3"/>
      <c r="Z479" s="3"/>
      <c r="AB479" s="3"/>
      <c r="AC479" s="3"/>
      <c r="AD479" s="3"/>
      <c r="AE479" s="3"/>
      <c r="AF479" s="3"/>
      <c r="AG479" s="3"/>
      <c r="AH479" s="3"/>
      <c r="AI479" s="3"/>
      <c r="AK479" s="3"/>
      <c r="AL479" s="3"/>
      <c r="AM479" s="3"/>
      <c r="AN479" s="3"/>
      <c r="AO479" s="3"/>
      <c r="AP479" s="3"/>
      <c r="AQ479" s="3"/>
      <c r="AR479" s="3"/>
    </row>
    <row r="480" spans="1:44" ht="16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S480" s="3"/>
      <c r="T480" s="3"/>
      <c r="U480" s="3"/>
      <c r="V480" s="3"/>
      <c r="W480" s="3"/>
      <c r="X480" s="3"/>
      <c r="Y480" s="3"/>
      <c r="Z480" s="3"/>
      <c r="AB480" s="3"/>
      <c r="AC480" s="3"/>
      <c r="AD480" s="3"/>
      <c r="AE480" s="3"/>
      <c r="AF480" s="3"/>
      <c r="AG480" s="3"/>
      <c r="AH480" s="3"/>
      <c r="AI480" s="3"/>
      <c r="AK480" s="3"/>
      <c r="AL480" s="3"/>
      <c r="AM480" s="3"/>
      <c r="AN480" s="3"/>
      <c r="AO480" s="3"/>
      <c r="AP480" s="3"/>
      <c r="AQ480" s="3"/>
      <c r="AR480" s="3"/>
    </row>
    <row r="481" spans="1:44" ht="16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S481" s="3"/>
      <c r="T481" s="3"/>
      <c r="U481" s="3"/>
      <c r="V481" s="3"/>
      <c r="W481" s="3"/>
      <c r="X481" s="3"/>
      <c r="Y481" s="3"/>
      <c r="Z481" s="3"/>
      <c r="AB481" s="3"/>
      <c r="AC481" s="3"/>
      <c r="AD481" s="3"/>
      <c r="AE481" s="3"/>
      <c r="AF481" s="3"/>
      <c r="AG481" s="3"/>
      <c r="AH481" s="3"/>
      <c r="AI481" s="3"/>
      <c r="AK481" s="3"/>
      <c r="AL481" s="3"/>
      <c r="AM481" s="3"/>
      <c r="AN481" s="3"/>
      <c r="AO481" s="3"/>
      <c r="AP481" s="3"/>
      <c r="AQ481" s="3"/>
      <c r="AR481" s="3"/>
    </row>
    <row r="482" spans="1:44" ht="16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S482" s="3"/>
      <c r="T482" s="3"/>
      <c r="U482" s="3"/>
      <c r="V482" s="3"/>
      <c r="W482" s="3"/>
      <c r="X482" s="3"/>
      <c r="Y482" s="3"/>
      <c r="Z482" s="3"/>
      <c r="AB482" s="3"/>
      <c r="AC482" s="3"/>
      <c r="AD482" s="3"/>
      <c r="AE482" s="3"/>
      <c r="AF482" s="3"/>
      <c r="AG482" s="3"/>
      <c r="AH482" s="3"/>
      <c r="AI482" s="3"/>
      <c r="AK482" s="3"/>
      <c r="AL482" s="3"/>
      <c r="AM482" s="3"/>
      <c r="AN482" s="3"/>
      <c r="AO482" s="3"/>
      <c r="AP482" s="3"/>
      <c r="AQ482" s="3"/>
      <c r="AR482" s="3"/>
    </row>
    <row r="483" spans="1:44" ht="16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S483" s="3"/>
      <c r="T483" s="3"/>
      <c r="U483" s="3"/>
      <c r="V483" s="3"/>
      <c r="W483" s="3"/>
      <c r="X483" s="3"/>
      <c r="Y483" s="3"/>
      <c r="Z483" s="3"/>
      <c r="AB483" s="3"/>
      <c r="AC483" s="3"/>
      <c r="AD483" s="3"/>
      <c r="AE483" s="3"/>
      <c r="AF483" s="3"/>
      <c r="AG483" s="3"/>
      <c r="AH483" s="3"/>
      <c r="AI483" s="3"/>
      <c r="AK483" s="3"/>
      <c r="AL483" s="3"/>
      <c r="AM483" s="3"/>
      <c r="AN483" s="3"/>
      <c r="AO483" s="3"/>
      <c r="AP483" s="3"/>
      <c r="AQ483" s="3"/>
      <c r="AR483" s="3"/>
    </row>
    <row r="484" spans="1:44" ht="16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S484" s="3"/>
      <c r="T484" s="3"/>
      <c r="U484" s="3"/>
      <c r="V484" s="3"/>
      <c r="W484" s="3"/>
      <c r="X484" s="3"/>
      <c r="Y484" s="3"/>
      <c r="Z484" s="3"/>
      <c r="AB484" s="3"/>
      <c r="AC484" s="3"/>
      <c r="AD484" s="3"/>
      <c r="AE484" s="3"/>
      <c r="AF484" s="3"/>
      <c r="AG484" s="3"/>
      <c r="AH484" s="3"/>
      <c r="AI484" s="3"/>
      <c r="AK484" s="3"/>
      <c r="AL484" s="3"/>
      <c r="AM484" s="3"/>
      <c r="AN484" s="3"/>
      <c r="AO484" s="3"/>
      <c r="AP484" s="3"/>
      <c r="AQ484" s="3"/>
      <c r="AR484" s="3"/>
    </row>
    <row r="485" spans="1:44" ht="16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S485" s="3"/>
      <c r="T485" s="3"/>
      <c r="U485" s="3"/>
      <c r="V485" s="3"/>
      <c r="W485" s="3"/>
      <c r="X485" s="3"/>
      <c r="Y485" s="3"/>
      <c r="Z485" s="3"/>
      <c r="AB485" s="3"/>
      <c r="AC485" s="3"/>
      <c r="AD485" s="3"/>
      <c r="AE485" s="3"/>
      <c r="AF485" s="3"/>
      <c r="AG485" s="3"/>
      <c r="AH485" s="3"/>
      <c r="AI485" s="3"/>
      <c r="AK485" s="3"/>
      <c r="AL485" s="3"/>
      <c r="AM485" s="3"/>
      <c r="AN485" s="3"/>
      <c r="AO485" s="3"/>
      <c r="AP485" s="3"/>
      <c r="AQ485" s="3"/>
      <c r="AR485" s="3"/>
    </row>
    <row r="486" spans="1:44" ht="16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S486" s="3"/>
      <c r="T486" s="3"/>
      <c r="U486" s="3"/>
      <c r="V486" s="3"/>
      <c r="W486" s="3"/>
      <c r="X486" s="3"/>
      <c r="Y486" s="3"/>
      <c r="Z486" s="3"/>
      <c r="AB486" s="3"/>
      <c r="AC486" s="3"/>
      <c r="AD486" s="3"/>
      <c r="AE486" s="3"/>
      <c r="AF486" s="3"/>
      <c r="AG486" s="3"/>
      <c r="AH486" s="3"/>
      <c r="AI486" s="3"/>
      <c r="AK486" s="3"/>
      <c r="AL486" s="3"/>
      <c r="AM486" s="3"/>
      <c r="AN486" s="3"/>
      <c r="AO486" s="3"/>
      <c r="AP486" s="3"/>
      <c r="AQ486" s="3"/>
      <c r="AR486" s="3"/>
    </row>
    <row r="487" spans="1:44" ht="16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S487" s="3"/>
      <c r="T487" s="3"/>
      <c r="U487" s="3"/>
      <c r="V487" s="3"/>
      <c r="W487" s="3"/>
      <c r="X487" s="3"/>
      <c r="Y487" s="3"/>
      <c r="Z487" s="3"/>
      <c r="AB487" s="3"/>
      <c r="AC487" s="3"/>
      <c r="AD487" s="3"/>
      <c r="AE487" s="3"/>
      <c r="AF487" s="3"/>
      <c r="AG487" s="3"/>
      <c r="AH487" s="3"/>
      <c r="AI487" s="3"/>
      <c r="AK487" s="3"/>
      <c r="AL487" s="3"/>
      <c r="AM487" s="3"/>
      <c r="AN487" s="3"/>
      <c r="AO487" s="3"/>
      <c r="AP487" s="3"/>
      <c r="AQ487" s="3"/>
      <c r="AR487" s="3"/>
    </row>
    <row r="488" spans="1:44" ht="16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S488" s="3"/>
      <c r="T488" s="3"/>
      <c r="U488" s="3"/>
      <c r="V488" s="3"/>
      <c r="W488" s="3"/>
      <c r="X488" s="3"/>
      <c r="Y488" s="3"/>
      <c r="Z488" s="3"/>
      <c r="AB488" s="3"/>
      <c r="AC488" s="3"/>
      <c r="AD488" s="3"/>
      <c r="AE488" s="3"/>
      <c r="AF488" s="3"/>
      <c r="AG488" s="3"/>
      <c r="AH488" s="3"/>
      <c r="AI488" s="3"/>
      <c r="AK488" s="3"/>
      <c r="AL488" s="3"/>
      <c r="AM488" s="3"/>
      <c r="AN488" s="3"/>
      <c r="AO488" s="3"/>
      <c r="AP488" s="3"/>
      <c r="AQ488" s="3"/>
      <c r="AR488" s="3"/>
    </row>
    <row r="489" spans="1:44" ht="16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S489" s="3"/>
      <c r="T489" s="3"/>
      <c r="U489" s="3"/>
      <c r="V489" s="3"/>
      <c r="W489" s="3"/>
      <c r="X489" s="3"/>
      <c r="Y489" s="3"/>
      <c r="Z489" s="3"/>
      <c r="AB489" s="3"/>
      <c r="AC489" s="3"/>
      <c r="AD489" s="3"/>
      <c r="AE489" s="3"/>
      <c r="AF489" s="3"/>
      <c r="AG489" s="3"/>
      <c r="AH489" s="3"/>
      <c r="AI489" s="3"/>
      <c r="AK489" s="3"/>
      <c r="AL489" s="3"/>
      <c r="AM489" s="3"/>
      <c r="AN489" s="3"/>
      <c r="AO489" s="3"/>
      <c r="AP489" s="3"/>
      <c r="AQ489" s="3"/>
      <c r="AR489" s="3"/>
    </row>
    <row r="490" spans="1:44" ht="16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S490" s="3"/>
      <c r="T490" s="3"/>
      <c r="U490" s="3"/>
      <c r="V490" s="3"/>
      <c r="W490" s="3"/>
      <c r="X490" s="3"/>
      <c r="Y490" s="3"/>
      <c r="Z490" s="3"/>
      <c r="AB490" s="3"/>
      <c r="AC490" s="3"/>
      <c r="AD490" s="3"/>
      <c r="AE490" s="3"/>
      <c r="AF490" s="3"/>
      <c r="AG490" s="3"/>
      <c r="AH490" s="3"/>
      <c r="AI490" s="3"/>
      <c r="AK490" s="3"/>
      <c r="AL490" s="3"/>
      <c r="AM490" s="3"/>
      <c r="AN490" s="3"/>
      <c r="AO490" s="3"/>
      <c r="AP490" s="3"/>
      <c r="AQ490" s="3"/>
      <c r="AR490" s="3"/>
    </row>
    <row r="491" spans="1:44" ht="16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S491" s="3"/>
      <c r="T491" s="3"/>
      <c r="U491" s="3"/>
      <c r="V491" s="3"/>
      <c r="W491" s="3"/>
      <c r="X491" s="3"/>
      <c r="Y491" s="3"/>
      <c r="Z491" s="3"/>
      <c r="AB491" s="3"/>
      <c r="AC491" s="3"/>
      <c r="AD491" s="3"/>
      <c r="AE491" s="3"/>
      <c r="AF491" s="3"/>
      <c r="AG491" s="3"/>
      <c r="AH491" s="3"/>
      <c r="AI491" s="3"/>
      <c r="AK491" s="3"/>
      <c r="AL491" s="3"/>
      <c r="AM491" s="3"/>
      <c r="AN491" s="3"/>
      <c r="AO491" s="3"/>
      <c r="AP491" s="3"/>
      <c r="AQ491" s="3"/>
      <c r="AR491" s="3"/>
    </row>
    <row r="492" spans="1:44" ht="16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S492" s="3"/>
      <c r="T492" s="3"/>
      <c r="U492" s="3"/>
      <c r="V492" s="3"/>
      <c r="W492" s="3"/>
      <c r="X492" s="3"/>
      <c r="Y492" s="3"/>
      <c r="Z492" s="3"/>
      <c r="AB492" s="3"/>
      <c r="AC492" s="3"/>
      <c r="AD492" s="3"/>
      <c r="AE492" s="3"/>
      <c r="AF492" s="3"/>
      <c r="AG492" s="3"/>
      <c r="AH492" s="3"/>
      <c r="AI492" s="3"/>
      <c r="AK492" s="3"/>
      <c r="AL492" s="3"/>
      <c r="AM492" s="3"/>
      <c r="AN492" s="3"/>
      <c r="AO492" s="3"/>
      <c r="AP492" s="3"/>
      <c r="AQ492" s="3"/>
      <c r="AR492" s="3"/>
    </row>
    <row r="493" spans="1:44" ht="16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S493" s="3"/>
      <c r="T493" s="3"/>
      <c r="U493" s="3"/>
      <c r="V493" s="3"/>
      <c r="W493" s="3"/>
      <c r="X493" s="3"/>
      <c r="Y493" s="3"/>
      <c r="Z493" s="3"/>
      <c r="AB493" s="3"/>
      <c r="AC493" s="3"/>
      <c r="AD493" s="3"/>
      <c r="AE493" s="3"/>
      <c r="AF493" s="3"/>
      <c r="AG493" s="3"/>
      <c r="AH493" s="3"/>
      <c r="AI493" s="3"/>
      <c r="AK493" s="3"/>
      <c r="AL493" s="3"/>
      <c r="AM493" s="3"/>
      <c r="AN493" s="3"/>
      <c r="AO493" s="3"/>
      <c r="AP493" s="3"/>
      <c r="AQ493" s="3"/>
      <c r="AR493" s="3"/>
    </row>
    <row r="494" spans="1:44" ht="16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S494" s="3"/>
      <c r="T494" s="3"/>
      <c r="U494" s="3"/>
      <c r="V494" s="3"/>
      <c r="W494" s="3"/>
      <c r="X494" s="3"/>
      <c r="Y494" s="3"/>
      <c r="Z494" s="3"/>
      <c r="AB494" s="3"/>
      <c r="AC494" s="3"/>
      <c r="AD494" s="3"/>
      <c r="AE494" s="3"/>
      <c r="AF494" s="3"/>
      <c r="AG494" s="3"/>
      <c r="AH494" s="3"/>
      <c r="AI494" s="3"/>
      <c r="AK494" s="3"/>
      <c r="AL494" s="3"/>
      <c r="AM494" s="3"/>
      <c r="AN494" s="3"/>
      <c r="AO494" s="3"/>
      <c r="AP494" s="3"/>
      <c r="AQ494" s="3"/>
      <c r="AR494" s="3"/>
    </row>
    <row r="495" spans="1:44" ht="16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S495" s="3"/>
      <c r="T495" s="3"/>
      <c r="U495" s="3"/>
      <c r="V495" s="3"/>
      <c r="W495" s="3"/>
      <c r="X495" s="3"/>
      <c r="Y495" s="3"/>
      <c r="Z495" s="3"/>
      <c r="AB495" s="3"/>
      <c r="AC495" s="3"/>
      <c r="AD495" s="3"/>
      <c r="AE495" s="3"/>
      <c r="AF495" s="3"/>
      <c r="AG495" s="3"/>
      <c r="AH495" s="3"/>
      <c r="AI495" s="3"/>
      <c r="AK495" s="3"/>
      <c r="AL495" s="3"/>
      <c r="AM495" s="3"/>
      <c r="AN495" s="3"/>
      <c r="AO495" s="3"/>
      <c r="AP495" s="3"/>
      <c r="AQ495" s="3"/>
      <c r="AR495" s="3"/>
    </row>
    <row r="496" spans="1:44" ht="16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S496" s="3"/>
      <c r="T496" s="3"/>
      <c r="U496" s="3"/>
      <c r="V496" s="3"/>
      <c r="W496" s="3"/>
      <c r="X496" s="3"/>
      <c r="Y496" s="3"/>
      <c r="Z496" s="3"/>
      <c r="AB496" s="3"/>
      <c r="AC496" s="3"/>
      <c r="AD496" s="3"/>
      <c r="AE496" s="3"/>
      <c r="AF496" s="3"/>
      <c r="AG496" s="3"/>
      <c r="AH496" s="3"/>
      <c r="AI496" s="3"/>
      <c r="AK496" s="3"/>
      <c r="AL496" s="3"/>
      <c r="AM496" s="3"/>
      <c r="AN496" s="3"/>
      <c r="AO496" s="3"/>
      <c r="AP496" s="3"/>
      <c r="AQ496" s="3"/>
      <c r="AR496" s="3"/>
    </row>
    <row r="497" spans="1:44" ht="16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S497" s="3"/>
      <c r="T497" s="3"/>
      <c r="U497" s="3"/>
      <c r="V497" s="3"/>
      <c r="W497" s="3"/>
      <c r="X497" s="3"/>
      <c r="Y497" s="3"/>
      <c r="Z497" s="3"/>
      <c r="AB497" s="3"/>
      <c r="AC497" s="3"/>
      <c r="AD497" s="3"/>
      <c r="AE497" s="3"/>
      <c r="AF497" s="3"/>
      <c r="AG497" s="3"/>
      <c r="AH497" s="3"/>
      <c r="AI497" s="3"/>
      <c r="AK497" s="3"/>
      <c r="AL497" s="3"/>
      <c r="AM497" s="3"/>
      <c r="AN497" s="3"/>
      <c r="AO497" s="3"/>
      <c r="AP497" s="3"/>
      <c r="AQ497" s="3"/>
      <c r="AR497" s="3"/>
    </row>
    <row r="498" spans="1:44" ht="16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S498" s="3"/>
      <c r="T498" s="3"/>
      <c r="U498" s="3"/>
      <c r="V498" s="3"/>
      <c r="W498" s="3"/>
      <c r="X498" s="3"/>
      <c r="Y498" s="3"/>
      <c r="Z498" s="3"/>
      <c r="AB498" s="3"/>
      <c r="AC498" s="3"/>
      <c r="AD498" s="3"/>
      <c r="AE498" s="3"/>
      <c r="AF498" s="3"/>
      <c r="AG498" s="3"/>
      <c r="AH498" s="3"/>
      <c r="AI498" s="3"/>
      <c r="AK498" s="3"/>
      <c r="AL498" s="3"/>
      <c r="AM498" s="3"/>
      <c r="AN498" s="3"/>
      <c r="AO498" s="3"/>
      <c r="AP498" s="3"/>
      <c r="AQ498" s="3"/>
      <c r="AR498" s="3"/>
    </row>
    <row r="499" spans="1:44" ht="16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S499" s="3"/>
      <c r="T499" s="3"/>
      <c r="U499" s="3"/>
      <c r="V499" s="3"/>
      <c r="W499" s="3"/>
      <c r="X499" s="3"/>
      <c r="Y499" s="3"/>
      <c r="Z499" s="3"/>
      <c r="AB499" s="3"/>
      <c r="AC499" s="3"/>
      <c r="AD499" s="3"/>
      <c r="AE499" s="3"/>
      <c r="AF499" s="3"/>
      <c r="AG499" s="3"/>
      <c r="AH499" s="3"/>
      <c r="AI499" s="3"/>
      <c r="AK499" s="3"/>
      <c r="AL499" s="3"/>
      <c r="AM499" s="3"/>
      <c r="AN499" s="3"/>
      <c r="AO499" s="3"/>
      <c r="AP499" s="3"/>
      <c r="AQ499" s="3"/>
      <c r="AR499" s="3"/>
    </row>
    <row r="500" spans="1:44" ht="16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S500" s="3"/>
      <c r="T500" s="3"/>
      <c r="U500" s="3"/>
      <c r="V500" s="3"/>
      <c r="W500" s="3"/>
      <c r="X500" s="3"/>
      <c r="Y500" s="3"/>
      <c r="Z500" s="3"/>
      <c r="AB500" s="3"/>
      <c r="AC500" s="3"/>
      <c r="AD500" s="3"/>
      <c r="AE500" s="3"/>
      <c r="AF500" s="3"/>
      <c r="AG500" s="3"/>
      <c r="AH500" s="3"/>
      <c r="AI500" s="3"/>
      <c r="AK500" s="3"/>
      <c r="AL500" s="3"/>
      <c r="AM500" s="3"/>
      <c r="AN500" s="3"/>
      <c r="AO500" s="3"/>
      <c r="AP500" s="3"/>
      <c r="AQ500" s="3"/>
      <c r="AR500" s="3"/>
    </row>
    <row r="501" spans="1:44" ht="16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S501" s="3"/>
      <c r="T501" s="3"/>
      <c r="U501" s="3"/>
      <c r="V501" s="3"/>
      <c r="W501" s="3"/>
      <c r="X501" s="3"/>
      <c r="Y501" s="3"/>
      <c r="Z501" s="3"/>
      <c r="AB501" s="3"/>
      <c r="AC501" s="3"/>
      <c r="AD501" s="3"/>
      <c r="AE501" s="3"/>
      <c r="AF501" s="3"/>
      <c r="AG501" s="3"/>
      <c r="AH501" s="3"/>
      <c r="AI501" s="3"/>
      <c r="AK501" s="3"/>
      <c r="AL501" s="3"/>
      <c r="AM501" s="3"/>
      <c r="AN501" s="3"/>
      <c r="AO501" s="3"/>
      <c r="AP501" s="3"/>
      <c r="AQ501" s="3"/>
      <c r="AR501" s="3"/>
    </row>
    <row r="502" spans="1:44" ht="16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S502" s="3"/>
      <c r="T502" s="3"/>
      <c r="U502" s="3"/>
      <c r="V502" s="3"/>
      <c r="W502" s="3"/>
      <c r="X502" s="3"/>
      <c r="Y502" s="3"/>
      <c r="Z502" s="3"/>
      <c r="AB502" s="3"/>
      <c r="AC502" s="3"/>
      <c r="AD502" s="3"/>
      <c r="AE502" s="3"/>
      <c r="AF502" s="3"/>
      <c r="AG502" s="3"/>
      <c r="AH502" s="3"/>
      <c r="AI502" s="3"/>
      <c r="AK502" s="3"/>
      <c r="AL502" s="3"/>
      <c r="AM502" s="3"/>
      <c r="AN502" s="3"/>
      <c r="AO502" s="3"/>
      <c r="AP502" s="3"/>
      <c r="AQ502" s="3"/>
      <c r="AR502" s="3"/>
    </row>
    <row r="503" spans="1:44" ht="16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S503" s="3"/>
      <c r="T503" s="3"/>
      <c r="U503" s="3"/>
      <c r="V503" s="3"/>
      <c r="W503" s="3"/>
      <c r="X503" s="3"/>
      <c r="Y503" s="3"/>
      <c r="Z503" s="3"/>
      <c r="AB503" s="3"/>
      <c r="AC503" s="3"/>
      <c r="AD503" s="3"/>
      <c r="AE503" s="3"/>
      <c r="AF503" s="3"/>
      <c r="AG503" s="3"/>
      <c r="AH503" s="3"/>
      <c r="AI503" s="3"/>
      <c r="AK503" s="3"/>
      <c r="AL503" s="3"/>
      <c r="AM503" s="3"/>
      <c r="AN503" s="3"/>
      <c r="AO503" s="3"/>
      <c r="AP503" s="3"/>
      <c r="AQ503" s="3"/>
      <c r="AR503" s="3"/>
    </row>
    <row r="504" spans="1:44" ht="16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S504" s="3"/>
      <c r="T504" s="3"/>
      <c r="U504" s="3"/>
      <c r="V504" s="3"/>
      <c r="W504" s="3"/>
      <c r="X504" s="3"/>
      <c r="Y504" s="3"/>
      <c r="Z504" s="3"/>
      <c r="AB504" s="3"/>
      <c r="AC504" s="3"/>
      <c r="AD504" s="3"/>
      <c r="AE504" s="3"/>
      <c r="AF504" s="3"/>
      <c r="AG504" s="3"/>
      <c r="AH504" s="3"/>
      <c r="AI504" s="3"/>
      <c r="AK504" s="3"/>
      <c r="AL504" s="3"/>
      <c r="AM504" s="3"/>
      <c r="AN504" s="3"/>
      <c r="AO504" s="3"/>
      <c r="AP504" s="3"/>
      <c r="AQ504" s="3"/>
      <c r="AR504" s="3"/>
    </row>
    <row r="505" spans="1:44" ht="16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S505" s="3"/>
      <c r="T505" s="3"/>
      <c r="U505" s="3"/>
      <c r="V505" s="3"/>
      <c r="W505" s="3"/>
      <c r="X505" s="3"/>
      <c r="Y505" s="3"/>
      <c r="Z505" s="3"/>
      <c r="AB505" s="3"/>
      <c r="AC505" s="3"/>
      <c r="AD505" s="3"/>
      <c r="AE505" s="3"/>
      <c r="AF505" s="3"/>
      <c r="AG505" s="3"/>
      <c r="AH505" s="3"/>
      <c r="AI505" s="3"/>
      <c r="AK505" s="3"/>
      <c r="AL505" s="3"/>
      <c r="AM505" s="3"/>
      <c r="AN505" s="3"/>
      <c r="AO505" s="3"/>
      <c r="AP505" s="3"/>
      <c r="AQ505" s="3"/>
      <c r="AR505" s="3"/>
    </row>
    <row r="506" spans="1:44" ht="16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S506" s="3"/>
      <c r="T506" s="3"/>
      <c r="U506" s="3"/>
      <c r="V506" s="3"/>
      <c r="W506" s="3"/>
      <c r="X506" s="3"/>
      <c r="Y506" s="3"/>
      <c r="Z506" s="3"/>
      <c r="AB506" s="3"/>
      <c r="AC506" s="3"/>
      <c r="AD506" s="3"/>
      <c r="AE506" s="3"/>
      <c r="AF506" s="3"/>
      <c r="AG506" s="3"/>
      <c r="AH506" s="3"/>
      <c r="AI506" s="3"/>
      <c r="AK506" s="3"/>
      <c r="AL506" s="3"/>
      <c r="AM506" s="3"/>
      <c r="AN506" s="3"/>
      <c r="AO506" s="3"/>
      <c r="AP506" s="3"/>
      <c r="AQ506" s="3"/>
      <c r="AR506" s="3"/>
    </row>
    <row r="507" spans="1:44" ht="16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S507" s="3"/>
      <c r="T507" s="3"/>
      <c r="U507" s="3"/>
      <c r="V507" s="3"/>
      <c r="W507" s="3"/>
      <c r="X507" s="3"/>
      <c r="Y507" s="3"/>
      <c r="Z507" s="3"/>
      <c r="AB507" s="3"/>
      <c r="AC507" s="3"/>
      <c r="AD507" s="3"/>
      <c r="AE507" s="3"/>
      <c r="AF507" s="3"/>
      <c r="AG507" s="3"/>
      <c r="AH507" s="3"/>
      <c r="AI507" s="3"/>
      <c r="AK507" s="3"/>
      <c r="AL507" s="3"/>
      <c r="AM507" s="3"/>
      <c r="AN507" s="3"/>
      <c r="AO507" s="3"/>
      <c r="AP507" s="3"/>
      <c r="AQ507" s="3"/>
      <c r="AR507" s="3"/>
    </row>
    <row r="508" spans="1:44" ht="16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S508" s="3"/>
      <c r="T508" s="3"/>
      <c r="U508" s="3"/>
      <c r="V508" s="3"/>
      <c r="W508" s="3"/>
      <c r="X508" s="3"/>
      <c r="Y508" s="3"/>
      <c r="Z508" s="3"/>
      <c r="AB508" s="3"/>
      <c r="AC508" s="3"/>
      <c r="AD508" s="3"/>
      <c r="AE508" s="3"/>
      <c r="AF508" s="3"/>
      <c r="AG508" s="3"/>
      <c r="AH508" s="3"/>
      <c r="AI508" s="3"/>
      <c r="AK508" s="3"/>
      <c r="AL508" s="3"/>
      <c r="AM508" s="3"/>
      <c r="AN508" s="3"/>
      <c r="AO508" s="3"/>
      <c r="AP508" s="3"/>
      <c r="AQ508" s="3"/>
      <c r="AR508" s="3"/>
    </row>
    <row r="509" spans="1:44" ht="16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S509" s="3"/>
      <c r="T509" s="3"/>
      <c r="U509" s="3"/>
      <c r="V509" s="3"/>
      <c r="W509" s="3"/>
      <c r="X509" s="3"/>
      <c r="Y509" s="3"/>
      <c r="Z509" s="3"/>
      <c r="AB509" s="3"/>
      <c r="AC509" s="3"/>
      <c r="AD509" s="3"/>
      <c r="AE509" s="3"/>
      <c r="AF509" s="3"/>
      <c r="AG509" s="3"/>
      <c r="AH509" s="3"/>
      <c r="AI509" s="3"/>
      <c r="AK509" s="3"/>
      <c r="AL509" s="3"/>
      <c r="AM509" s="3"/>
      <c r="AN509" s="3"/>
      <c r="AO509" s="3"/>
      <c r="AP509" s="3"/>
      <c r="AQ509" s="3"/>
      <c r="AR509" s="3"/>
    </row>
    <row r="510" spans="1:44" ht="16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S510" s="3"/>
      <c r="T510" s="3"/>
      <c r="U510" s="3"/>
      <c r="V510" s="3"/>
      <c r="W510" s="3"/>
      <c r="X510" s="3"/>
      <c r="Y510" s="3"/>
      <c r="Z510" s="3"/>
      <c r="AB510" s="3"/>
      <c r="AC510" s="3"/>
      <c r="AD510" s="3"/>
      <c r="AE510" s="3"/>
      <c r="AF510" s="3"/>
      <c r="AG510" s="3"/>
      <c r="AH510" s="3"/>
      <c r="AI510" s="3"/>
      <c r="AK510" s="3"/>
      <c r="AL510" s="3"/>
      <c r="AM510" s="3"/>
      <c r="AN510" s="3"/>
      <c r="AO510" s="3"/>
      <c r="AP510" s="3"/>
      <c r="AQ510" s="3"/>
      <c r="AR510" s="3"/>
    </row>
    <row r="511" spans="1:44" ht="16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S511" s="3"/>
      <c r="T511" s="3"/>
      <c r="U511" s="3"/>
      <c r="V511" s="3"/>
      <c r="W511" s="3"/>
      <c r="X511" s="3"/>
      <c r="Y511" s="3"/>
      <c r="Z511" s="3"/>
      <c r="AB511" s="3"/>
      <c r="AC511" s="3"/>
      <c r="AD511" s="3"/>
      <c r="AE511" s="3"/>
      <c r="AF511" s="3"/>
      <c r="AG511" s="3"/>
      <c r="AH511" s="3"/>
      <c r="AI511" s="3"/>
      <c r="AK511" s="3"/>
      <c r="AL511" s="3"/>
      <c r="AM511" s="3"/>
      <c r="AN511" s="3"/>
      <c r="AO511" s="3"/>
      <c r="AP511" s="3"/>
      <c r="AQ511" s="3"/>
      <c r="AR511" s="3"/>
    </row>
    <row r="512" spans="1:44" ht="16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S512" s="3"/>
      <c r="T512" s="3"/>
      <c r="U512" s="3"/>
      <c r="V512" s="3"/>
      <c r="W512" s="3"/>
      <c r="X512" s="3"/>
      <c r="Y512" s="3"/>
      <c r="Z512" s="3"/>
      <c r="AB512" s="3"/>
      <c r="AC512" s="3"/>
      <c r="AD512" s="3"/>
      <c r="AE512" s="3"/>
      <c r="AF512" s="3"/>
      <c r="AG512" s="3"/>
      <c r="AH512" s="3"/>
      <c r="AI512" s="3"/>
      <c r="AK512" s="3"/>
      <c r="AL512" s="3"/>
      <c r="AM512" s="3"/>
      <c r="AN512" s="3"/>
      <c r="AO512" s="3"/>
      <c r="AP512" s="3"/>
      <c r="AQ512" s="3"/>
      <c r="AR512" s="3"/>
    </row>
    <row r="513" spans="1:44" ht="16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S513" s="3"/>
      <c r="T513" s="3"/>
      <c r="U513" s="3"/>
      <c r="V513" s="3"/>
      <c r="W513" s="3"/>
      <c r="X513" s="3"/>
      <c r="Y513" s="3"/>
      <c r="Z513" s="3"/>
      <c r="AB513" s="3"/>
      <c r="AC513" s="3"/>
      <c r="AD513" s="3"/>
      <c r="AE513" s="3"/>
      <c r="AF513" s="3"/>
      <c r="AG513" s="3"/>
      <c r="AH513" s="3"/>
      <c r="AI513" s="3"/>
      <c r="AK513" s="3"/>
      <c r="AL513" s="3"/>
      <c r="AM513" s="3"/>
      <c r="AN513" s="3"/>
      <c r="AO513" s="3"/>
      <c r="AP513" s="3"/>
      <c r="AQ513" s="3"/>
      <c r="AR513" s="3"/>
    </row>
    <row r="514" spans="1:44" ht="16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S514" s="3"/>
      <c r="T514" s="3"/>
      <c r="U514" s="3"/>
      <c r="V514" s="3"/>
      <c r="W514" s="3"/>
      <c r="X514" s="3"/>
      <c r="Y514" s="3"/>
      <c r="Z514" s="3"/>
      <c r="AB514" s="3"/>
      <c r="AC514" s="3"/>
      <c r="AD514" s="3"/>
      <c r="AE514" s="3"/>
      <c r="AF514" s="3"/>
      <c r="AG514" s="3"/>
      <c r="AH514" s="3"/>
      <c r="AI514" s="3"/>
      <c r="AK514" s="3"/>
      <c r="AL514" s="3"/>
      <c r="AM514" s="3"/>
      <c r="AN514" s="3"/>
      <c r="AO514" s="3"/>
      <c r="AP514" s="3"/>
      <c r="AQ514" s="3"/>
      <c r="AR514" s="3"/>
    </row>
    <row r="515" spans="1:44" ht="16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S515" s="3"/>
      <c r="T515" s="3"/>
      <c r="U515" s="3"/>
      <c r="V515" s="3"/>
      <c r="W515" s="3"/>
      <c r="X515" s="3"/>
      <c r="Y515" s="3"/>
      <c r="Z515" s="3"/>
      <c r="AB515" s="3"/>
      <c r="AC515" s="3"/>
      <c r="AD515" s="3"/>
      <c r="AE515" s="3"/>
      <c r="AF515" s="3"/>
      <c r="AG515" s="3"/>
      <c r="AH515" s="3"/>
      <c r="AI515" s="3"/>
      <c r="AK515" s="3"/>
      <c r="AL515" s="3"/>
      <c r="AM515" s="3"/>
      <c r="AN515" s="3"/>
      <c r="AO515" s="3"/>
      <c r="AP515" s="3"/>
      <c r="AQ515" s="3"/>
      <c r="AR515" s="3"/>
    </row>
    <row r="516" spans="1:44" ht="16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S516" s="3"/>
      <c r="T516" s="3"/>
      <c r="U516" s="3"/>
      <c r="V516" s="3"/>
      <c r="W516" s="3"/>
      <c r="X516" s="3"/>
      <c r="Y516" s="3"/>
      <c r="Z516" s="3"/>
      <c r="AB516" s="3"/>
      <c r="AC516" s="3"/>
      <c r="AD516" s="3"/>
      <c r="AE516" s="3"/>
      <c r="AF516" s="3"/>
      <c r="AG516" s="3"/>
      <c r="AH516" s="3"/>
      <c r="AI516" s="3"/>
      <c r="AK516" s="3"/>
      <c r="AL516" s="3"/>
      <c r="AM516" s="3"/>
      <c r="AN516" s="3"/>
      <c r="AO516" s="3"/>
      <c r="AP516" s="3"/>
      <c r="AQ516" s="3"/>
      <c r="AR516" s="3"/>
    </row>
    <row r="517" spans="1:44" ht="16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S517" s="3"/>
      <c r="T517" s="3"/>
      <c r="U517" s="3"/>
      <c r="V517" s="3"/>
      <c r="W517" s="3"/>
      <c r="X517" s="3"/>
      <c r="Y517" s="3"/>
      <c r="Z517" s="3"/>
      <c r="AB517" s="3"/>
      <c r="AC517" s="3"/>
      <c r="AD517" s="3"/>
      <c r="AE517" s="3"/>
      <c r="AF517" s="3"/>
      <c r="AG517" s="3"/>
      <c r="AH517" s="3"/>
      <c r="AI517" s="3"/>
      <c r="AK517" s="3"/>
      <c r="AL517" s="3"/>
      <c r="AM517" s="3"/>
      <c r="AN517" s="3"/>
      <c r="AO517" s="3"/>
      <c r="AP517" s="3"/>
      <c r="AQ517" s="3"/>
      <c r="AR517" s="3"/>
    </row>
    <row r="518" spans="1:44" ht="16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S518" s="3"/>
      <c r="T518" s="3"/>
      <c r="U518" s="3"/>
      <c r="V518" s="3"/>
      <c r="W518" s="3"/>
      <c r="X518" s="3"/>
      <c r="Y518" s="3"/>
      <c r="Z518" s="3"/>
      <c r="AB518" s="3"/>
      <c r="AC518" s="3"/>
      <c r="AD518" s="3"/>
      <c r="AE518" s="3"/>
      <c r="AF518" s="3"/>
      <c r="AG518" s="3"/>
      <c r="AH518" s="3"/>
      <c r="AI518" s="3"/>
      <c r="AK518" s="3"/>
      <c r="AL518" s="3"/>
      <c r="AM518" s="3"/>
      <c r="AN518" s="3"/>
      <c r="AO518" s="3"/>
      <c r="AP518" s="3"/>
      <c r="AQ518" s="3"/>
      <c r="AR518" s="3"/>
    </row>
    <row r="519" spans="1:44" ht="16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S519" s="3"/>
      <c r="T519" s="3"/>
      <c r="U519" s="3"/>
      <c r="V519" s="3"/>
      <c r="W519" s="3"/>
      <c r="X519" s="3"/>
      <c r="Y519" s="3"/>
      <c r="Z519" s="3"/>
      <c r="AB519" s="3"/>
      <c r="AC519" s="3"/>
      <c r="AD519" s="3"/>
      <c r="AE519" s="3"/>
      <c r="AF519" s="3"/>
      <c r="AG519" s="3"/>
      <c r="AH519" s="3"/>
      <c r="AI519" s="3"/>
      <c r="AK519" s="3"/>
      <c r="AL519" s="3"/>
      <c r="AM519" s="3"/>
      <c r="AN519" s="3"/>
      <c r="AO519" s="3"/>
      <c r="AP519" s="3"/>
      <c r="AQ519" s="3"/>
      <c r="AR519" s="3"/>
    </row>
    <row r="520" spans="1:44" ht="16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S520" s="3"/>
      <c r="T520" s="3"/>
      <c r="U520" s="3"/>
      <c r="V520" s="3"/>
      <c r="W520" s="3"/>
      <c r="X520" s="3"/>
      <c r="Y520" s="3"/>
      <c r="Z520" s="3"/>
      <c r="AB520" s="3"/>
      <c r="AC520" s="3"/>
      <c r="AD520" s="3"/>
      <c r="AE520" s="3"/>
      <c r="AF520" s="3"/>
      <c r="AG520" s="3"/>
      <c r="AH520" s="3"/>
      <c r="AI520" s="3"/>
      <c r="AK520" s="3"/>
      <c r="AL520" s="3"/>
      <c r="AM520" s="3"/>
      <c r="AN520" s="3"/>
      <c r="AO520" s="3"/>
      <c r="AP520" s="3"/>
      <c r="AQ520" s="3"/>
      <c r="AR520" s="3"/>
    </row>
    <row r="521" spans="1:44" ht="16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S521" s="3"/>
      <c r="T521" s="3"/>
      <c r="U521" s="3"/>
      <c r="V521" s="3"/>
      <c r="W521" s="3"/>
      <c r="X521" s="3"/>
      <c r="Y521" s="3"/>
      <c r="Z521" s="3"/>
      <c r="AB521" s="3"/>
      <c r="AC521" s="3"/>
      <c r="AD521" s="3"/>
      <c r="AE521" s="3"/>
      <c r="AF521" s="3"/>
      <c r="AG521" s="3"/>
      <c r="AH521" s="3"/>
      <c r="AI521" s="3"/>
      <c r="AK521" s="3"/>
      <c r="AL521" s="3"/>
      <c r="AM521" s="3"/>
      <c r="AN521" s="3"/>
      <c r="AO521" s="3"/>
      <c r="AP521" s="3"/>
      <c r="AQ521" s="3"/>
      <c r="AR521" s="3"/>
    </row>
    <row r="522" spans="1:44" ht="16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S522" s="3"/>
      <c r="T522" s="3"/>
      <c r="U522" s="3"/>
      <c r="V522" s="3"/>
      <c r="W522" s="3"/>
      <c r="X522" s="3"/>
      <c r="Y522" s="3"/>
      <c r="Z522" s="3"/>
      <c r="AB522" s="3"/>
      <c r="AC522" s="3"/>
      <c r="AD522" s="3"/>
      <c r="AE522" s="3"/>
      <c r="AF522" s="3"/>
      <c r="AG522" s="3"/>
      <c r="AH522" s="3"/>
      <c r="AI522" s="3"/>
      <c r="AK522" s="3"/>
      <c r="AL522" s="3"/>
      <c r="AM522" s="3"/>
      <c r="AN522" s="3"/>
      <c r="AO522" s="3"/>
      <c r="AP522" s="3"/>
      <c r="AQ522" s="3"/>
      <c r="AR522" s="3"/>
    </row>
    <row r="523" spans="1:44" ht="16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S523" s="3"/>
      <c r="T523" s="3"/>
      <c r="U523" s="3"/>
      <c r="V523" s="3"/>
      <c r="W523" s="3"/>
      <c r="X523" s="3"/>
      <c r="Y523" s="3"/>
      <c r="Z523" s="3"/>
      <c r="AB523" s="3"/>
      <c r="AC523" s="3"/>
      <c r="AD523" s="3"/>
      <c r="AE523" s="3"/>
      <c r="AF523" s="3"/>
      <c r="AG523" s="3"/>
      <c r="AH523" s="3"/>
      <c r="AI523" s="3"/>
      <c r="AK523" s="3"/>
      <c r="AL523" s="3"/>
      <c r="AM523" s="3"/>
      <c r="AN523" s="3"/>
      <c r="AO523" s="3"/>
      <c r="AP523" s="3"/>
      <c r="AQ523" s="3"/>
      <c r="AR523" s="3"/>
    </row>
    <row r="524" spans="1:44" ht="16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S524" s="3"/>
      <c r="T524" s="3"/>
      <c r="U524" s="3"/>
      <c r="V524" s="3"/>
      <c r="W524" s="3"/>
      <c r="X524" s="3"/>
      <c r="Y524" s="3"/>
      <c r="Z524" s="3"/>
      <c r="AB524" s="3"/>
      <c r="AC524" s="3"/>
      <c r="AD524" s="3"/>
      <c r="AE524" s="3"/>
      <c r="AF524" s="3"/>
      <c r="AG524" s="3"/>
      <c r="AH524" s="3"/>
      <c r="AI524" s="3"/>
      <c r="AK524" s="3"/>
      <c r="AL524" s="3"/>
      <c r="AM524" s="3"/>
      <c r="AN524" s="3"/>
      <c r="AO524" s="3"/>
      <c r="AP524" s="3"/>
      <c r="AQ524" s="3"/>
      <c r="AR524" s="3"/>
    </row>
    <row r="525" spans="1:44" ht="16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S525" s="3"/>
      <c r="T525" s="3"/>
      <c r="U525" s="3"/>
      <c r="V525" s="3"/>
      <c r="W525" s="3"/>
      <c r="X525" s="3"/>
      <c r="Y525" s="3"/>
      <c r="Z525" s="3"/>
      <c r="AB525" s="3"/>
      <c r="AC525" s="3"/>
      <c r="AD525" s="3"/>
      <c r="AE525" s="3"/>
      <c r="AF525" s="3"/>
      <c r="AG525" s="3"/>
      <c r="AH525" s="3"/>
      <c r="AI525" s="3"/>
      <c r="AK525" s="3"/>
      <c r="AL525" s="3"/>
      <c r="AM525" s="3"/>
      <c r="AN525" s="3"/>
      <c r="AO525" s="3"/>
      <c r="AP525" s="3"/>
      <c r="AQ525" s="3"/>
      <c r="AR525" s="3"/>
    </row>
    <row r="526" spans="1:44" ht="16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S526" s="3"/>
      <c r="T526" s="3"/>
      <c r="U526" s="3"/>
      <c r="V526" s="3"/>
      <c r="W526" s="3"/>
      <c r="X526" s="3"/>
      <c r="Y526" s="3"/>
      <c r="Z526" s="3"/>
      <c r="AB526" s="3"/>
      <c r="AC526" s="3"/>
      <c r="AD526" s="3"/>
      <c r="AE526" s="3"/>
      <c r="AF526" s="3"/>
      <c r="AG526" s="3"/>
      <c r="AH526" s="3"/>
      <c r="AI526" s="3"/>
      <c r="AK526" s="3"/>
      <c r="AL526" s="3"/>
      <c r="AM526" s="3"/>
      <c r="AN526" s="3"/>
      <c r="AO526" s="3"/>
      <c r="AP526" s="3"/>
      <c r="AQ526" s="3"/>
      <c r="AR526" s="3"/>
    </row>
    <row r="527" spans="1:44" ht="16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S527" s="3"/>
      <c r="T527" s="3"/>
      <c r="U527" s="3"/>
      <c r="V527" s="3"/>
      <c r="W527" s="3"/>
      <c r="X527" s="3"/>
      <c r="Y527" s="3"/>
      <c r="Z527" s="3"/>
      <c r="AB527" s="3"/>
      <c r="AC527" s="3"/>
      <c r="AD527" s="3"/>
      <c r="AE527" s="3"/>
      <c r="AF527" s="3"/>
      <c r="AG527" s="3"/>
      <c r="AH527" s="3"/>
      <c r="AI527" s="3"/>
      <c r="AK527" s="3"/>
      <c r="AL527" s="3"/>
      <c r="AM527" s="3"/>
      <c r="AN527" s="3"/>
      <c r="AO527" s="3"/>
      <c r="AP527" s="3"/>
      <c r="AQ527" s="3"/>
      <c r="AR527" s="3"/>
    </row>
    <row r="528" spans="1:44" ht="16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S528" s="3"/>
      <c r="T528" s="3"/>
      <c r="U528" s="3"/>
      <c r="V528" s="3"/>
      <c r="W528" s="3"/>
      <c r="X528" s="3"/>
      <c r="Y528" s="3"/>
      <c r="Z528" s="3"/>
      <c r="AB528" s="3"/>
      <c r="AC528" s="3"/>
      <c r="AD528" s="3"/>
      <c r="AE528" s="3"/>
      <c r="AF528" s="3"/>
      <c r="AG528" s="3"/>
      <c r="AH528" s="3"/>
      <c r="AI528" s="3"/>
      <c r="AK528" s="3"/>
      <c r="AL528" s="3"/>
      <c r="AM528" s="3"/>
      <c r="AN528" s="3"/>
      <c r="AO528" s="3"/>
      <c r="AP528" s="3"/>
      <c r="AQ528" s="3"/>
      <c r="AR528" s="3"/>
    </row>
    <row r="529" spans="1:44" ht="16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S529" s="3"/>
      <c r="T529" s="3"/>
      <c r="U529" s="3"/>
      <c r="V529" s="3"/>
      <c r="W529" s="3"/>
      <c r="X529" s="3"/>
      <c r="Y529" s="3"/>
      <c r="Z529" s="3"/>
      <c r="AB529" s="3"/>
      <c r="AC529" s="3"/>
      <c r="AD529" s="3"/>
      <c r="AE529" s="3"/>
      <c r="AF529" s="3"/>
      <c r="AG529" s="3"/>
      <c r="AH529" s="3"/>
      <c r="AI529" s="3"/>
      <c r="AK529" s="3"/>
      <c r="AL529" s="3"/>
      <c r="AM529" s="3"/>
      <c r="AN529" s="3"/>
      <c r="AO529" s="3"/>
      <c r="AP529" s="3"/>
      <c r="AQ529" s="3"/>
      <c r="AR529" s="3"/>
    </row>
    <row r="530" spans="1:44" ht="16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S530" s="3"/>
      <c r="T530" s="3"/>
      <c r="U530" s="3"/>
      <c r="V530" s="3"/>
      <c r="W530" s="3"/>
      <c r="X530" s="3"/>
      <c r="Y530" s="3"/>
      <c r="Z530" s="3"/>
      <c r="AB530" s="3"/>
      <c r="AC530" s="3"/>
      <c r="AD530" s="3"/>
      <c r="AE530" s="3"/>
      <c r="AF530" s="3"/>
      <c r="AG530" s="3"/>
      <c r="AH530" s="3"/>
      <c r="AI530" s="3"/>
      <c r="AK530" s="3"/>
      <c r="AL530" s="3"/>
      <c r="AM530" s="3"/>
      <c r="AN530" s="3"/>
      <c r="AO530" s="3"/>
      <c r="AP530" s="3"/>
      <c r="AQ530" s="3"/>
      <c r="AR530" s="3"/>
    </row>
    <row r="531" spans="1:44" ht="16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S531" s="3"/>
      <c r="T531" s="3"/>
      <c r="U531" s="3"/>
      <c r="V531" s="3"/>
      <c r="W531" s="3"/>
      <c r="X531" s="3"/>
      <c r="Y531" s="3"/>
      <c r="Z531" s="3"/>
      <c r="AB531" s="3"/>
      <c r="AC531" s="3"/>
      <c r="AD531" s="3"/>
      <c r="AE531" s="3"/>
      <c r="AF531" s="3"/>
      <c r="AG531" s="3"/>
      <c r="AH531" s="3"/>
      <c r="AI531" s="3"/>
      <c r="AK531" s="3"/>
      <c r="AL531" s="3"/>
      <c r="AM531" s="3"/>
      <c r="AN531" s="3"/>
      <c r="AO531" s="3"/>
      <c r="AP531" s="3"/>
      <c r="AQ531" s="3"/>
      <c r="AR531" s="3"/>
    </row>
    <row r="532" spans="1:44" ht="16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S532" s="3"/>
      <c r="T532" s="3"/>
      <c r="U532" s="3"/>
      <c r="V532" s="3"/>
      <c r="W532" s="3"/>
      <c r="X532" s="3"/>
      <c r="Y532" s="3"/>
      <c r="Z532" s="3"/>
      <c r="AB532" s="3"/>
      <c r="AC532" s="3"/>
      <c r="AD532" s="3"/>
      <c r="AE532" s="3"/>
      <c r="AF532" s="3"/>
      <c r="AG532" s="3"/>
      <c r="AH532" s="3"/>
      <c r="AI532" s="3"/>
      <c r="AK532" s="3"/>
      <c r="AL532" s="3"/>
      <c r="AM532" s="3"/>
      <c r="AN532" s="3"/>
      <c r="AO532" s="3"/>
      <c r="AP532" s="3"/>
      <c r="AQ532" s="3"/>
      <c r="AR532" s="3"/>
    </row>
    <row r="533" spans="1:44" ht="16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S533" s="3"/>
      <c r="T533" s="3"/>
      <c r="U533" s="3"/>
      <c r="V533" s="3"/>
      <c r="W533" s="3"/>
      <c r="X533" s="3"/>
      <c r="Y533" s="3"/>
      <c r="Z533" s="3"/>
      <c r="AB533" s="3"/>
      <c r="AC533" s="3"/>
      <c r="AD533" s="3"/>
      <c r="AE533" s="3"/>
      <c r="AF533" s="3"/>
      <c r="AG533" s="3"/>
      <c r="AH533" s="3"/>
      <c r="AI533" s="3"/>
      <c r="AK533" s="3"/>
      <c r="AL533" s="3"/>
      <c r="AM533" s="3"/>
      <c r="AN533" s="3"/>
      <c r="AO533" s="3"/>
      <c r="AP533" s="3"/>
      <c r="AQ533" s="3"/>
      <c r="AR533" s="3"/>
    </row>
    <row r="534" spans="1:44" ht="16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S534" s="3"/>
      <c r="T534" s="3"/>
      <c r="U534" s="3"/>
      <c r="V534" s="3"/>
      <c r="W534" s="3"/>
      <c r="X534" s="3"/>
      <c r="Y534" s="3"/>
      <c r="Z534" s="3"/>
      <c r="AB534" s="3"/>
      <c r="AC534" s="3"/>
      <c r="AD534" s="3"/>
      <c r="AE534" s="3"/>
      <c r="AF534" s="3"/>
      <c r="AG534" s="3"/>
      <c r="AH534" s="3"/>
      <c r="AI534" s="3"/>
      <c r="AK534" s="3"/>
      <c r="AL534" s="3"/>
      <c r="AM534" s="3"/>
      <c r="AN534" s="3"/>
      <c r="AO534" s="3"/>
      <c r="AP534" s="3"/>
      <c r="AQ534" s="3"/>
      <c r="AR534" s="3"/>
    </row>
    <row r="535" spans="1:44" ht="16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S535" s="3"/>
      <c r="T535" s="3"/>
      <c r="U535" s="3"/>
      <c r="V535" s="3"/>
      <c r="W535" s="3"/>
      <c r="X535" s="3"/>
      <c r="Y535" s="3"/>
      <c r="Z535" s="3"/>
      <c r="AB535" s="3"/>
      <c r="AC535" s="3"/>
      <c r="AD535" s="3"/>
      <c r="AE535" s="3"/>
      <c r="AF535" s="3"/>
      <c r="AG535" s="3"/>
      <c r="AH535" s="3"/>
      <c r="AI535" s="3"/>
      <c r="AK535" s="3"/>
      <c r="AL535" s="3"/>
      <c r="AM535" s="3"/>
      <c r="AN535" s="3"/>
      <c r="AO535" s="3"/>
      <c r="AP535" s="3"/>
      <c r="AQ535" s="3"/>
      <c r="AR535" s="3"/>
    </row>
    <row r="536" spans="1:44" ht="16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S536" s="3"/>
      <c r="T536" s="3"/>
      <c r="U536" s="3"/>
      <c r="V536" s="3"/>
      <c r="W536" s="3"/>
      <c r="X536" s="3"/>
      <c r="Y536" s="3"/>
      <c r="Z536" s="3"/>
      <c r="AB536" s="3"/>
      <c r="AC536" s="3"/>
      <c r="AD536" s="3"/>
      <c r="AE536" s="3"/>
      <c r="AF536" s="3"/>
      <c r="AG536" s="3"/>
      <c r="AH536" s="3"/>
      <c r="AI536" s="3"/>
      <c r="AK536" s="3"/>
      <c r="AL536" s="3"/>
      <c r="AM536" s="3"/>
      <c r="AN536" s="3"/>
      <c r="AO536" s="3"/>
      <c r="AP536" s="3"/>
      <c r="AQ536" s="3"/>
      <c r="AR536" s="3"/>
    </row>
    <row r="537" spans="1:44" ht="16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S537" s="3"/>
      <c r="T537" s="3"/>
      <c r="U537" s="3"/>
      <c r="V537" s="3"/>
      <c r="W537" s="3"/>
      <c r="X537" s="3"/>
      <c r="Y537" s="3"/>
      <c r="Z537" s="3"/>
      <c r="AB537" s="3"/>
      <c r="AC537" s="3"/>
      <c r="AD537" s="3"/>
      <c r="AE537" s="3"/>
      <c r="AF537" s="3"/>
      <c r="AG537" s="3"/>
      <c r="AH537" s="3"/>
      <c r="AI537" s="3"/>
      <c r="AK537" s="3"/>
      <c r="AL537" s="3"/>
      <c r="AM537" s="3"/>
      <c r="AN537" s="3"/>
      <c r="AO537" s="3"/>
      <c r="AP537" s="3"/>
      <c r="AQ537" s="3"/>
      <c r="AR537" s="3"/>
    </row>
    <row r="538" spans="1:44" ht="16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S538" s="3"/>
      <c r="T538" s="3"/>
      <c r="U538" s="3"/>
      <c r="V538" s="3"/>
      <c r="W538" s="3"/>
      <c r="X538" s="3"/>
      <c r="Y538" s="3"/>
      <c r="Z538" s="3"/>
      <c r="AB538" s="3"/>
      <c r="AC538" s="3"/>
      <c r="AD538" s="3"/>
      <c r="AE538" s="3"/>
      <c r="AF538" s="3"/>
      <c r="AG538" s="3"/>
      <c r="AH538" s="3"/>
      <c r="AI538" s="3"/>
      <c r="AK538" s="3"/>
      <c r="AL538" s="3"/>
      <c r="AM538" s="3"/>
      <c r="AN538" s="3"/>
      <c r="AO538" s="3"/>
      <c r="AP538" s="3"/>
      <c r="AQ538" s="3"/>
      <c r="AR538" s="3"/>
    </row>
    <row r="539" spans="1:44" ht="16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S539" s="3"/>
      <c r="T539" s="3"/>
      <c r="U539" s="3"/>
      <c r="V539" s="3"/>
      <c r="W539" s="3"/>
      <c r="X539" s="3"/>
      <c r="Y539" s="3"/>
      <c r="Z539" s="3"/>
      <c r="AB539" s="3"/>
      <c r="AC539" s="3"/>
      <c r="AD539" s="3"/>
      <c r="AE539" s="3"/>
      <c r="AF539" s="3"/>
      <c r="AG539" s="3"/>
      <c r="AH539" s="3"/>
      <c r="AI539" s="3"/>
      <c r="AK539" s="3"/>
      <c r="AL539" s="3"/>
      <c r="AM539" s="3"/>
      <c r="AN539" s="3"/>
      <c r="AO539" s="3"/>
      <c r="AP539" s="3"/>
      <c r="AQ539" s="3"/>
      <c r="AR539" s="3"/>
    </row>
    <row r="540" spans="1:44" ht="16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S540" s="3"/>
      <c r="T540" s="3"/>
      <c r="U540" s="3"/>
      <c r="V540" s="3"/>
      <c r="W540" s="3"/>
      <c r="X540" s="3"/>
      <c r="Y540" s="3"/>
      <c r="Z540" s="3"/>
      <c r="AB540" s="3"/>
      <c r="AC540" s="3"/>
      <c r="AD540" s="3"/>
      <c r="AE540" s="3"/>
      <c r="AF540" s="3"/>
      <c r="AG540" s="3"/>
      <c r="AH540" s="3"/>
      <c r="AI540" s="3"/>
      <c r="AK540" s="3"/>
      <c r="AL540" s="3"/>
      <c r="AM540" s="3"/>
      <c r="AN540" s="3"/>
      <c r="AO540" s="3"/>
      <c r="AP540" s="3"/>
      <c r="AQ540" s="3"/>
      <c r="AR540" s="3"/>
    </row>
    <row r="541" spans="1:44" ht="16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S541" s="3"/>
      <c r="T541" s="3"/>
      <c r="U541" s="3"/>
      <c r="V541" s="3"/>
      <c r="W541" s="3"/>
      <c r="X541" s="3"/>
      <c r="Y541" s="3"/>
      <c r="Z541" s="3"/>
      <c r="AB541" s="3"/>
      <c r="AC541" s="3"/>
      <c r="AD541" s="3"/>
      <c r="AE541" s="3"/>
      <c r="AF541" s="3"/>
      <c r="AG541" s="3"/>
      <c r="AH541" s="3"/>
      <c r="AI541" s="3"/>
      <c r="AK541" s="3"/>
      <c r="AL541" s="3"/>
      <c r="AM541" s="3"/>
      <c r="AN541" s="3"/>
      <c r="AO541" s="3"/>
      <c r="AP541" s="3"/>
      <c r="AQ541" s="3"/>
      <c r="AR541" s="3"/>
    </row>
    <row r="542" spans="1:44" ht="16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S542" s="3"/>
      <c r="T542" s="3"/>
      <c r="U542" s="3"/>
      <c r="V542" s="3"/>
      <c r="W542" s="3"/>
      <c r="X542" s="3"/>
      <c r="Y542" s="3"/>
      <c r="Z542" s="3"/>
      <c r="AB542" s="3"/>
      <c r="AC542" s="3"/>
      <c r="AD542" s="3"/>
      <c r="AE542" s="3"/>
      <c r="AF542" s="3"/>
      <c r="AG542" s="3"/>
      <c r="AH542" s="3"/>
      <c r="AI542" s="3"/>
      <c r="AK542" s="3"/>
      <c r="AL542" s="3"/>
      <c r="AM542" s="3"/>
      <c r="AN542" s="3"/>
      <c r="AO542" s="3"/>
      <c r="AP542" s="3"/>
      <c r="AQ542" s="3"/>
      <c r="AR542" s="3"/>
    </row>
    <row r="543" spans="1:44" ht="16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S543" s="3"/>
      <c r="T543" s="3"/>
      <c r="U543" s="3"/>
      <c r="V543" s="3"/>
      <c r="W543" s="3"/>
      <c r="X543" s="3"/>
      <c r="Y543" s="3"/>
      <c r="Z543" s="3"/>
      <c r="AB543" s="3"/>
      <c r="AC543" s="3"/>
      <c r="AD543" s="3"/>
      <c r="AE543" s="3"/>
      <c r="AF543" s="3"/>
      <c r="AG543" s="3"/>
      <c r="AH543" s="3"/>
      <c r="AI543" s="3"/>
      <c r="AK543" s="3"/>
      <c r="AL543" s="3"/>
      <c r="AM543" s="3"/>
      <c r="AN543" s="3"/>
      <c r="AO543" s="3"/>
      <c r="AP543" s="3"/>
      <c r="AQ543" s="3"/>
      <c r="AR543" s="3"/>
    </row>
    <row r="544" spans="1:44" ht="16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S544" s="3"/>
      <c r="T544" s="3"/>
      <c r="U544" s="3"/>
      <c r="V544" s="3"/>
      <c r="W544" s="3"/>
      <c r="X544" s="3"/>
      <c r="Y544" s="3"/>
      <c r="Z544" s="3"/>
      <c r="AB544" s="3"/>
      <c r="AC544" s="3"/>
      <c r="AD544" s="3"/>
      <c r="AE544" s="3"/>
      <c r="AF544" s="3"/>
      <c r="AG544" s="3"/>
      <c r="AH544" s="3"/>
      <c r="AI544" s="3"/>
      <c r="AK544" s="3"/>
      <c r="AL544" s="3"/>
      <c r="AM544" s="3"/>
      <c r="AN544" s="3"/>
      <c r="AO544" s="3"/>
      <c r="AP544" s="3"/>
      <c r="AQ544" s="3"/>
      <c r="AR544" s="3"/>
    </row>
    <row r="545" spans="1:44" ht="16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S545" s="3"/>
      <c r="T545" s="3"/>
      <c r="U545" s="3"/>
      <c r="V545" s="3"/>
      <c r="W545" s="3"/>
      <c r="X545" s="3"/>
      <c r="Y545" s="3"/>
      <c r="Z545" s="3"/>
      <c r="AB545" s="3"/>
      <c r="AC545" s="3"/>
      <c r="AD545" s="3"/>
      <c r="AE545" s="3"/>
      <c r="AF545" s="3"/>
      <c r="AG545" s="3"/>
      <c r="AH545" s="3"/>
      <c r="AI545" s="3"/>
      <c r="AK545" s="3"/>
      <c r="AL545" s="3"/>
      <c r="AM545" s="3"/>
      <c r="AN545" s="3"/>
      <c r="AO545" s="3"/>
      <c r="AP545" s="3"/>
      <c r="AQ545" s="3"/>
      <c r="AR545" s="3"/>
    </row>
    <row r="546" spans="1:44" ht="16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S546" s="3"/>
      <c r="T546" s="3"/>
      <c r="U546" s="3"/>
      <c r="V546" s="3"/>
      <c r="W546" s="3"/>
      <c r="X546" s="3"/>
      <c r="Y546" s="3"/>
      <c r="Z546" s="3"/>
      <c r="AB546" s="3"/>
      <c r="AC546" s="3"/>
      <c r="AD546" s="3"/>
      <c r="AE546" s="3"/>
      <c r="AF546" s="3"/>
      <c r="AG546" s="3"/>
      <c r="AH546" s="3"/>
      <c r="AI546" s="3"/>
      <c r="AK546" s="3"/>
      <c r="AL546" s="3"/>
      <c r="AM546" s="3"/>
      <c r="AN546" s="3"/>
      <c r="AO546" s="3"/>
      <c r="AP546" s="3"/>
      <c r="AQ546" s="3"/>
      <c r="AR546" s="3"/>
    </row>
    <row r="547" spans="1:44" ht="16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S547" s="3"/>
      <c r="T547" s="3"/>
      <c r="U547" s="3"/>
      <c r="V547" s="3"/>
      <c r="W547" s="3"/>
      <c r="X547" s="3"/>
      <c r="Y547" s="3"/>
      <c r="Z547" s="3"/>
      <c r="AB547" s="3"/>
      <c r="AC547" s="3"/>
      <c r="AD547" s="3"/>
      <c r="AE547" s="3"/>
      <c r="AF547" s="3"/>
      <c r="AG547" s="3"/>
      <c r="AH547" s="3"/>
      <c r="AI547" s="3"/>
      <c r="AK547" s="3"/>
      <c r="AL547" s="3"/>
      <c r="AM547" s="3"/>
      <c r="AN547" s="3"/>
      <c r="AO547" s="3"/>
      <c r="AP547" s="3"/>
      <c r="AQ547" s="3"/>
      <c r="AR547" s="3"/>
    </row>
    <row r="548" spans="1:44" ht="16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S548" s="3"/>
      <c r="T548" s="3"/>
      <c r="U548" s="3"/>
      <c r="V548" s="3"/>
      <c r="W548" s="3"/>
      <c r="X548" s="3"/>
      <c r="Y548" s="3"/>
      <c r="Z548" s="3"/>
      <c r="AB548" s="3"/>
      <c r="AC548" s="3"/>
      <c r="AD548" s="3"/>
      <c r="AE548" s="3"/>
      <c r="AF548" s="3"/>
      <c r="AG548" s="3"/>
      <c r="AH548" s="3"/>
      <c r="AI548" s="3"/>
      <c r="AK548" s="3"/>
      <c r="AL548" s="3"/>
      <c r="AM548" s="3"/>
      <c r="AN548" s="3"/>
      <c r="AO548" s="3"/>
      <c r="AP548" s="3"/>
      <c r="AQ548" s="3"/>
      <c r="AR548" s="3"/>
    </row>
    <row r="549" spans="1:44" ht="16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S549" s="3"/>
      <c r="T549" s="3"/>
      <c r="U549" s="3"/>
      <c r="V549" s="3"/>
      <c r="W549" s="3"/>
      <c r="X549" s="3"/>
      <c r="Y549" s="3"/>
      <c r="Z549" s="3"/>
      <c r="AB549" s="3"/>
      <c r="AC549" s="3"/>
      <c r="AD549" s="3"/>
      <c r="AE549" s="3"/>
      <c r="AF549" s="3"/>
      <c r="AG549" s="3"/>
      <c r="AH549" s="3"/>
      <c r="AI549" s="3"/>
      <c r="AK549" s="3"/>
      <c r="AL549" s="3"/>
      <c r="AM549" s="3"/>
      <c r="AN549" s="3"/>
      <c r="AO549" s="3"/>
      <c r="AP549" s="3"/>
      <c r="AQ549" s="3"/>
      <c r="AR549" s="3"/>
    </row>
    <row r="550" spans="1:44" ht="16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S550" s="3"/>
      <c r="T550" s="3"/>
      <c r="U550" s="3"/>
      <c r="V550" s="3"/>
      <c r="W550" s="3"/>
      <c r="X550" s="3"/>
      <c r="Y550" s="3"/>
      <c r="Z550" s="3"/>
      <c r="AB550" s="3"/>
      <c r="AC550" s="3"/>
      <c r="AD550" s="3"/>
      <c r="AE550" s="3"/>
      <c r="AF550" s="3"/>
      <c r="AG550" s="3"/>
      <c r="AH550" s="3"/>
      <c r="AI550" s="3"/>
      <c r="AK550" s="3"/>
      <c r="AL550" s="3"/>
      <c r="AM550" s="3"/>
      <c r="AN550" s="3"/>
      <c r="AO550" s="3"/>
      <c r="AP550" s="3"/>
      <c r="AQ550" s="3"/>
      <c r="AR550" s="3"/>
    </row>
    <row r="551" spans="1:44" ht="16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S551" s="3"/>
      <c r="T551" s="3"/>
      <c r="U551" s="3"/>
      <c r="V551" s="3"/>
      <c r="W551" s="3"/>
      <c r="X551" s="3"/>
      <c r="Y551" s="3"/>
      <c r="Z551" s="3"/>
      <c r="AB551" s="3"/>
      <c r="AC551" s="3"/>
      <c r="AD551" s="3"/>
      <c r="AE551" s="3"/>
      <c r="AF551" s="3"/>
      <c r="AG551" s="3"/>
      <c r="AH551" s="3"/>
      <c r="AI551" s="3"/>
      <c r="AK551" s="3"/>
      <c r="AL551" s="3"/>
      <c r="AM551" s="3"/>
      <c r="AN551" s="3"/>
      <c r="AO551" s="3"/>
      <c r="AP551" s="3"/>
      <c r="AQ551" s="3"/>
      <c r="AR551" s="3"/>
    </row>
    <row r="552" spans="1:44" ht="16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S552" s="3"/>
      <c r="T552" s="3"/>
      <c r="U552" s="3"/>
      <c r="V552" s="3"/>
      <c r="W552" s="3"/>
      <c r="X552" s="3"/>
      <c r="Y552" s="3"/>
      <c r="Z552" s="3"/>
      <c r="AB552" s="3"/>
      <c r="AC552" s="3"/>
      <c r="AD552" s="3"/>
      <c r="AE552" s="3"/>
      <c r="AF552" s="3"/>
      <c r="AG552" s="3"/>
      <c r="AH552" s="3"/>
      <c r="AI552" s="3"/>
      <c r="AK552" s="3"/>
      <c r="AL552" s="3"/>
      <c r="AM552" s="3"/>
      <c r="AN552" s="3"/>
      <c r="AO552" s="3"/>
      <c r="AP552" s="3"/>
      <c r="AQ552" s="3"/>
      <c r="AR552" s="3"/>
    </row>
    <row r="553" spans="1:44" ht="16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S553" s="3"/>
      <c r="T553" s="3"/>
      <c r="U553" s="3"/>
      <c r="V553" s="3"/>
      <c r="W553" s="3"/>
      <c r="X553" s="3"/>
      <c r="Y553" s="3"/>
      <c r="Z553" s="3"/>
      <c r="AB553" s="3"/>
      <c r="AC553" s="3"/>
      <c r="AD553" s="3"/>
      <c r="AE553" s="3"/>
      <c r="AF553" s="3"/>
      <c r="AG553" s="3"/>
      <c r="AH553" s="3"/>
      <c r="AI553" s="3"/>
      <c r="AK553" s="3"/>
      <c r="AL553" s="3"/>
      <c r="AM553" s="3"/>
      <c r="AN553" s="3"/>
      <c r="AO553" s="3"/>
      <c r="AP553" s="3"/>
      <c r="AQ553" s="3"/>
      <c r="AR553" s="3"/>
    </row>
    <row r="554" spans="1:44" ht="16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S554" s="3"/>
      <c r="T554" s="3"/>
      <c r="U554" s="3"/>
      <c r="V554" s="3"/>
      <c r="W554" s="3"/>
      <c r="X554" s="3"/>
      <c r="Y554" s="3"/>
      <c r="Z554" s="3"/>
      <c r="AB554" s="3"/>
      <c r="AC554" s="3"/>
      <c r="AD554" s="3"/>
      <c r="AE554" s="3"/>
      <c r="AF554" s="3"/>
      <c r="AG554" s="3"/>
      <c r="AH554" s="3"/>
      <c r="AI554" s="3"/>
      <c r="AK554" s="3"/>
      <c r="AL554" s="3"/>
      <c r="AM554" s="3"/>
      <c r="AN554" s="3"/>
      <c r="AO554" s="3"/>
      <c r="AP554" s="3"/>
      <c r="AQ554" s="3"/>
      <c r="AR554" s="3"/>
    </row>
    <row r="555" spans="1:44" ht="16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S555" s="3"/>
      <c r="T555" s="3"/>
      <c r="U555" s="3"/>
      <c r="V555" s="3"/>
      <c r="W555" s="3"/>
      <c r="X555" s="3"/>
      <c r="Y555" s="3"/>
      <c r="Z555" s="3"/>
      <c r="AB555" s="3"/>
      <c r="AC555" s="3"/>
      <c r="AD555" s="3"/>
      <c r="AE555" s="3"/>
      <c r="AF555" s="3"/>
      <c r="AG555" s="3"/>
      <c r="AH555" s="3"/>
      <c r="AI555" s="3"/>
      <c r="AK555" s="3"/>
      <c r="AL555" s="3"/>
      <c r="AM555" s="3"/>
      <c r="AN555" s="3"/>
      <c r="AO555" s="3"/>
      <c r="AP555" s="3"/>
      <c r="AQ555" s="3"/>
      <c r="AR555" s="3"/>
    </row>
    <row r="556" spans="1:44" ht="16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S556" s="3"/>
      <c r="T556" s="3"/>
      <c r="U556" s="3"/>
      <c r="V556" s="3"/>
      <c r="W556" s="3"/>
      <c r="X556" s="3"/>
      <c r="Y556" s="3"/>
      <c r="Z556" s="3"/>
      <c r="AB556" s="3"/>
      <c r="AC556" s="3"/>
      <c r="AD556" s="3"/>
      <c r="AE556" s="3"/>
      <c r="AF556" s="3"/>
      <c r="AG556" s="3"/>
      <c r="AH556" s="3"/>
      <c r="AI556" s="3"/>
      <c r="AK556" s="3"/>
      <c r="AL556" s="3"/>
      <c r="AM556" s="3"/>
      <c r="AN556" s="3"/>
      <c r="AO556" s="3"/>
      <c r="AP556" s="3"/>
      <c r="AQ556" s="3"/>
      <c r="AR556" s="3"/>
    </row>
    <row r="557" spans="1:44" ht="16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S557" s="3"/>
      <c r="T557" s="3"/>
      <c r="U557" s="3"/>
      <c r="V557" s="3"/>
      <c r="W557" s="3"/>
      <c r="X557" s="3"/>
      <c r="Y557" s="3"/>
      <c r="Z557" s="3"/>
      <c r="AB557" s="3"/>
      <c r="AC557" s="3"/>
      <c r="AD557" s="3"/>
      <c r="AE557" s="3"/>
      <c r="AF557" s="3"/>
      <c r="AG557" s="3"/>
      <c r="AH557" s="3"/>
      <c r="AI557" s="3"/>
      <c r="AK557" s="3"/>
      <c r="AL557" s="3"/>
      <c r="AM557" s="3"/>
      <c r="AN557" s="3"/>
      <c r="AO557" s="3"/>
      <c r="AP557" s="3"/>
      <c r="AQ557" s="3"/>
      <c r="AR557" s="3"/>
    </row>
    <row r="558" spans="1:44" ht="16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S558" s="3"/>
      <c r="T558" s="3"/>
      <c r="U558" s="3"/>
      <c r="V558" s="3"/>
      <c r="W558" s="3"/>
      <c r="X558" s="3"/>
      <c r="Y558" s="3"/>
      <c r="Z558" s="3"/>
      <c r="AB558" s="3"/>
      <c r="AC558" s="3"/>
      <c r="AD558" s="3"/>
      <c r="AE558" s="3"/>
      <c r="AF558" s="3"/>
      <c r="AG558" s="3"/>
      <c r="AH558" s="3"/>
      <c r="AI558" s="3"/>
      <c r="AK558" s="3"/>
      <c r="AL558" s="3"/>
      <c r="AM558" s="3"/>
      <c r="AN558" s="3"/>
      <c r="AO558" s="3"/>
      <c r="AP558" s="3"/>
      <c r="AQ558" s="3"/>
      <c r="AR558" s="3"/>
    </row>
    <row r="559" spans="1:44" ht="16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S559" s="3"/>
      <c r="T559" s="3"/>
      <c r="U559" s="3"/>
      <c r="V559" s="3"/>
      <c r="W559" s="3"/>
      <c r="X559" s="3"/>
      <c r="Y559" s="3"/>
      <c r="Z559" s="3"/>
      <c r="AB559" s="3"/>
      <c r="AC559" s="3"/>
      <c r="AD559" s="3"/>
      <c r="AE559" s="3"/>
      <c r="AF559" s="3"/>
      <c r="AG559" s="3"/>
      <c r="AH559" s="3"/>
      <c r="AI559" s="3"/>
      <c r="AK559" s="3"/>
      <c r="AL559" s="3"/>
      <c r="AM559" s="3"/>
      <c r="AN559" s="3"/>
      <c r="AO559" s="3"/>
      <c r="AP559" s="3"/>
      <c r="AQ559" s="3"/>
      <c r="AR559" s="3"/>
    </row>
    <row r="560" spans="1:44" ht="16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S560" s="3"/>
      <c r="T560" s="3"/>
      <c r="U560" s="3"/>
      <c r="V560" s="3"/>
      <c r="W560" s="3"/>
      <c r="X560" s="3"/>
      <c r="Y560" s="3"/>
      <c r="Z560" s="3"/>
      <c r="AB560" s="3"/>
      <c r="AC560" s="3"/>
      <c r="AD560" s="3"/>
      <c r="AE560" s="3"/>
      <c r="AF560" s="3"/>
      <c r="AG560" s="3"/>
      <c r="AH560" s="3"/>
      <c r="AI560" s="3"/>
      <c r="AK560" s="3"/>
      <c r="AL560" s="3"/>
      <c r="AM560" s="3"/>
      <c r="AN560" s="3"/>
      <c r="AO560" s="3"/>
      <c r="AP560" s="3"/>
      <c r="AQ560" s="3"/>
      <c r="AR560" s="3"/>
    </row>
    <row r="561" spans="1:44" ht="16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S561" s="3"/>
      <c r="T561" s="3"/>
      <c r="U561" s="3"/>
      <c r="V561" s="3"/>
      <c r="W561" s="3"/>
      <c r="X561" s="3"/>
      <c r="Y561" s="3"/>
      <c r="Z561" s="3"/>
      <c r="AB561" s="3"/>
      <c r="AC561" s="3"/>
      <c r="AD561" s="3"/>
      <c r="AE561" s="3"/>
      <c r="AF561" s="3"/>
      <c r="AG561" s="3"/>
      <c r="AH561" s="3"/>
      <c r="AI561" s="3"/>
      <c r="AK561" s="3"/>
      <c r="AL561" s="3"/>
      <c r="AM561" s="3"/>
      <c r="AN561" s="3"/>
      <c r="AO561" s="3"/>
      <c r="AP561" s="3"/>
      <c r="AQ561" s="3"/>
      <c r="AR561" s="3"/>
    </row>
    <row r="562" spans="1:44" ht="16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S562" s="3"/>
      <c r="T562" s="3"/>
      <c r="U562" s="3"/>
      <c r="V562" s="3"/>
      <c r="W562" s="3"/>
      <c r="X562" s="3"/>
      <c r="Y562" s="3"/>
      <c r="Z562" s="3"/>
      <c r="AB562" s="3"/>
      <c r="AC562" s="3"/>
      <c r="AD562" s="3"/>
      <c r="AE562" s="3"/>
      <c r="AF562" s="3"/>
      <c r="AG562" s="3"/>
      <c r="AH562" s="3"/>
      <c r="AI562" s="3"/>
      <c r="AK562" s="3"/>
      <c r="AL562" s="3"/>
      <c r="AM562" s="3"/>
      <c r="AN562" s="3"/>
      <c r="AO562" s="3"/>
      <c r="AP562" s="3"/>
      <c r="AQ562" s="3"/>
      <c r="AR562" s="3"/>
    </row>
    <row r="563" spans="1:44" ht="16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S563" s="3"/>
      <c r="T563" s="3"/>
      <c r="U563" s="3"/>
      <c r="V563" s="3"/>
      <c r="W563" s="3"/>
      <c r="X563" s="3"/>
      <c r="Y563" s="3"/>
      <c r="Z563" s="3"/>
      <c r="AB563" s="3"/>
      <c r="AC563" s="3"/>
      <c r="AD563" s="3"/>
      <c r="AE563" s="3"/>
      <c r="AF563" s="3"/>
      <c r="AG563" s="3"/>
      <c r="AH563" s="3"/>
      <c r="AI563" s="3"/>
      <c r="AK563" s="3"/>
      <c r="AL563" s="3"/>
      <c r="AM563" s="3"/>
      <c r="AN563" s="3"/>
      <c r="AO563" s="3"/>
      <c r="AP563" s="3"/>
      <c r="AQ563" s="3"/>
      <c r="AR563" s="3"/>
    </row>
    <row r="564" spans="1:44" ht="16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S564" s="3"/>
      <c r="T564" s="3"/>
      <c r="U564" s="3"/>
      <c r="V564" s="3"/>
      <c r="W564" s="3"/>
      <c r="X564" s="3"/>
      <c r="Y564" s="3"/>
      <c r="Z564" s="3"/>
      <c r="AB564" s="3"/>
      <c r="AC564" s="3"/>
      <c r="AD564" s="3"/>
      <c r="AE564" s="3"/>
      <c r="AF564" s="3"/>
      <c r="AG564" s="3"/>
      <c r="AH564" s="3"/>
      <c r="AI564" s="3"/>
      <c r="AK564" s="3"/>
      <c r="AL564" s="3"/>
      <c r="AM564" s="3"/>
      <c r="AN564" s="3"/>
      <c r="AO564" s="3"/>
      <c r="AP564" s="3"/>
      <c r="AQ564" s="3"/>
      <c r="AR564" s="3"/>
    </row>
    <row r="565" spans="1:44" ht="16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S565" s="3"/>
      <c r="T565" s="3"/>
      <c r="U565" s="3"/>
      <c r="V565" s="3"/>
      <c r="W565" s="3"/>
      <c r="X565" s="3"/>
      <c r="Y565" s="3"/>
      <c r="Z565" s="3"/>
      <c r="AB565" s="3"/>
      <c r="AC565" s="3"/>
      <c r="AD565" s="3"/>
      <c r="AE565" s="3"/>
      <c r="AF565" s="3"/>
      <c r="AG565" s="3"/>
      <c r="AH565" s="3"/>
      <c r="AI565" s="3"/>
      <c r="AK565" s="3"/>
      <c r="AL565" s="3"/>
      <c r="AM565" s="3"/>
      <c r="AN565" s="3"/>
      <c r="AO565" s="3"/>
      <c r="AP565" s="3"/>
      <c r="AQ565" s="3"/>
      <c r="AR565" s="3"/>
    </row>
    <row r="566" spans="1:44" ht="16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S566" s="3"/>
      <c r="T566" s="3"/>
      <c r="U566" s="3"/>
      <c r="V566" s="3"/>
      <c r="W566" s="3"/>
      <c r="X566" s="3"/>
      <c r="Y566" s="3"/>
      <c r="Z566" s="3"/>
      <c r="AB566" s="3"/>
      <c r="AC566" s="3"/>
      <c r="AD566" s="3"/>
      <c r="AE566" s="3"/>
      <c r="AF566" s="3"/>
      <c r="AG566" s="3"/>
      <c r="AH566" s="3"/>
      <c r="AI566" s="3"/>
      <c r="AK566" s="3"/>
      <c r="AL566" s="3"/>
      <c r="AM566" s="3"/>
      <c r="AN566" s="3"/>
      <c r="AO566" s="3"/>
      <c r="AP566" s="3"/>
      <c r="AQ566" s="3"/>
      <c r="AR566" s="3"/>
    </row>
    <row r="567" spans="1:44" ht="16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S567" s="3"/>
      <c r="T567" s="3"/>
      <c r="U567" s="3"/>
      <c r="V567" s="3"/>
      <c r="W567" s="3"/>
      <c r="X567" s="3"/>
      <c r="Y567" s="3"/>
      <c r="Z567" s="3"/>
      <c r="AB567" s="3"/>
      <c r="AC567" s="3"/>
      <c r="AD567" s="3"/>
      <c r="AE567" s="3"/>
      <c r="AF567" s="3"/>
      <c r="AG567" s="3"/>
      <c r="AH567" s="3"/>
      <c r="AI567" s="3"/>
      <c r="AK567" s="3"/>
      <c r="AL567" s="3"/>
      <c r="AM567" s="3"/>
      <c r="AN567" s="3"/>
      <c r="AO567" s="3"/>
      <c r="AP567" s="3"/>
      <c r="AQ567" s="3"/>
      <c r="AR567" s="3"/>
    </row>
    <row r="568" spans="1:44" ht="16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S568" s="3"/>
      <c r="T568" s="3"/>
      <c r="U568" s="3"/>
      <c r="V568" s="3"/>
      <c r="W568" s="3"/>
      <c r="X568" s="3"/>
      <c r="Y568" s="3"/>
      <c r="Z568" s="3"/>
      <c r="AB568" s="3"/>
      <c r="AC568" s="3"/>
      <c r="AD568" s="3"/>
      <c r="AE568" s="3"/>
      <c r="AF568" s="3"/>
      <c r="AG568" s="3"/>
      <c r="AH568" s="3"/>
      <c r="AI568" s="3"/>
      <c r="AK568" s="3"/>
      <c r="AL568" s="3"/>
      <c r="AM568" s="3"/>
      <c r="AN568" s="3"/>
      <c r="AO568" s="3"/>
      <c r="AP568" s="3"/>
      <c r="AQ568" s="3"/>
      <c r="AR568" s="3"/>
    </row>
    <row r="569" spans="1:44" ht="16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S569" s="3"/>
      <c r="T569" s="3"/>
      <c r="U569" s="3"/>
      <c r="V569" s="3"/>
      <c r="W569" s="3"/>
      <c r="X569" s="3"/>
      <c r="Y569" s="3"/>
      <c r="Z569" s="3"/>
      <c r="AB569" s="3"/>
      <c r="AC569" s="3"/>
      <c r="AD569" s="3"/>
      <c r="AE569" s="3"/>
      <c r="AF569" s="3"/>
      <c r="AG569" s="3"/>
      <c r="AH569" s="3"/>
      <c r="AI569" s="3"/>
      <c r="AK569" s="3"/>
      <c r="AL569" s="3"/>
      <c r="AM569" s="3"/>
      <c r="AN569" s="3"/>
      <c r="AO569" s="3"/>
      <c r="AP569" s="3"/>
      <c r="AQ569" s="3"/>
      <c r="AR569" s="3"/>
    </row>
    <row r="570" spans="1:44" ht="16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S570" s="3"/>
      <c r="T570" s="3"/>
      <c r="U570" s="3"/>
      <c r="V570" s="3"/>
      <c r="W570" s="3"/>
      <c r="X570" s="3"/>
      <c r="Y570" s="3"/>
      <c r="Z570" s="3"/>
      <c r="AB570" s="3"/>
      <c r="AC570" s="3"/>
      <c r="AD570" s="3"/>
      <c r="AE570" s="3"/>
      <c r="AF570" s="3"/>
      <c r="AG570" s="3"/>
      <c r="AH570" s="3"/>
      <c r="AI570" s="3"/>
      <c r="AK570" s="3"/>
      <c r="AL570" s="3"/>
      <c r="AM570" s="3"/>
      <c r="AN570" s="3"/>
      <c r="AO570" s="3"/>
      <c r="AP570" s="3"/>
      <c r="AQ570" s="3"/>
      <c r="AR570" s="3"/>
    </row>
    <row r="571" spans="1:44" ht="16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S571" s="3"/>
      <c r="T571" s="3"/>
      <c r="U571" s="3"/>
      <c r="V571" s="3"/>
      <c r="W571" s="3"/>
      <c r="X571" s="3"/>
      <c r="Y571" s="3"/>
      <c r="Z571" s="3"/>
      <c r="AB571" s="3"/>
      <c r="AC571" s="3"/>
      <c r="AD571" s="3"/>
      <c r="AE571" s="3"/>
      <c r="AF571" s="3"/>
      <c r="AG571" s="3"/>
      <c r="AH571" s="3"/>
      <c r="AI571" s="3"/>
      <c r="AK571" s="3"/>
      <c r="AL571" s="3"/>
      <c r="AM571" s="3"/>
      <c r="AN571" s="3"/>
      <c r="AO571" s="3"/>
      <c r="AP571" s="3"/>
      <c r="AQ571" s="3"/>
      <c r="AR571" s="3"/>
    </row>
    <row r="572" spans="1:44" ht="16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S572" s="3"/>
      <c r="T572" s="3"/>
      <c r="U572" s="3"/>
      <c r="V572" s="3"/>
      <c r="W572" s="3"/>
      <c r="X572" s="3"/>
      <c r="Y572" s="3"/>
      <c r="Z572" s="3"/>
      <c r="AB572" s="3"/>
      <c r="AC572" s="3"/>
      <c r="AD572" s="3"/>
      <c r="AE572" s="3"/>
      <c r="AF572" s="3"/>
      <c r="AG572" s="3"/>
      <c r="AH572" s="3"/>
      <c r="AI572" s="3"/>
      <c r="AK572" s="3"/>
      <c r="AL572" s="3"/>
      <c r="AM572" s="3"/>
      <c r="AN572" s="3"/>
      <c r="AO572" s="3"/>
      <c r="AP572" s="3"/>
      <c r="AQ572" s="3"/>
      <c r="AR572" s="3"/>
    </row>
    <row r="573" spans="1:44" ht="16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S573" s="3"/>
      <c r="T573" s="3"/>
      <c r="U573" s="3"/>
      <c r="V573" s="3"/>
      <c r="W573" s="3"/>
      <c r="X573" s="3"/>
      <c r="Y573" s="3"/>
      <c r="Z573" s="3"/>
      <c r="AB573" s="3"/>
      <c r="AC573" s="3"/>
      <c r="AD573" s="3"/>
      <c r="AE573" s="3"/>
      <c r="AF573" s="3"/>
      <c r="AG573" s="3"/>
      <c r="AH573" s="3"/>
      <c r="AI573" s="3"/>
      <c r="AK573" s="3"/>
      <c r="AL573" s="3"/>
      <c r="AM573" s="3"/>
      <c r="AN573" s="3"/>
      <c r="AO573" s="3"/>
      <c r="AP573" s="3"/>
      <c r="AQ573" s="3"/>
      <c r="AR573" s="3"/>
    </row>
    <row r="574" spans="1:44" ht="16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S574" s="3"/>
      <c r="T574" s="3"/>
      <c r="U574" s="3"/>
      <c r="V574" s="3"/>
      <c r="W574" s="3"/>
      <c r="X574" s="3"/>
      <c r="Y574" s="3"/>
      <c r="Z574" s="3"/>
      <c r="AB574" s="3"/>
      <c r="AC574" s="3"/>
      <c r="AD574" s="3"/>
      <c r="AE574" s="3"/>
      <c r="AF574" s="3"/>
      <c r="AG574" s="3"/>
      <c r="AH574" s="3"/>
      <c r="AI574" s="3"/>
      <c r="AK574" s="3"/>
      <c r="AL574" s="3"/>
      <c r="AM574" s="3"/>
      <c r="AN574" s="3"/>
      <c r="AO574" s="3"/>
      <c r="AP574" s="3"/>
      <c r="AQ574" s="3"/>
      <c r="AR574" s="3"/>
    </row>
    <row r="575" spans="1:44" ht="16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S575" s="3"/>
      <c r="T575" s="3"/>
      <c r="U575" s="3"/>
      <c r="V575" s="3"/>
      <c r="W575" s="3"/>
      <c r="X575" s="3"/>
      <c r="Y575" s="3"/>
      <c r="Z575" s="3"/>
      <c r="AB575" s="3"/>
      <c r="AC575" s="3"/>
      <c r="AD575" s="3"/>
      <c r="AE575" s="3"/>
      <c r="AF575" s="3"/>
      <c r="AG575" s="3"/>
      <c r="AH575" s="3"/>
      <c r="AI575" s="3"/>
      <c r="AK575" s="3"/>
      <c r="AL575" s="3"/>
      <c r="AM575" s="3"/>
      <c r="AN575" s="3"/>
      <c r="AO575" s="3"/>
      <c r="AP575" s="3"/>
      <c r="AQ575" s="3"/>
      <c r="AR575" s="3"/>
    </row>
    <row r="576" spans="1:44" ht="16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S576" s="3"/>
      <c r="T576" s="3"/>
      <c r="U576" s="3"/>
      <c r="V576" s="3"/>
      <c r="W576" s="3"/>
      <c r="X576" s="3"/>
      <c r="Y576" s="3"/>
      <c r="Z576" s="3"/>
      <c r="AB576" s="3"/>
      <c r="AC576" s="3"/>
      <c r="AD576" s="3"/>
      <c r="AE576" s="3"/>
      <c r="AF576" s="3"/>
      <c r="AG576" s="3"/>
      <c r="AH576" s="3"/>
      <c r="AI576" s="3"/>
      <c r="AK576" s="3"/>
      <c r="AL576" s="3"/>
      <c r="AM576" s="3"/>
      <c r="AN576" s="3"/>
      <c r="AO576" s="3"/>
      <c r="AP576" s="3"/>
      <c r="AQ576" s="3"/>
      <c r="AR576" s="3"/>
    </row>
    <row r="577" spans="1:44" ht="16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S577" s="3"/>
      <c r="T577" s="3"/>
      <c r="U577" s="3"/>
      <c r="V577" s="3"/>
      <c r="W577" s="3"/>
      <c r="X577" s="3"/>
      <c r="Y577" s="3"/>
      <c r="Z577" s="3"/>
      <c r="AB577" s="3"/>
      <c r="AC577" s="3"/>
      <c r="AD577" s="3"/>
      <c r="AE577" s="3"/>
      <c r="AF577" s="3"/>
      <c r="AG577" s="3"/>
      <c r="AH577" s="3"/>
      <c r="AI577" s="3"/>
      <c r="AK577" s="3"/>
      <c r="AL577" s="3"/>
      <c r="AM577" s="3"/>
      <c r="AN577" s="3"/>
      <c r="AO577" s="3"/>
      <c r="AP577" s="3"/>
      <c r="AQ577" s="3"/>
      <c r="AR577" s="3"/>
    </row>
    <row r="578" spans="1:44" ht="16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S578" s="3"/>
      <c r="T578" s="3"/>
      <c r="U578" s="3"/>
      <c r="V578" s="3"/>
      <c r="W578" s="3"/>
      <c r="X578" s="3"/>
      <c r="Y578" s="3"/>
      <c r="Z578" s="3"/>
      <c r="AB578" s="3"/>
      <c r="AC578" s="3"/>
      <c r="AD578" s="3"/>
      <c r="AE578" s="3"/>
      <c r="AF578" s="3"/>
      <c r="AG578" s="3"/>
      <c r="AH578" s="3"/>
      <c r="AI578" s="3"/>
      <c r="AK578" s="3"/>
      <c r="AL578" s="3"/>
      <c r="AM578" s="3"/>
      <c r="AN578" s="3"/>
      <c r="AO578" s="3"/>
      <c r="AP578" s="3"/>
      <c r="AQ578" s="3"/>
      <c r="AR578" s="3"/>
    </row>
    <row r="579" spans="1:44" ht="16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S579" s="3"/>
      <c r="T579" s="3"/>
      <c r="U579" s="3"/>
      <c r="V579" s="3"/>
      <c r="W579" s="3"/>
      <c r="X579" s="3"/>
      <c r="Y579" s="3"/>
      <c r="Z579" s="3"/>
      <c r="AB579" s="3"/>
      <c r="AC579" s="3"/>
      <c r="AD579" s="3"/>
      <c r="AE579" s="3"/>
      <c r="AF579" s="3"/>
      <c r="AG579" s="3"/>
      <c r="AH579" s="3"/>
      <c r="AI579" s="3"/>
      <c r="AK579" s="3"/>
      <c r="AL579" s="3"/>
      <c r="AM579" s="3"/>
      <c r="AN579" s="3"/>
      <c r="AO579" s="3"/>
      <c r="AP579" s="3"/>
      <c r="AQ579" s="3"/>
      <c r="AR579" s="3"/>
    </row>
    <row r="580" spans="1:44" ht="16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S580" s="3"/>
      <c r="T580" s="3"/>
      <c r="U580" s="3"/>
      <c r="V580" s="3"/>
      <c r="W580" s="3"/>
      <c r="X580" s="3"/>
      <c r="Y580" s="3"/>
      <c r="Z580" s="3"/>
      <c r="AB580" s="3"/>
      <c r="AC580" s="3"/>
      <c r="AD580" s="3"/>
      <c r="AE580" s="3"/>
      <c r="AF580" s="3"/>
      <c r="AG580" s="3"/>
      <c r="AH580" s="3"/>
      <c r="AI580" s="3"/>
      <c r="AK580" s="3"/>
      <c r="AL580" s="3"/>
      <c r="AM580" s="3"/>
      <c r="AN580" s="3"/>
      <c r="AO580" s="3"/>
      <c r="AP580" s="3"/>
      <c r="AQ580" s="3"/>
      <c r="AR580" s="3"/>
    </row>
    <row r="581" spans="1:44" ht="16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S581" s="3"/>
      <c r="T581" s="3"/>
      <c r="U581" s="3"/>
      <c r="V581" s="3"/>
      <c r="W581" s="3"/>
      <c r="X581" s="3"/>
      <c r="Y581" s="3"/>
      <c r="Z581" s="3"/>
      <c r="AB581" s="3"/>
      <c r="AC581" s="3"/>
      <c r="AD581" s="3"/>
      <c r="AE581" s="3"/>
      <c r="AF581" s="3"/>
      <c r="AG581" s="3"/>
      <c r="AH581" s="3"/>
      <c r="AI581" s="3"/>
      <c r="AK581" s="3"/>
      <c r="AL581" s="3"/>
      <c r="AM581" s="3"/>
      <c r="AN581" s="3"/>
      <c r="AO581" s="3"/>
      <c r="AP581" s="3"/>
      <c r="AQ581" s="3"/>
      <c r="AR581" s="3"/>
    </row>
    <row r="582" spans="1:44" ht="16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S582" s="3"/>
      <c r="T582" s="3"/>
      <c r="U582" s="3"/>
      <c r="V582" s="3"/>
      <c r="W582" s="3"/>
      <c r="X582" s="3"/>
      <c r="Y582" s="3"/>
      <c r="Z582" s="3"/>
      <c r="AB582" s="3"/>
      <c r="AC582" s="3"/>
      <c r="AD582" s="3"/>
      <c r="AE582" s="3"/>
      <c r="AF582" s="3"/>
      <c r="AG582" s="3"/>
      <c r="AH582" s="3"/>
      <c r="AI582" s="3"/>
      <c r="AK582" s="3"/>
      <c r="AL582" s="3"/>
      <c r="AM582" s="3"/>
      <c r="AN582" s="3"/>
      <c r="AO582" s="3"/>
      <c r="AP582" s="3"/>
      <c r="AQ582" s="3"/>
      <c r="AR582" s="3"/>
    </row>
    <row r="583" spans="1:44" ht="16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S583" s="3"/>
      <c r="T583" s="3"/>
      <c r="U583" s="3"/>
      <c r="V583" s="3"/>
      <c r="W583" s="3"/>
      <c r="X583" s="3"/>
      <c r="Y583" s="3"/>
      <c r="Z583" s="3"/>
      <c r="AB583" s="3"/>
      <c r="AC583" s="3"/>
      <c r="AD583" s="3"/>
      <c r="AE583" s="3"/>
      <c r="AF583" s="3"/>
      <c r="AG583" s="3"/>
      <c r="AH583" s="3"/>
      <c r="AI583" s="3"/>
      <c r="AK583" s="3"/>
      <c r="AL583" s="3"/>
      <c r="AM583" s="3"/>
      <c r="AN583" s="3"/>
      <c r="AO583" s="3"/>
      <c r="AP583" s="3"/>
      <c r="AQ583" s="3"/>
      <c r="AR583" s="3"/>
    </row>
    <row r="584" spans="1:44" ht="16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S584" s="3"/>
      <c r="T584" s="3"/>
      <c r="U584" s="3"/>
      <c r="V584" s="3"/>
      <c r="W584" s="3"/>
      <c r="X584" s="3"/>
      <c r="Y584" s="3"/>
      <c r="Z584" s="3"/>
      <c r="AB584" s="3"/>
      <c r="AC584" s="3"/>
      <c r="AD584" s="3"/>
      <c r="AE584" s="3"/>
      <c r="AF584" s="3"/>
      <c r="AG584" s="3"/>
      <c r="AH584" s="3"/>
      <c r="AI584" s="3"/>
      <c r="AK584" s="3"/>
      <c r="AL584" s="3"/>
      <c r="AM584" s="3"/>
      <c r="AN584" s="3"/>
      <c r="AO584" s="3"/>
      <c r="AP584" s="3"/>
      <c r="AQ584" s="3"/>
      <c r="AR584" s="3"/>
    </row>
    <row r="585" spans="1:44" ht="16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S585" s="3"/>
      <c r="T585" s="3"/>
      <c r="U585" s="3"/>
      <c r="V585" s="3"/>
      <c r="W585" s="3"/>
      <c r="X585" s="3"/>
      <c r="Y585" s="3"/>
      <c r="Z585" s="3"/>
      <c r="AB585" s="3"/>
      <c r="AC585" s="3"/>
      <c r="AD585" s="3"/>
      <c r="AE585" s="3"/>
      <c r="AF585" s="3"/>
      <c r="AG585" s="3"/>
      <c r="AH585" s="3"/>
      <c r="AI585" s="3"/>
      <c r="AK585" s="3"/>
      <c r="AL585" s="3"/>
      <c r="AM585" s="3"/>
      <c r="AN585" s="3"/>
      <c r="AO585" s="3"/>
      <c r="AP585" s="3"/>
      <c r="AQ585" s="3"/>
      <c r="AR585" s="3"/>
    </row>
    <row r="586" spans="1:44" ht="16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S586" s="3"/>
      <c r="T586" s="3"/>
      <c r="U586" s="3"/>
      <c r="V586" s="3"/>
      <c r="W586" s="3"/>
      <c r="X586" s="3"/>
      <c r="Y586" s="3"/>
      <c r="Z586" s="3"/>
      <c r="AB586" s="3"/>
      <c r="AC586" s="3"/>
      <c r="AD586" s="3"/>
      <c r="AE586" s="3"/>
      <c r="AF586" s="3"/>
      <c r="AG586" s="3"/>
      <c r="AH586" s="3"/>
      <c r="AI586" s="3"/>
      <c r="AK586" s="3"/>
      <c r="AL586" s="3"/>
      <c r="AM586" s="3"/>
      <c r="AN586" s="3"/>
      <c r="AO586" s="3"/>
      <c r="AP586" s="3"/>
      <c r="AQ586" s="3"/>
      <c r="AR586" s="3"/>
    </row>
    <row r="587" spans="1:44" ht="16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S587" s="3"/>
      <c r="T587" s="3"/>
      <c r="U587" s="3"/>
      <c r="V587" s="3"/>
      <c r="W587" s="3"/>
      <c r="X587" s="3"/>
      <c r="Y587" s="3"/>
      <c r="Z587" s="3"/>
      <c r="AB587" s="3"/>
      <c r="AC587" s="3"/>
      <c r="AD587" s="3"/>
      <c r="AE587" s="3"/>
      <c r="AF587" s="3"/>
      <c r="AG587" s="3"/>
      <c r="AH587" s="3"/>
      <c r="AI587" s="3"/>
      <c r="AK587" s="3"/>
      <c r="AL587" s="3"/>
      <c r="AM587" s="3"/>
      <c r="AN587" s="3"/>
      <c r="AO587" s="3"/>
      <c r="AP587" s="3"/>
      <c r="AQ587" s="3"/>
      <c r="AR587" s="3"/>
    </row>
    <row r="588" spans="1:44" ht="16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S588" s="3"/>
      <c r="T588" s="3"/>
      <c r="U588" s="3"/>
      <c r="V588" s="3"/>
      <c r="W588" s="3"/>
      <c r="X588" s="3"/>
      <c r="Y588" s="3"/>
      <c r="Z588" s="3"/>
      <c r="AB588" s="3"/>
      <c r="AC588" s="3"/>
      <c r="AD588" s="3"/>
      <c r="AE588" s="3"/>
      <c r="AF588" s="3"/>
      <c r="AG588" s="3"/>
      <c r="AH588" s="3"/>
      <c r="AI588" s="3"/>
      <c r="AK588" s="3"/>
      <c r="AL588" s="3"/>
      <c r="AM588" s="3"/>
      <c r="AN588" s="3"/>
      <c r="AO588" s="3"/>
      <c r="AP588" s="3"/>
      <c r="AQ588" s="3"/>
      <c r="AR588" s="3"/>
    </row>
    <row r="589" spans="1:44" ht="16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S589" s="3"/>
      <c r="T589" s="3"/>
      <c r="U589" s="3"/>
      <c r="V589" s="3"/>
      <c r="W589" s="3"/>
      <c r="X589" s="3"/>
      <c r="Y589" s="3"/>
      <c r="Z589" s="3"/>
      <c r="AB589" s="3"/>
      <c r="AC589" s="3"/>
      <c r="AD589" s="3"/>
      <c r="AE589" s="3"/>
      <c r="AF589" s="3"/>
      <c r="AG589" s="3"/>
      <c r="AH589" s="3"/>
      <c r="AI589" s="3"/>
      <c r="AK589" s="3"/>
      <c r="AL589" s="3"/>
      <c r="AM589" s="3"/>
      <c r="AN589" s="3"/>
      <c r="AO589" s="3"/>
      <c r="AP589" s="3"/>
      <c r="AQ589" s="3"/>
      <c r="AR589" s="3"/>
    </row>
    <row r="590" spans="1:44" ht="16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S590" s="3"/>
      <c r="T590" s="3"/>
      <c r="U590" s="3"/>
      <c r="V590" s="3"/>
      <c r="W590" s="3"/>
      <c r="X590" s="3"/>
      <c r="Y590" s="3"/>
      <c r="Z590" s="3"/>
      <c r="AB590" s="3"/>
      <c r="AC590" s="3"/>
      <c r="AD590" s="3"/>
      <c r="AE590" s="3"/>
      <c r="AF590" s="3"/>
      <c r="AG590" s="3"/>
      <c r="AH590" s="3"/>
      <c r="AI590" s="3"/>
      <c r="AK590" s="3"/>
      <c r="AL590" s="3"/>
      <c r="AM590" s="3"/>
      <c r="AN590" s="3"/>
      <c r="AO590" s="3"/>
      <c r="AP590" s="3"/>
      <c r="AQ590" s="3"/>
      <c r="AR590" s="3"/>
    </row>
    <row r="591" spans="1:44" ht="16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S591" s="3"/>
      <c r="T591" s="3"/>
      <c r="U591" s="3"/>
      <c r="V591" s="3"/>
      <c r="W591" s="3"/>
      <c r="X591" s="3"/>
      <c r="Y591" s="3"/>
      <c r="Z591" s="3"/>
      <c r="AB591" s="3"/>
      <c r="AC591" s="3"/>
      <c r="AD591" s="3"/>
      <c r="AE591" s="3"/>
      <c r="AF591" s="3"/>
      <c r="AG591" s="3"/>
      <c r="AH591" s="3"/>
      <c r="AI591" s="3"/>
      <c r="AK591" s="3"/>
      <c r="AL591" s="3"/>
      <c r="AM591" s="3"/>
      <c r="AN591" s="3"/>
      <c r="AO591" s="3"/>
      <c r="AP591" s="3"/>
      <c r="AQ591" s="3"/>
      <c r="AR591" s="3"/>
    </row>
    <row r="592" spans="1:44" ht="16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S592" s="3"/>
      <c r="T592" s="3"/>
      <c r="U592" s="3"/>
      <c r="V592" s="3"/>
      <c r="W592" s="3"/>
      <c r="X592" s="3"/>
      <c r="Y592" s="3"/>
      <c r="Z592" s="3"/>
      <c r="AB592" s="3"/>
      <c r="AC592" s="3"/>
      <c r="AD592" s="3"/>
      <c r="AE592" s="3"/>
      <c r="AF592" s="3"/>
      <c r="AG592" s="3"/>
      <c r="AH592" s="3"/>
      <c r="AI592" s="3"/>
      <c r="AK592" s="3"/>
      <c r="AL592" s="3"/>
      <c r="AM592" s="3"/>
      <c r="AN592" s="3"/>
      <c r="AO592" s="3"/>
      <c r="AP592" s="3"/>
      <c r="AQ592" s="3"/>
      <c r="AR592" s="3"/>
    </row>
    <row r="593" spans="1:44" ht="16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S593" s="3"/>
      <c r="T593" s="3"/>
      <c r="U593" s="3"/>
      <c r="V593" s="3"/>
      <c r="W593" s="3"/>
      <c r="X593" s="3"/>
      <c r="Y593" s="3"/>
      <c r="Z593" s="3"/>
      <c r="AB593" s="3"/>
      <c r="AC593" s="3"/>
      <c r="AD593" s="3"/>
      <c r="AE593" s="3"/>
      <c r="AF593" s="3"/>
      <c r="AG593" s="3"/>
      <c r="AH593" s="3"/>
      <c r="AI593" s="3"/>
      <c r="AK593" s="3"/>
      <c r="AL593" s="3"/>
      <c r="AM593" s="3"/>
      <c r="AN593" s="3"/>
      <c r="AO593" s="3"/>
      <c r="AP593" s="3"/>
      <c r="AQ593" s="3"/>
      <c r="AR593" s="3"/>
    </row>
    <row r="594" spans="1:44" ht="16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S594" s="3"/>
      <c r="T594" s="3"/>
      <c r="U594" s="3"/>
      <c r="V594" s="3"/>
      <c r="W594" s="3"/>
      <c r="X594" s="3"/>
      <c r="Y594" s="3"/>
      <c r="Z594" s="3"/>
      <c r="AB594" s="3"/>
      <c r="AC594" s="3"/>
      <c r="AD594" s="3"/>
      <c r="AE594" s="3"/>
      <c r="AF594" s="3"/>
      <c r="AG594" s="3"/>
      <c r="AH594" s="3"/>
      <c r="AI594" s="3"/>
      <c r="AK594" s="3"/>
      <c r="AL594" s="3"/>
      <c r="AM594" s="3"/>
      <c r="AN594" s="3"/>
      <c r="AO594" s="3"/>
      <c r="AP594" s="3"/>
      <c r="AQ594" s="3"/>
      <c r="AR594" s="3"/>
    </row>
    <row r="595" spans="1:44" ht="16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S595" s="3"/>
      <c r="T595" s="3"/>
      <c r="U595" s="3"/>
      <c r="V595" s="3"/>
      <c r="W595" s="3"/>
      <c r="X595" s="3"/>
      <c r="Y595" s="3"/>
      <c r="Z595" s="3"/>
      <c r="AB595" s="3"/>
      <c r="AC595" s="3"/>
      <c r="AD595" s="3"/>
      <c r="AE595" s="3"/>
      <c r="AF595" s="3"/>
      <c r="AG595" s="3"/>
      <c r="AH595" s="3"/>
      <c r="AI595" s="3"/>
      <c r="AK595" s="3"/>
      <c r="AL595" s="3"/>
      <c r="AM595" s="3"/>
      <c r="AN595" s="3"/>
      <c r="AO595" s="3"/>
      <c r="AP595" s="3"/>
      <c r="AQ595" s="3"/>
      <c r="AR595" s="3"/>
    </row>
    <row r="596" spans="1:44" ht="16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S596" s="3"/>
      <c r="T596" s="3"/>
      <c r="U596" s="3"/>
      <c r="V596" s="3"/>
      <c r="W596" s="3"/>
      <c r="X596" s="3"/>
      <c r="Y596" s="3"/>
      <c r="Z596" s="3"/>
      <c r="AB596" s="3"/>
      <c r="AC596" s="3"/>
      <c r="AD596" s="3"/>
      <c r="AE596" s="3"/>
      <c r="AF596" s="3"/>
      <c r="AG596" s="3"/>
      <c r="AH596" s="3"/>
      <c r="AI596" s="3"/>
      <c r="AK596" s="3"/>
      <c r="AL596" s="3"/>
      <c r="AM596" s="3"/>
      <c r="AN596" s="3"/>
      <c r="AO596" s="3"/>
      <c r="AP596" s="3"/>
      <c r="AQ596" s="3"/>
      <c r="AR596" s="3"/>
    </row>
    <row r="597" spans="1:44" ht="16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S597" s="3"/>
      <c r="T597" s="3"/>
      <c r="U597" s="3"/>
      <c r="V597" s="3"/>
      <c r="W597" s="3"/>
      <c r="X597" s="3"/>
      <c r="Y597" s="3"/>
      <c r="Z597" s="3"/>
      <c r="AB597" s="3"/>
      <c r="AC597" s="3"/>
      <c r="AD597" s="3"/>
      <c r="AE597" s="3"/>
      <c r="AF597" s="3"/>
      <c r="AG597" s="3"/>
      <c r="AH597" s="3"/>
      <c r="AI597" s="3"/>
      <c r="AK597" s="3"/>
      <c r="AL597" s="3"/>
      <c r="AM597" s="3"/>
      <c r="AN597" s="3"/>
      <c r="AO597" s="3"/>
      <c r="AP597" s="3"/>
      <c r="AQ597" s="3"/>
      <c r="AR597" s="3"/>
    </row>
    <row r="598" spans="1:44" ht="16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S598" s="3"/>
      <c r="T598" s="3"/>
      <c r="U598" s="3"/>
      <c r="V598" s="3"/>
      <c r="W598" s="3"/>
      <c r="X598" s="3"/>
      <c r="Y598" s="3"/>
      <c r="Z598" s="3"/>
      <c r="AB598" s="3"/>
      <c r="AC598" s="3"/>
      <c r="AD598" s="3"/>
      <c r="AE598" s="3"/>
      <c r="AF598" s="3"/>
      <c r="AG598" s="3"/>
      <c r="AH598" s="3"/>
      <c r="AI598" s="3"/>
      <c r="AK598" s="3"/>
      <c r="AL598" s="3"/>
      <c r="AM598" s="3"/>
      <c r="AN598" s="3"/>
      <c r="AO598" s="3"/>
      <c r="AP598" s="3"/>
      <c r="AQ598" s="3"/>
      <c r="AR598" s="3"/>
    </row>
    <row r="599" spans="1:44" ht="16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S599" s="3"/>
      <c r="T599" s="3"/>
      <c r="U599" s="3"/>
      <c r="V599" s="3"/>
      <c r="W599" s="3"/>
      <c r="X599" s="3"/>
      <c r="Y599" s="3"/>
      <c r="Z599" s="3"/>
      <c r="AB599" s="3"/>
      <c r="AC599" s="3"/>
      <c r="AD599" s="3"/>
      <c r="AE599" s="3"/>
      <c r="AF599" s="3"/>
      <c r="AG599" s="3"/>
      <c r="AH599" s="3"/>
      <c r="AI599" s="3"/>
      <c r="AK599" s="3"/>
      <c r="AL599" s="3"/>
      <c r="AM599" s="3"/>
      <c r="AN599" s="3"/>
      <c r="AO599" s="3"/>
      <c r="AP599" s="3"/>
      <c r="AQ599" s="3"/>
      <c r="AR599" s="3"/>
    </row>
    <row r="600" spans="1:44" ht="16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S600" s="3"/>
      <c r="T600" s="3"/>
      <c r="U600" s="3"/>
      <c r="V600" s="3"/>
      <c r="W600" s="3"/>
      <c r="X600" s="3"/>
      <c r="Y600" s="3"/>
      <c r="Z600" s="3"/>
      <c r="AB600" s="3"/>
      <c r="AC600" s="3"/>
      <c r="AD600" s="3"/>
      <c r="AE600" s="3"/>
      <c r="AF600" s="3"/>
      <c r="AG600" s="3"/>
      <c r="AH600" s="3"/>
      <c r="AI600" s="3"/>
      <c r="AK600" s="3"/>
      <c r="AL600" s="3"/>
      <c r="AM600" s="3"/>
      <c r="AN600" s="3"/>
      <c r="AO600" s="3"/>
      <c r="AP600" s="3"/>
      <c r="AQ600" s="3"/>
      <c r="AR600" s="3"/>
    </row>
    <row r="601" spans="1:44" ht="16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S601" s="3"/>
      <c r="T601" s="3"/>
      <c r="U601" s="3"/>
      <c r="V601" s="3"/>
      <c r="W601" s="3"/>
      <c r="X601" s="3"/>
      <c r="Y601" s="3"/>
      <c r="Z601" s="3"/>
      <c r="AB601" s="3"/>
      <c r="AC601" s="3"/>
      <c r="AD601" s="3"/>
      <c r="AE601" s="3"/>
      <c r="AF601" s="3"/>
      <c r="AG601" s="3"/>
      <c r="AH601" s="3"/>
      <c r="AI601" s="3"/>
      <c r="AK601" s="3"/>
      <c r="AL601" s="3"/>
      <c r="AM601" s="3"/>
      <c r="AN601" s="3"/>
      <c r="AO601" s="3"/>
      <c r="AP601" s="3"/>
      <c r="AQ601" s="3"/>
      <c r="AR601" s="3"/>
    </row>
    <row r="602" spans="1:44" ht="16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S602" s="3"/>
      <c r="T602" s="3"/>
      <c r="U602" s="3"/>
      <c r="V602" s="3"/>
      <c r="W602" s="3"/>
      <c r="X602" s="3"/>
      <c r="Y602" s="3"/>
      <c r="Z602" s="3"/>
      <c r="AB602" s="3"/>
      <c r="AC602" s="3"/>
      <c r="AD602" s="3"/>
      <c r="AE602" s="3"/>
      <c r="AF602" s="3"/>
      <c r="AG602" s="3"/>
      <c r="AH602" s="3"/>
      <c r="AI602" s="3"/>
      <c r="AK602" s="3"/>
      <c r="AL602" s="3"/>
      <c r="AM602" s="3"/>
      <c r="AN602" s="3"/>
      <c r="AO602" s="3"/>
      <c r="AP602" s="3"/>
      <c r="AQ602" s="3"/>
      <c r="AR602" s="3"/>
    </row>
    <row r="603" spans="1:44" ht="16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S603" s="3"/>
      <c r="T603" s="3"/>
      <c r="U603" s="3"/>
      <c r="V603" s="3"/>
      <c r="W603" s="3"/>
      <c r="X603" s="3"/>
      <c r="Y603" s="3"/>
      <c r="Z603" s="3"/>
      <c r="AB603" s="3"/>
      <c r="AC603" s="3"/>
      <c r="AD603" s="3"/>
      <c r="AE603" s="3"/>
      <c r="AF603" s="3"/>
      <c r="AG603" s="3"/>
      <c r="AH603" s="3"/>
      <c r="AI603" s="3"/>
      <c r="AK603" s="3"/>
      <c r="AL603" s="3"/>
      <c r="AM603" s="3"/>
      <c r="AN603" s="3"/>
      <c r="AO603" s="3"/>
      <c r="AP603" s="3"/>
      <c r="AQ603" s="3"/>
      <c r="AR603" s="3"/>
    </row>
    <row r="604" spans="1:44" ht="16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S604" s="3"/>
      <c r="T604" s="3"/>
      <c r="U604" s="3"/>
      <c r="V604" s="3"/>
      <c r="W604" s="3"/>
      <c r="X604" s="3"/>
      <c r="Y604" s="3"/>
      <c r="Z604" s="3"/>
      <c r="AB604" s="3"/>
      <c r="AC604" s="3"/>
      <c r="AD604" s="3"/>
      <c r="AE604" s="3"/>
      <c r="AF604" s="3"/>
      <c r="AG604" s="3"/>
      <c r="AH604" s="3"/>
      <c r="AI604" s="3"/>
      <c r="AK604" s="3"/>
      <c r="AL604" s="3"/>
      <c r="AM604" s="3"/>
      <c r="AN604" s="3"/>
      <c r="AO604" s="3"/>
      <c r="AP604" s="3"/>
      <c r="AQ604" s="3"/>
      <c r="AR604" s="3"/>
    </row>
    <row r="605" spans="1:44" ht="16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S605" s="3"/>
      <c r="T605" s="3"/>
      <c r="U605" s="3"/>
      <c r="V605" s="3"/>
      <c r="W605" s="3"/>
      <c r="X605" s="3"/>
      <c r="Y605" s="3"/>
      <c r="Z605" s="3"/>
      <c r="AB605" s="3"/>
      <c r="AC605" s="3"/>
      <c r="AD605" s="3"/>
      <c r="AE605" s="3"/>
      <c r="AF605" s="3"/>
      <c r="AG605" s="3"/>
      <c r="AH605" s="3"/>
      <c r="AI605" s="3"/>
      <c r="AK605" s="3"/>
      <c r="AL605" s="3"/>
      <c r="AM605" s="3"/>
      <c r="AN605" s="3"/>
      <c r="AO605" s="3"/>
      <c r="AP605" s="3"/>
      <c r="AQ605" s="3"/>
      <c r="AR605" s="3"/>
    </row>
    <row r="606" spans="1:44" ht="16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S606" s="3"/>
      <c r="T606" s="3"/>
      <c r="U606" s="3"/>
      <c r="V606" s="3"/>
      <c r="W606" s="3"/>
      <c r="X606" s="3"/>
      <c r="Y606" s="3"/>
      <c r="Z606" s="3"/>
      <c r="AB606" s="3"/>
      <c r="AC606" s="3"/>
      <c r="AD606" s="3"/>
      <c r="AE606" s="3"/>
      <c r="AF606" s="3"/>
      <c r="AG606" s="3"/>
      <c r="AH606" s="3"/>
      <c r="AI606" s="3"/>
      <c r="AK606" s="3"/>
      <c r="AL606" s="3"/>
      <c r="AM606" s="3"/>
      <c r="AN606" s="3"/>
      <c r="AO606" s="3"/>
      <c r="AP606" s="3"/>
      <c r="AQ606" s="3"/>
      <c r="AR606" s="3"/>
    </row>
    <row r="607" spans="1:44" ht="16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S607" s="3"/>
      <c r="T607" s="3"/>
      <c r="U607" s="3"/>
      <c r="V607" s="3"/>
      <c r="W607" s="3"/>
      <c r="X607" s="3"/>
      <c r="Y607" s="3"/>
      <c r="Z607" s="3"/>
      <c r="AB607" s="3"/>
      <c r="AC607" s="3"/>
      <c r="AD607" s="3"/>
      <c r="AE607" s="3"/>
      <c r="AF607" s="3"/>
      <c r="AG607" s="3"/>
      <c r="AH607" s="3"/>
      <c r="AI607" s="3"/>
      <c r="AK607" s="3"/>
      <c r="AL607" s="3"/>
      <c r="AM607" s="3"/>
      <c r="AN607" s="3"/>
      <c r="AO607" s="3"/>
      <c r="AP607" s="3"/>
      <c r="AQ607" s="3"/>
      <c r="AR607" s="3"/>
    </row>
    <row r="608" spans="1:44" ht="16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S608" s="3"/>
      <c r="T608" s="3"/>
      <c r="U608" s="3"/>
      <c r="V608" s="3"/>
      <c r="W608" s="3"/>
      <c r="X608" s="3"/>
      <c r="Y608" s="3"/>
      <c r="Z608" s="3"/>
      <c r="AB608" s="3"/>
      <c r="AC608" s="3"/>
      <c r="AD608" s="3"/>
      <c r="AE608" s="3"/>
      <c r="AF608" s="3"/>
      <c r="AG608" s="3"/>
      <c r="AH608" s="3"/>
      <c r="AI608" s="3"/>
      <c r="AK608" s="3"/>
      <c r="AL608" s="3"/>
      <c r="AM608" s="3"/>
      <c r="AN608" s="3"/>
      <c r="AO608" s="3"/>
      <c r="AP608" s="3"/>
      <c r="AQ608" s="3"/>
      <c r="AR608" s="3"/>
    </row>
    <row r="609" spans="1:44" ht="16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S609" s="3"/>
      <c r="T609" s="3"/>
      <c r="U609" s="3"/>
      <c r="V609" s="3"/>
      <c r="W609" s="3"/>
      <c r="X609" s="3"/>
      <c r="Y609" s="3"/>
      <c r="Z609" s="3"/>
      <c r="AB609" s="3"/>
      <c r="AC609" s="3"/>
      <c r="AD609" s="3"/>
      <c r="AE609" s="3"/>
      <c r="AF609" s="3"/>
      <c r="AG609" s="3"/>
      <c r="AH609" s="3"/>
      <c r="AI609" s="3"/>
      <c r="AK609" s="3"/>
      <c r="AL609" s="3"/>
      <c r="AM609" s="3"/>
      <c r="AN609" s="3"/>
      <c r="AO609" s="3"/>
      <c r="AP609" s="3"/>
      <c r="AQ609" s="3"/>
      <c r="AR609" s="3"/>
    </row>
    <row r="610" spans="1:44" ht="16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S610" s="3"/>
      <c r="T610" s="3"/>
      <c r="U610" s="3"/>
      <c r="V610" s="3"/>
      <c r="W610" s="3"/>
      <c r="X610" s="3"/>
      <c r="Y610" s="3"/>
      <c r="Z610" s="3"/>
      <c r="AB610" s="3"/>
      <c r="AC610" s="3"/>
      <c r="AD610" s="3"/>
      <c r="AE610" s="3"/>
      <c r="AF610" s="3"/>
      <c r="AG610" s="3"/>
      <c r="AH610" s="3"/>
      <c r="AI610" s="3"/>
      <c r="AK610" s="3"/>
      <c r="AL610" s="3"/>
      <c r="AM610" s="3"/>
      <c r="AN610" s="3"/>
      <c r="AO610" s="3"/>
      <c r="AP610" s="3"/>
      <c r="AQ610" s="3"/>
      <c r="AR610" s="3"/>
    </row>
    <row r="611" spans="1:44" ht="16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S611" s="3"/>
      <c r="T611" s="3"/>
      <c r="U611" s="3"/>
      <c r="V611" s="3"/>
      <c r="W611" s="3"/>
      <c r="X611" s="3"/>
      <c r="Y611" s="3"/>
      <c r="Z611" s="3"/>
      <c r="AB611" s="3"/>
      <c r="AC611" s="3"/>
      <c r="AD611" s="3"/>
      <c r="AE611" s="3"/>
      <c r="AF611" s="3"/>
      <c r="AG611" s="3"/>
      <c r="AH611" s="3"/>
      <c r="AI611" s="3"/>
      <c r="AK611" s="3"/>
      <c r="AL611" s="3"/>
      <c r="AM611" s="3"/>
      <c r="AN611" s="3"/>
      <c r="AO611" s="3"/>
      <c r="AP611" s="3"/>
      <c r="AQ611" s="3"/>
      <c r="AR611" s="3"/>
    </row>
    <row r="612" spans="1:44" ht="16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S612" s="3"/>
      <c r="T612" s="3"/>
      <c r="U612" s="3"/>
      <c r="V612" s="3"/>
      <c r="W612" s="3"/>
      <c r="X612" s="3"/>
      <c r="Y612" s="3"/>
      <c r="Z612" s="3"/>
      <c r="AB612" s="3"/>
      <c r="AC612" s="3"/>
      <c r="AD612" s="3"/>
      <c r="AE612" s="3"/>
      <c r="AF612" s="3"/>
      <c r="AG612" s="3"/>
      <c r="AH612" s="3"/>
      <c r="AI612" s="3"/>
      <c r="AK612" s="3"/>
      <c r="AL612" s="3"/>
      <c r="AM612" s="3"/>
      <c r="AN612" s="3"/>
      <c r="AO612" s="3"/>
      <c r="AP612" s="3"/>
      <c r="AQ612" s="3"/>
      <c r="AR612" s="3"/>
    </row>
    <row r="613" spans="1:44" ht="16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S613" s="3"/>
      <c r="T613" s="3"/>
      <c r="U613" s="3"/>
      <c r="V613" s="3"/>
      <c r="W613" s="3"/>
      <c r="X613" s="3"/>
      <c r="Y613" s="3"/>
      <c r="Z613" s="3"/>
      <c r="AB613" s="3"/>
      <c r="AC613" s="3"/>
      <c r="AD613" s="3"/>
      <c r="AE613" s="3"/>
      <c r="AF613" s="3"/>
      <c r="AG613" s="3"/>
      <c r="AH613" s="3"/>
      <c r="AI613" s="3"/>
      <c r="AK613" s="3"/>
      <c r="AL613" s="3"/>
      <c r="AM613" s="3"/>
      <c r="AN613" s="3"/>
      <c r="AO613" s="3"/>
      <c r="AP613" s="3"/>
      <c r="AQ613" s="3"/>
      <c r="AR613" s="3"/>
    </row>
    <row r="614" spans="1:44" ht="16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S614" s="3"/>
      <c r="T614" s="3"/>
      <c r="U614" s="3"/>
      <c r="V614" s="3"/>
      <c r="W614" s="3"/>
      <c r="X614" s="3"/>
      <c r="Y614" s="3"/>
      <c r="Z614" s="3"/>
      <c r="AB614" s="3"/>
      <c r="AC614" s="3"/>
      <c r="AD614" s="3"/>
      <c r="AE614" s="3"/>
      <c r="AF614" s="3"/>
      <c r="AG614" s="3"/>
      <c r="AH614" s="3"/>
      <c r="AI614" s="3"/>
      <c r="AK614" s="3"/>
      <c r="AL614" s="3"/>
      <c r="AM614" s="3"/>
      <c r="AN614" s="3"/>
      <c r="AO614" s="3"/>
      <c r="AP614" s="3"/>
      <c r="AQ614" s="3"/>
      <c r="AR614" s="3"/>
    </row>
    <row r="615" spans="1:44" ht="16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S615" s="3"/>
      <c r="T615" s="3"/>
      <c r="U615" s="3"/>
      <c r="V615" s="3"/>
      <c r="W615" s="3"/>
      <c r="X615" s="3"/>
      <c r="Y615" s="3"/>
      <c r="Z615" s="3"/>
      <c r="AB615" s="3"/>
      <c r="AC615" s="3"/>
      <c r="AD615" s="3"/>
      <c r="AE615" s="3"/>
      <c r="AF615" s="3"/>
      <c r="AG615" s="3"/>
      <c r="AH615" s="3"/>
      <c r="AI615" s="3"/>
      <c r="AK615" s="3"/>
      <c r="AL615" s="3"/>
      <c r="AM615" s="3"/>
      <c r="AN615" s="3"/>
      <c r="AO615" s="3"/>
      <c r="AP615" s="3"/>
      <c r="AQ615" s="3"/>
      <c r="AR615" s="3"/>
    </row>
    <row r="616" spans="1:44" ht="16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S616" s="3"/>
      <c r="T616" s="3"/>
      <c r="U616" s="3"/>
      <c r="V616" s="3"/>
      <c r="W616" s="3"/>
      <c r="X616" s="3"/>
      <c r="Y616" s="3"/>
      <c r="Z616" s="3"/>
      <c r="AB616" s="3"/>
      <c r="AC616" s="3"/>
      <c r="AD616" s="3"/>
      <c r="AE616" s="3"/>
      <c r="AF616" s="3"/>
      <c r="AG616" s="3"/>
      <c r="AH616" s="3"/>
      <c r="AI616" s="3"/>
      <c r="AK616" s="3"/>
      <c r="AL616" s="3"/>
      <c r="AM616" s="3"/>
      <c r="AN616" s="3"/>
      <c r="AO616" s="3"/>
      <c r="AP616" s="3"/>
      <c r="AQ616" s="3"/>
      <c r="AR616" s="3"/>
    </row>
    <row r="617" spans="1:44" ht="16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S617" s="3"/>
      <c r="T617" s="3"/>
      <c r="U617" s="3"/>
      <c r="V617" s="3"/>
      <c r="W617" s="3"/>
      <c r="X617" s="3"/>
      <c r="Y617" s="3"/>
      <c r="Z617" s="3"/>
      <c r="AB617" s="3"/>
      <c r="AC617" s="3"/>
      <c r="AD617" s="3"/>
      <c r="AE617" s="3"/>
      <c r="AF617" s="3"/>
      <c r="AG617" s="3"/>
      <c r="AH617" s="3"/>
      <c r="AI617" s="3"/>
      <c r="AK617" s="3"/>
      <c r="AL617" s="3"/>
      <c r="AM617" s="3"/>
      <c r="AN617" s="3"/>
      <c r="AO617" s="3"/>
      <c r="AP617" s="3"/>
      <c r="AQ617" s="3"/>
      <c r="AR617" s="3"/>
    </row>
    <row r="618" spans="1:44" ht="16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S618" s="3"/>
      <c r="T618" s="3"/>
      <c r="U618" s="3"/>
      <c r="V618" s="3"/>
      <c r="W618" s="3"/>
      <c r="X618" s="3"/>
      <c r="Y618" s="3"/>
      <c r="Z618" s="3"/>
      <c r="AB618" s="3"/>
      <c r="AC618" s="3"/>
      <c r="AD618" s="3"/>
      <c r="AE618" s="3"/>
      <c r="AF618" s="3"/>
      <c r="AG618" s="3"/>
      <c r="AH618" s="3"/>
      <c r="AI618" s="3"/>
      <c r="AK618" s="3"/>
      <c r="AL618" s="3"/>
      <c r="AM618" s="3"/>
      <c r="AN618" s="3"/>
      <c r="AO618" s="3"/>
      <c r="AP618" s="3"/>
      <c r="AQ618" s="3"/>
      <c r="AR618" s="3"/>
    </row>
    <row r="619" spans="1:44" ht="16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S619" s="3"/>
      <c r="T619" s="3"/>
      <c r="U619" s="3"/>
      <c r="V619" s="3"/>
      <c r="W619" s="3"/>
      <c r="X619" s="3"/>
      <c r="Y619" s="3"/>
      <c r="Z619" s="3"/>
      <c r="AB619" s="3"/>
      <c r="AC619" s="3"/>
      <c r="AD619" s="3"/>
      <c r="AE619" s="3"/>
      <c r="AF619" s="3"/>
      <c r="AG619" s="3"/>
      <c r="AH619" s="3"/>
      <c r="AI619" s="3"/>
      <c r="AK619" s="3"/>
      <c r="AL619" s="3"/>
      <c r="AM619" s="3"/>
      <c r="AN619" s="3"/>
      <c r="AO619" s="3"/>
      <c r="AP619" s="3"/>
      <c r="AQ619" s="3"/>
      <c r="AR619" s="3"/>
    </row>
    <row r="620" spans="1:44" ht="16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S620" s="3"/>
      <c r="T620" s="3"/>
      <c r="U620" s="3"/>
      <c r="V620" s="3"/>
      <c r="W620" s="3"/>
      <c r="X620" s="3"/>
      <c r="Y620" s="3"/>
      <c r="Z620" s="3"/>
      <c r="AB620" s="3"/>
      <c r="AC620" s="3"/>
      <c r="AD620" s="3"/>
      <c r="AE620" s="3"/>
      <c r="AF620" s="3"/>
      <c r="AG620" s="3"/>
      <c r="AH620" s="3"/>
      <c r="AI620" s="3"/>
      <c r="AK620" s="3"/>
      <c r="AL620" s="3"/>
      <c r="AM620" s="3"/>
      <c r="AN620" s="3"/>
      <c r="AO620" s="3"/>
      <c r="AP620" s="3"/>
      <c r="AQ620" s="3"/>
      <c r="AR620" s="3"/>
    </row>
    <row r="621" spans="1:44" ht="16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S621" s="3"/>
      <c r="T621" s="3"/>
      <c r="U621" s="3"/>
      <c r="V621" s="3"/>
      <c r="W621" s="3"/>
      <c r="X621" s="3"/>
      <c r="Y621" s="3"/>
      <c r="Z621" s="3"/>
      <c r="AB621" s="3"/>
      <c r="AC621" s="3"/>
      <c r="AD621" s="3"/>
      <c r="AE621" s="3"/>
      <c r="AF621" s="3"/>
      <c r="AG621" s="3"/>
      <c r="AH621" s="3"/>
      <c r="AI621" s="3"/>
      <c r="AK621" s="3"/>
      <c r="AL621" s="3"/>
      <c r="AM621" s="3"/>
      <c r="AN621" s="3"/>
      <c r="AO621" s="3"/>
      <c r="AP621" s="3"/>
      <c r="AQ621" s="3"/>
      <c r="AR621" s="3"/>
    </row>
    <row r="622" spans="1:44" ht="16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S622" s="3"/>
      <c r="T622" s="3"/>
      <c r="U622" s="3"/>
      <c r="V622" s="3"/>
      <c r="W622" s="3"/>
      <c r="X622" s="3"/>
      <c r="Y622" s="3"/>
      <c r="Z622" s="3"/>
      <c r="AB622" s="3"/>
      <c r="AC622" s="3"/>
      <c r="AD622" s="3"/>
      <c r="AE622" s="3"/>
      <c r="AF622" s="3"/>
      <c r="AG622" s="3"/>
      <c r="AH622" s="3"/>
      <c r="AI622" s="3"/>
      <c r="AK622" s="3"/>
      <c r="AL622" s="3"/>
      <c r="AM622" s="3"/>
      <c r="AN622" s="3"/>
      <c r="AO622" s="3"/>
      <c r="AP622" s="3"/>
      <c r="AQ622" s="3"/>
      <c r="AR622" s="3"/>
    </row>
    <row r="623" spans="1:44" ht="16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S623" s="3"/>
      <c r="T623" s="3"/>
      <c r="U623" s="3"/>
      <c r="V623" s="3"/>
      <c r="W623" s="3"/>
      <c r="X623" s="3"/>
      <c r="Y623" s="3"/>
      <c r="Z623" s="3"/>
      <c r="AB623" s="3"/>
      <c r="AC623" s="3"/>
      <c r="AD623" s="3"/>
      <c r="AE623" s="3"/>
      <c r="AF623" s="3"/>
      <c r="AG623" s="3"/>
      <c r="AH623" s="3"/>
      <c r="AI623" s="3"/>
      <c r="AK623" s="3"/>
      <c r="AL623" s="3"/>
      <c r="AM623" s="3"/>
      <c r="AN623" s="3"/>
      <c r="AO623" s="3"/>
      <c r="AP623" s="3"/>
      <c r="AQ623" s="3"/>
      <c r="AR623" s="3"/>
    </row>
    <row r="624" spans="1:44" ht="16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S624" s="3"/>
      <c r="T624" s="3"/>
      <c r="U624" s="3"/>
      <c r="V624" s="3"/>
      <c r="W624" s="3"/>
      <c r="X624" s="3"/>
      <c r="Y624" s="3"/>
      <c r="Z624" s="3"/>
      <c r="AB624" s="3"/>
      <c r="AC624" s="3"/>
      <c r="AD624" s="3"/>
      <c r="AE624" s="3"/>
      <c r="AF624" s="3"/>
      <c r="AG624" s="3"/>
      <c r="AH624" s="3"/>
      <c r="AI624" s="3"/>
      <c r="AK624" s="3"/>
      <c r="AL624" s="3"/>
      <c r="AM624" s="3"/>
      <c r="AN624" s="3"/>
      <c r="AO624" s="3"/>
      <c r="AP624" s="3"/>
      <c r="AQ624" s="3"/>
      <c r="AR624" s="3"/>
    </row>
    <row r="625" spans="1:44" ht="16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S625" s="3"/>
      <c r="T625" s="3"/>
      <c r="U625" s="3"/>
      <c r="V625" s="3"/>
      <c r="W625" s="3"/>
      <c r="X625" s="3"/>
      <c r="Y625" s="3"/>
      <c r="Z625" s="3"/>
      <c r="AB625" s="3"/>
      <c r="AC625" s="3"/>
      <c r="AD625" s="3"/>
      <c r="AE625" s="3"/>
      <c r="AF625" s="3"/>
      <c r="AG625" s="3"/>
      <c r="AH625" s="3"/>
      <c r="AI625" s="3"/>
      <c r="AK625" s="3"/>
      <c r="AL625" s="3"/>
      <c r="AM625" s="3"/>
      <c r="AN625" s="3"/>
      <c r="AO625" s="3"/>
      <c r="AP625" s="3"/>
      <c r="AQ625" s="3"/>
      <c r="AR625" s="3"/>
    </row>
    <row r="626" spans="1:44" ht="16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S626" s="3"/>
      <c r="T626" s="3"/>
      <c r="U626" s="3"/>
      <c r="V626" s="3"/>
      <c r="W626" s="3"/>
      <c r="X626" s="3"/>
      <c r="Y626" s="3"/>
      <c r="Z626" s="3"/>
      <c r="AB626" s="3"/>
      <c r="AC626" s="3"/>
      <c r="AD626" s="3"/>
      <c r="AE626" s="3"/>
      <c r="AF626" s="3"/>
      <c r="AG626" s="3"/>
      <c r="AH626" s="3"/>
      <c r="AI626" s="3"/>
      <c r="AK626" s="3"/>
      <c r="AL626" s="3"/>
      <c r="AM626" s="3"/>
      <c r="AN626" s="3"/>
      <c r="AO626" s="3"/>
      <c r="AP626" s="3"/>
      <c r="AQ626" s="3"/>
      <c r="AR626" s="3"/>
    </row>
    <row r="627" spans="1:44" ht="16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S627" s="3"/>
      <c r="T627" s="3"/>
      <c r="U627" s="3"/>
      <c r="V627" s="3"/>
      <c r="W627" s="3"/>
      <c r="X627" s="3"/>
      <c r="Y627" s="3"/>
      <c r="Z627" s="3"/>
      <c r="AB627" s="3"/>
      <c r="AC627" s="3"/>
      <c r="AD627" s="3"/>
      <c r="AE627" s="3"/>
      <c r="AF627" s="3"/>
      <c r="AG627" s="3"/>
      <c r="AH627" s="3"/>
      <c r="AI627" s="3"/>
      <c r="AK627" s="3"/>
      <c r="AL627" s="3"/>
      <c r="AM627" s="3"/>
      <c r="AN627" s="3"/>
      <c r="AO627" s="3"/>
      <c r="AP627" s="3"/>
      <c r="AQ627" s="3"/>
      <c r="AR627" s="3"/>
    </row>
    <row r="628" spans="1:44" ht="16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S628" s="3"/>
      <c r="T628" s="3"/>
      <c r="U628" s="3"/>
      <c r="V628" s="3"/>
      <c r="W628" s="3"/>
      <c r="X628" s="3"/>
      <c r="Y628" s="3"/>
      <c r="Z628" s="3"/>
      <c r="AB628" s="3"/>
      <c r="AC628" s="3"/>
      <c r="AD628" s="3"/>
      <c r="AE628" s="3"/>
      <c r="AF628" s="3"/>
      <c r="AG628" s="3"/>
      <c r="AH628" s="3"/>
      <c r="AI628" s="3"/>
      <c r="AK628" s="3"/>
      <c r="AL628" s="3"/>
      <c r="AM628" s="3"/>
      <c r="AN628" s="3"/>
      <c r="AO628" s="3"/>
      <c r="AP628" s="3"/>
      <c r="AQ628" s="3"/>
      <c r="AR628" s="3"/>
    </row>
    <row r="629" spans="1:44" ht="16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S629" s="3"/>
      <c r="T629" s="3"/>
      <c r="U629" s="3"/>
      <c r="V629" s="3"/>
      <c r="W629" s="3"/>
      <c r="X629" s="3"/>
      <c r="Y629" s="3"/>
      <c r="Z629" s="3"/>
      <c r="AB629" s="3"/>
      <c r="AC629" s="3"/>
      <c r="AD629" s="3"/>
      <c r="AE629" s="3"/>
      <c r="AF629" s="3"/>
      <c r="AG629" s="3"/>
      <c r="AH629" s="3"/>
      <c r="AI629" s="3"/>
      <c r="AK629" s="3"/>
      <c r="AL629" s="3"/>
      <c r="AM629" s="3"/>
      <c r="AN629" s="3"/>
      <c r="AO629" s="3"/>
      <c r="AP629" s="3"/>
      <c r="AQ629" s="3"/>
      <c r="AR629" s="3"/>
    </row>
    <row r="630" spans="1:44" ht="16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S630" s="3"/>
      <c r="T630" s="3"/>
      <c r="U630" s="3"/>
      <c r="V630" s="3"/>
      <c r="W630" s="3"/>
      <c r="X630" s="3"/>
      <c r="Y630" s="3"/>
      <c r="Z630" s="3"/>
      <c r="AB630" s="3"/>
      <c r="AC630" s="3"/>
      <c r="AD630" s="3"/>
      <c r="AE630" s="3"/>
      <c r="AF630" s="3"/>
      <c r="AG630" s="3"/>
      <c r="AH630" s="3"/>
      <c r="AI630" s="3"/>
      <c r="AK630" s="3"/>
      <c r="AL630" s="3"/>
      <c r="AM630" s="3"/>
      <c r="AN630" s="3"/>
      <c r="AO630" s="3"/>
      <c r="AP630" s="3"/>
      <c r="AQ630" s="3"/>
      <c r="AR630" s="3"/>
    </row>
    <row r="631" spans="1:44" ht="16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S631" s="3"/>
      <c r="T631" s="3"/>
      <c r="U631" s="3"/>
      <c r="V631" s="3"/>
      <c r="W631" s="3"/>
      <c r="X631" s="3"/>
      <c r="Y631" s="3"/>
      <c r="Z631" s="3"/>
      <c r="AB631" s="3"/>
      <c r="AC631" s="3"/>
      <c r="AD631" s="3"/>
      <c r="AE631" s="3"/>
      <c r="AF631" s="3"/>
      <c r="AG631" s="3"/>
      <c r="AH631" s="3"/>
      <c r="AI631" s="3"/>
      <c r="AK631" s="3"/>
      <c r="AL631" s="3"/>
      <c r="AM631" s="3"/>
      <c r="AN631" s="3"/>
      <c r="AO631" s="3"/>
      <c r="AP631" s="3"/>
      <c r="AQ631" s="3"/>
      <c r="AR631" s="3"/>
    </row>
    <row r="632" spans="1:44" ht="16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S632" s="3"/>
      <c r="T632" s="3"/>
      <c r="U632" s="3"/>
      <c r="V632" s="3"/>
      <c r="W632" s="3"/>
      <c r="X632" s="3"/>
      <c r="Y632" s="3"/>
      <c r="Z632" s="3"/>
      <c r="AB632" s="3"/>
      <c r="AC632" s="3"/>
      <c r="AD632" s="3"/>
      <c r="AE632" s="3"/>
      <c r="AF632" s="3"/>
      <c r="AG632" s="3"/>
      <c r="AH632" s="3"/>
      <c r="AI632" s="3"/>
      <c r="AK632" s="3"/>
      <c r="AL632" s="3"/>
      <c r="AM632" s="3"/>
      <c r="AN632" s="3"/>
      <c r="AO632" s="3"/>
      <c r="AP632" s="3"/>
      <c r="AQ632" s="3"/>
      <c r="AR632" s="3"/>
    </row>
    <row r="633" spans="1:44" ht="16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S633" s="3"/>
      <c r="T633" s="3"/>
      <c r="U633" s="3"/>
      <c r="V633" s="3"/>
      <c r="W633" s="3"/>
      <c r="X633" s="3"/>
      <c r="Y633" s="3"/>
      <c r="Z633" s="3"/>
      <c r="AB633" s="3"/>
      <c r="AC633" s="3"/>
      <c r="AD633" s="3"/>
      <c r="AE633" s="3"/>
      <c r="AF633" s="3"/>
      <c r="AG633" s="3"/>
      <c r="AH633" s="3"/>
      <c r="AI633" s="3"/>
      <c r="AK633" s="3"/>
      <c r="AL633" s="3"/>
      <c r="AM633" s="3"/>
      <c r="AN633" s="3"/>
      <c r="AO633" s="3"/>
      <c r="AP633" s="3"/>
      <c r="AQ633" s="3"/>
      <c r="AR633" s="3"/>
    </row>
    <row r="634" spans="1:44" ht="16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S634" s="3"/>
      <c r="T634" s="3"/>
      <c r="U634" s="3"/>
      <c r="V634" s="3"/>
      <c r="W634" s="3"/>
      <c r="X634" s="3"/>
      <c r="Y634" s="3"/>
      <c r="Z634" s="3"/>
      <c r="AB634" s="3"/>
      <c r="AC634" s="3"/>
      <c r="AD634" s="3"/>
      <c r="AE634" s="3"/>
      <c r="AF634" s="3"/>
      <c r="AG634" s="3"/>
      <c r="AH634" s="3"/>
      <c r="AI634" s="3"/>
      <c r="AK634" s="3"/>
      <c r="AL634" s="3"/>
      <c r="AM634" s="3"/>
      <c r="AN634" s="3"/>
      <c r="AO634" s="3"/>
      <c r="AP634" s="3"/>
      <c r="AQ634" s="3"/>
      <c r="AR634" s="3"/>
    </row>
    <row r="635" spans="1:44" ht="16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S635" s="3"/>
      <c r="T635" s="3"/>
      <c r="U635" s="3"/>
      <c r="V635" s="3"/>
      <c r="W635" s="3"/>
      <c r="X635" s="3"/>
      <c r="Y635" s="3"/>
      <c r="Z635" s="3"/>
      <c r="AB635" s="3"/>
      <c r="AC635" s="3"/>
      <c r="AD635" s="3"/>
      <c r="AE635" s="3"/>
      <c r="AF635" s="3"/>
      <c r="AG635" s="3"/>
      <c r="AH635" s="3"/>
      <c r="AI635" s="3"/>
      <c r="AK635" s="3"/>
      <c r="AL635" s="3"/>
      <c r="AM635" s="3"/>
      <c r="AN635" s="3"/>
      <c r="AO635" s="3"/>
      <c r="AP635" s="3"/>
      <c r="AQ635" s="3"/>
      <c r="AR635" s="3"/>
    </row>
    <row r="636" spans="1:44" ht="16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S636" s="3"/>
      <c r="T636" s="3"/>
      <c r="U636" s="3"/>
      <c r="V636" s="3"/>
      <c r="W636" s="3"/>
      <c r="X636" s="3"/>
      <c r="Y636" s="3"/>
      <c r="Z636" s="3"/>
      <c r="AB636" s="3"/>
      <c r="AC636" s="3"/>
      <c r="AD636" s="3"/>
      <c r="AE636" s="3"/>
      <c r="AF636" s="3"/>
      <c r="AG636" s="3"/>
      <c r="AH636" s="3"/>
      <c r="AI636" s="3"/>
      <c r="AK636" s="3"/>
      <c r="AL636" s="3"/>
      <c r="AM636" s="3"/>
      <c r="AN636" s="3"/>
      <c r="AO636" s="3"/>
      <c r="AP636" s="3"/>
      <c r="AQ636" s="3"/>
      <c r="AR636" s="3"/>
    </row>
    <row r="637" spans="1:44" ht="16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S637" s="3"/>
      <c r="T637" s="3"/>
      <c r="U637" s="3"/>
      <c r="V637" s="3"/>
      <c r="W637" s="3"/>
      <c r="X637" s="3"/>
      <c r="Y637" s="3"/>
      <c r="Z637" s="3"/>
      <c r="AB637" s="3"/>
      <c r="AC637" s="3"/>
      <c r="AD637" s="3"/>
      <c r="AE637" s="3"/>
      <c r="AF637" s="3"/>
      <c r="AG637" s="3"/>
      <c r="AH637" s="3"/>
      <c r="AI637" s="3"/>
      <c r="AK637" s="3"/>
      <c r="AL637" s="3"/>
      <c r="AM637" s="3"/>
      <c r="AN637" s="3"/>
      <c r="AO637" s="3"/>
      <c r="AP637" s="3"/>
      <c r="AQ637" s="3"/>
      <c r="AR637" s="3"/>
    </row>
    <row r="638" spans="1:44" ht="16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S638" s="3"/>
      <c r="T638" s="3"/>
      <c r="U638" s="3"/>
      <c r="V638" s="3"/>
      <c r="W638" s="3"/>
      <c r="X638" s="3"/>
      <c r="Y638" s="3"/>
      <c r="Z638" s="3"/>
      <c r="AB638" s="3"/>
      <c r="AC638" s="3"/>
      <c r="AD638" s="3"/>
      <c r="AE638" s="3"/>
      <c r="AF638" s="3"/>
      <c r="AG638" s="3"/>
      <c r="AH638" s="3"/>
      <c r="AI638" s="3"/>
      <c r="AK638" s="3"/>
      <c r="AL638" s="3"/>
      <c r="AM638" s="3"/>
      <c r="AN638" s="3"/>
      <c r="AO638" s="3"/>
      <c r="AP638" s="3"/>
      <c r="AQ638" s="3"/>
      <c r="AR638" s="3"/>
    </row>
    <row r="639" spans="1:44" ht="16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S639" s="3"/>
      <c r="T639" s="3"/>
      <c r="U639" s="3"/>
      <c r="V639" s="3"/>
      <c r="W639" s="3"/>
      <c r="X639" s="3"/>
      <c r="Y639" s="3"/>
      <c r="Z639" s="3"/>
      <c r="AB639" s="3"/>
      <c r="AC639" s="3"/>
      <c r="AD639" s="3"/>
      <c r="AE639" s="3"/>
      <c r="AF639" s="3"/>
      <c r="AG639" s="3"/>
      <c r="AH639" s="3"/>
      <c r="AI639" s="3"/>
      <c r="AK639" s="3"/>
      <c r="AL639" s="3"/>
      <c r="AM639" s="3"/>
      <c r="AN639" s="3"/>
      <c r="AO639" s="3"/>
      <c r="AP639" s="3"/>
      <c r="AQ639" s="3"/>
      <c r="AR639" s="3"/>
    </row>
    <row r="640" spans="1:44" ht="16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S640" s="3"/>
      <c r="T640" s="3"/>
      <c r="U640" s="3"/>
      <c r="V640" s="3"/>
      <c r="W640" s="3"/>
      <c r="X640" s="3"/>
      <c r="Y640" s="3"/>
      <c r="Z640" s="3"/>
      <c r="AB640" s="3"/>
      <c r="AC640" s="3"/>
      <c r="AD640" s="3"/>
      <c r="AE640" s="3"/>
      <c r="AF640" s="3"/>
      <c r="AG640" s="3"/>
      <c r="AH640" s="3"/>
      <c r="AI640" s="3"/>
      <c r="AK640" s="3"/>
      <c r="AL640" s="3"/>
      <c r="AM640" s="3"/>
      <c r="AN640" s="3"/>
      <c r="AO640" s="3"/>
      <c r="AP640" s="3"/>
      <c r="AQ640" s="3"/>
      <c r="AR640" s="3"/>
    </row>
    <row r="641" spans="1:44" ht="16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S641" s="3"/>
      <c r="T641" s="3"/>
      <c r="U641" s="3"/>
      <c r="V641" s="3"/>
      <c r="W641" s="3"/>
      <c r="X641" s="3"/>
      <c r="Y641" s="3"/>
      <c r="Z641" s="3"/>
      <c r="AB641" s="3"/>
      <c r="AC641" s="3"/>
      <c r="AD641" s="3"/>
      <c r="AE641" s="3"/>
      <c r="AF641" s="3"/>
      <c r="AG641" s="3"/>
      <c r="AH641" s="3"/>
      <c r="AI641" s="3"/>
      <c r="AK641" s="3"/>
      <c r="AL641" s="3"/>
      <c r="AM641" s="3"/>
      <c r="AN641" s="3"/>
      <c r="AO641" s="3"/>
      <c r="AP641" s="3"/>
      <c r="AQ641" s="3"/>
      <c r="AR641" s="3"/>
    </row>
    <row r="642" spans="1:44" ht="16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S642" s="3"/>
      <c r="T642" s="3"/>
      <c r="U642" s="3"/>
      <c r="V642" s="3"/>
      <c r="W642" s="3"/>
      <c r="X642" s="3"/>
      <c r="Y642" s="3"/>
      <c r="Z642" s="3"/>
      <c r="AB642" s="3"/>
      <c r="AC642" s="3"/>
      <c r="AD642" s="3"/>
      <c r="AE642" s="3"/>
      <c r="AF642" s="3"/>
      <c r="AG642" s="3"/>
      <c r="AH642" s="3"/>
      <c r="AI642" s="3"/>
      <c r="AK642" s="3"/>
      <c r="AL642" s="3"/>
      <c r="AM642" s="3"/>
      <c r="AN642" s="3"/>
      <c r="AO642" s="3"/>
      <c r="AP642" s="3"/>
      <c r="AQ642" s="3"/>
      <c r="AR642" s="3"/>
    </row>
    <row r="643" spans="1:44" ht="16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S643" s="3"/>
      <c r="T643" s="3"/>
      <c r="U643" s="3"/>
      <c r="V643" s="3"/>
      <c r="W643" s="3"/>
      <c r="X643" s="3"/>
      <c r="Y643" s="3"/>
      <c r="Z643" s="3"/>
      <c r="AB643" s="3"/>
      <c r="AC643" s="3"/>
      <c r="AD643" s="3"/>
      <c r="AE643" s="3"/>
      <c r="AF643" s="3"/>
      <c r="AG643" s="3"/>
      <c r="AH643" s="3"/>
      <c r="AI643" s="3"/>
      <c r="AK643" s="3"/>
      <c r="AL643" s="3"/>
      <c r="AM643" s="3"/>
      <c r="AN643" s="3"/>
      <c r="AO643" s="3"/>
      <c r="AP643" s="3"/>
      <c r="AQ643" s="3"/>
      <c r="AR643" s="3"/>
    </row>
    <row r="644" spans="1:44" ht="16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S644" s="3"/>
      <c r="T644" s="3"/>
      <c r="U644" s="3"/>
      <c r="V644" s="3"/>
      <c r="W644" s="3"/>
      <c r="X644" s="3"/>
      <c r="Y644" s="3"/>
      <c r="Z644" s="3"/>
      <c r="AB644" s="3"/>
      <c r="AC644" s="3"/>
      <c r="AD644" s="3"/>
      <c r="AE644" s="3"/>
      <c r="AF644" s="3"/>
      <c r="AG644" s="3"/>
      <c r="AH644" s="3"/>
      <c r="AI644" s="3"/>
      <c r="AK644" s="3"/>
      <c r="AL644" s="3"/>
      <c r="AM644" s="3"/>
      <c r="AN644" s="3"/>
      <c r="AO644" s="3"/>
      <c r="AP644" s="3"/>
      <c r="AQ644" s="3"/>
      <c r="AR644" s="3"/>
    </row>
    <row r="645" spans="1:44" ht="16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S645" s="3"/>
      <c r="T645" s="3"/>
      <c r="U645" s="3"/>
      <c r="V645" s="3"/>
      <c r="W645" s="3"/>
      <c r="X645" s="3"/>
      <c r="Y645" s="3"/>
      <c r="Z645" s="3"/>
      <c r="AB645" s="3"/>
      <c r="AC645" s="3"/>
      <c r="AD645" s="3"/>
      <c r="AE645" s="3"/>
      <c r="AF645" s="3"/>
      <c r="AG645" s="3"/>
      <c r="AH645" s="3"/>
      <c r="AI645" s="3"/>
      <c r="AK645" s="3"/>
      <c r="AL645" s="3"/>
      <c r="AM645" s="3"/>
      <c r="AN645" s="3"/>
      <c r="AO645" s="3"/>
      <c r="AP645" s="3"/>
      <c r="AQ645" s="3"/>
      <c r="AR645" s="3"/>
    </row>
    <row r="646" spans="1:44" ht="16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S646" s="3"/>
      <c r="T646" s="3"/>
      <c r="U646" s="3"/>
      <c r="V646" s="3"/>
      <c r="W646" s="3"/>
      <c r="X646" s="3"/>
      <c r="Y646" s="3"/>
      <c r="Z646" s="3"/>
      <c r="AB646" s="3"/>
      <c r="AC646" s="3"/>
      <c r="AD646" s="3"/>
      <c r="AE646" s="3"/>
      <c r="AF646" s="3"/>
      <c r="AG646" s="3"/>
      <c r="AH646" s="3"/>
      <c r="AI646" s="3"/>
      <c r="AK646" s="3"/>
      <c r="AL646" s="3"/>
      <c r="AM646" s="3"/>
      <c r="AN646" s="3"/>
      <c r="AO646" s="3"/>
      <c r="AP646" s="3"/>
      <c r="AQ646" s="3"/>
      <c r="AR646" s="3"/>
    </row>
    <row r="647" spans="1:44" ht="16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S647" s="3"/>
      <c r="T647" s="3"/>
      <c r="U647" s="3"/>
      <c r="V647" s="3"/>
      <c r="W647" s="3"/>
      <c r="X647" s="3"/>
      <c r="Y647" s="3"/>
      <c r="Z647" s="3"/>
      <c r="AB647" s="3"/>
      <c r="AC647" s="3"/>
      <c r="AD647" s="3"/>
      <c r="AE647" s="3"/>
      <c r="AF647" s="3"/>
      <c r="AG647" s="3"/>
      <c r="AH647" s="3"/>
      <c r="AI647" s="3"/>
      <c r="AK647" s="3"/>
      <c r="AL647" s="3"/>
      <c r="AM647" s="3"/>
      <c r="AN647" s="3"/>
      <c r="AO647" s="3"/>
      <c r="AP647" s="3"/>
      <c r="AQ647" s="3"/>
      <c r="AR647" s="3"/>
    </row>
    <row r="648" spans="1:44" ht="16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S648" s="3"/>
      <c r="T648" s="3"/>
      <c r="U648" s="3"/>
      <c r="V648" s="3"/>
      <c r="W648" s="3"/>
      <c r="X648" s="3"/>
      <c r="Y648" s="3"/>
      <c r="Z648" s="3"/>
      <c r="AB648" s="3"/>
      <c r="AC648" s="3"/>
      <c r="AD648" s="3"/>
      <c r="AE648" s="3"/>
      <c r="AF648" s="3"/>
      <c r="AG648" s="3"/>
      <c r="AH648" s="3"/>
      <c r="AI648" s="3"/>
      <c r="AK648" s="3"/>
      <c r="AL648" s="3"/>
      <c r="AM648" s="3"/>
      <c r="AN648" s="3"/>
      <c r="AO648" s="3"/>
      <c r="AP648" s="3"/>
      <c r="AQ648" s="3"/>
      <c r="AR648" s="3"/>
    </row>
    <row r="649" spans="1:44" ht="16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S649" s="3"/>
      <c r="T649" s="3"/>
      <c r="U649" s="3"/>
      <c r="V649" s="3"/>
      <c r="W649" s="3"/>
      <c r="X649" s="3"/>
      <c r="Y649" s="3"/>
      <c r="Z649" s="3"/>
      <c r="AB649" s="3"/>
      <c r="AC649" s="3"/>
      <c r="AD649" s="3"/>
      <c r="AE649" s="3"/>
      <c r="AF649" s="3"/>
      <c r="AG649" s="3"/>
      <c r="AH649" s="3"/>
      <c r="AI649" s="3"/>
      <c r="AK649" s="3"/>
      <c r="AL649" s="3"/>
      <c r="AM649" s="3"/>
      <c r="AN649" s="3"/>
      <c r="AO649" s="3"/>
      <c r="AP649" s="3"/>
      <c r="AQ649" s="3"/>
      <c r="AR649" s="3"/>
    </row>
    <row r="650" spans="1:44" ht="16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S650" s="3"/>
      <c r="T650" s="3"/>
      <c r="U650" s="3"/>
      <c r="V650" s="3"/>
      <c r="W650" s="3"/>
      <c r="X650" s="3"/>
      <c r="Y650" s="3"/>
      <c r="Z650" s="3"/>
      <c r="AB650" s="3"/>
      <c r="AC650" s="3"/>
      <c r="AD650" s="3"/>
      <c r="AE650" s="3"/>
      <c r="AF650" s="3"/>
      <c r="AG650" s="3"/>
      <c r="AH650" s="3"/>
      <c r="AI650" s="3"/>
      <c r="AK650" s="3"/>
      <c r="AL650" s="3"/>
      <c r="AM650" s="3"/>
      <c r="AN650" s="3"/>
      <c r="AO650" s="3"/>
      <c r="AP650" s="3"/>
      <c r="AQ650" s="3"/>
      <c r="AR650" s="3"/>
    </row>
    <row r="651" spans="1:44" ht="16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S651" s="3"/>
      <c r="T651" s="3"/>
      <c r="U651" s="3"/>
      <c r="V651" s="3"/>
      <c r="W651" s="3"/>
      <c r="X651" s="3"/>
      <c r="Y651" s="3"/>
      <c r="Z651" s="3"/>
      <c r="AB651" s="3"/>
      <c r="AC651" s="3"/>
      <c r="AD651" s="3"/>
      <c r="AE651" s="3"/>
      <c r="AF651" s="3"/>
      <c r="AG651" s="3"/>
      <c r="AH651" s="3"/>
      <c r="AI651" s="3"/>
      <c r="AK651" s="3"/>
      <c r="AL651" s="3"/>
      <c r="AM651" s="3"/>
      <c r="AN651" s="3"/>
      <c r="AO651" s="3"/>
      <c r="AP651" s="3"/>
      <c r="AQ651" s="3"/>
      <c r="AR651" s="3"/>
    </row>
    <row r="652" spans="1:44" ht="16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S652" s="3"/>
      <c r="T652" s="3"/>
      <c r="U652" s="3"/>
      <c r="V652" s="3"/>
      <c r="W652" s="3"/>
      <c r="X652" s="3"/>
      <c r="Y652" s="3"/>
      <c r="Z652" s="3"/>
      <c r="AB652" s="3"/>
      <c r="AC652" s="3"/>
      <c r="AD652" s="3"/>
      <c r="AE652" s="3"/>
      <c r="AF652" s="3"/>
      <c r="AG652" s="3"/>
      <c r="AH652" s="3"/>
      <c r="AI652" s="3"/>
      <c r="AK652" s="3"/>
      <c r="AL652" s="3"/>
      <c r="AM652" s="3"/>
      <c r="AN652" s="3"/>
      <c r="AO652" s="3"/>
      <c r="AP652" s="3"/>
      <c r="AQ652" s="3"/>
      <c r="AR652" s="3"/>
    </row>
    <row r="653" spans="1:44" ht="16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S653" s="3"/>
      <c r="T653" s="3"/>
      <c r="U653" s="3"/>
      <c r="V653" s="3"/>
      <c r="W653" s="3"/>
      <c r="X653" s="3"/>
      <c r="Y653" s="3"/>
      <c r="Z653" s="3"/>
      <c r="AB653" s="3"/>
      <c r="AC653" s="3"/>
      <c r="AD653" s="3"/>
      <c r="AE653" s="3"/>
      <c r="AF653" s="3"/>
      <c r="AG653" s="3"/>
      <c r="AH653" s="3"/>
      <c r="AI653" s="3"/>
      <c r="AK653" s="3"/>
      <c r="AL653" s="3"/>
      <c r="AM653" s="3"/>
      <c r="AN653" s="3"/>
      <c r="AO653" s="3"/>
      <c r="AP653" s="3"/>
      <c r="AQ653" s="3"/>
      <c r="AR653" s="3"/>
    </row>
    <row r="654" spans="1:44" ht="16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S654" s="3"/>
      <c r="T654" s="3"/>
      <c r="U654" s="3"/>
      <c r="V654" s="3"/>
      <c r="W654" s="3"/>
      <c r="X654" s="3"/>
      <c r="Y654" s="3"/>
      <c r="Z654" s="3"/>
      <c r="AB654" s="3"/>
      <c r="AC654" s="3"/>
      <c r="AD654" s="3"/>
      <c r="AE654" s="3"/>
      <c r="AF654" s="3"/>
      <c r="AG654" s="3"/>
      <c r="AH654" s="3"/>
      <c r="AI654" s="3"/>
      <c r="AK654" s="3"/>
      <c r="AL654" s="3"/>
      <c r="AM654" s="3"/>
      <c r="AN654" s="3"/>
      <c r="AO654" s="3"/>
      <c r="AP654" s="3"/>
      <c r="AQ654" s="3"/>
      <c r="AR654" s="3"/>
    </row>
    <row r="655" spans="1:44" ht="16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S655" s="3"/>
      <c r="T655" s="3"/>
      <c r="U655" s="3"/>
      <c r="V655" s="3"/>
      <c r="W655" s="3"/>
      <c r="X655" s="3"/>
      <c r="Y655" s="3"/>
      <c r="Z655" s="3"/>
      <c r="AB655" s="3"/>
      <c r="AC655" s="3"/>
      <c r="AD655" s="3"/>
      <c r="AE655" s="3"/>
      <c r="AF655" s="3"/>
      <c r="AG655" s="3"/>
      <c r="AH655" s="3"/>
      <c r="AI655" s="3"/>
      <c r="AK655" s="3"/>
      <c r="AL655" s="3"/>
      <c r="AM655" s="3"/>
      <c r="AN655" s="3"/>
      <c r="AO655" s="3"/>
      <c r="AP655" s="3"/>
      <c r="AQ655" s="3"/>
      <c r="AR655" s="3"/>
    </row>
    <row r="656" spans="1:44" ht="16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S656" s="3"/>
      <c r="T656" s="3"/>
      <c r="U656" s="3"/>
      <c r="V656" s="3"/>
      <c r="W656" s="3"/>
      <c r="X656" s="3"/>
      <c r="Y656" s="3"/>
      <c r="Z656" s="3"/>
      <c r="AB656" s="3"/>
      <c r="AC656" s="3"/>
      <c r="AD656" s="3"/>
      <c r="AE656" s="3"/>
      <c r="AF656" s="3"/>
      <c r="AG656" s="3"/>
      <c r="AH656" s="3"/>
      <c r="AI656" s="3"/>
      <c r="AK656" s="3"/>
      <c r="AL656" s="3"/>
      <c r="AM656" s="3"/>
      <c r="AN656" s="3"/>
      <c r="AO656" s="3"/>
      <c r="AP656" s="3"/>
      <c r="AQ656" s="3"/>
      <c r="AR656" s="3"/>
    </row>
    <row r="657" spans="1:44" ht="16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S657" s="3"/>
      <c r="T657" s="3"/>
      <c r="U657" s="3"/>
      <c r="V657" s="3"/>
      <c r="W657" s="3"/>
      <c r="X657" s="3"/>
      <c r="Y657" s="3"/>
      <c r="Z657" s="3"/>
      <c r="AB657" s="3"/>
      <c r="AC657" s="3"/>
      <c r="AD657" s="3"/>
      <c r="AE657" s="3"/>
      <c r="AF657" s="3"/>
      <c r="AG657" s="3"/>
      <c r="AH657" s="3"/>
      <c r="AI657" s="3"/>
      <c r="AK657" s="3"/>
      <c r="AL657" s="3"/>
      <c r="AM657" s="3"/>
      <c r="AN657" s="3"/>
      <c r="AO657" s="3"/>
      <c r="AP657" s="3"/>
      <c r="AQ657" s="3"/>
      <c r="AR657" s="3"/>
    </row>
    <row r="658" spans="1:44" ht="16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S658" s="3"/>
      <c r="T658" s="3"/>
      <c r="U658" s="3"/>
      <c r="V658" s="3"/>
      <c r="W658" s="3"/>
      <c r="X658" s="3"/>
      <c r="Y658" s="3"/>
      <c r="Z658" s="3"/>
      <c r="AB658" s="3"/>
      <c r="AC658" s="3"/>
      <c r="AD658" s="3"/>
      <c r="AE658" s="3"/>
      <c r="AF658" s="3"/>
      <c r="AG658" s="3"/>
      <c r="AH658" s="3"/>
      <c r="AI658" s="3"/>
      <c r="AK658" s="3"/>
      <c r="AL658" s="3"/>
      <c r="AM658" s="3"/>
      <c r="AN658" s="3"/>
      <c r="AO658" s="3"/>
      <c r="AP658" s="3"/>
      <c r="AQ658" s="3"/>
      <c r="AR658" s="3"/>
    </row>
    <row r="659" spans="1:44" ht="16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S659" s="3"/>
      <c r="T659" s="3"/>
      <c r="U659" s="3"/>
      <c r="V659" s="3"/>
      <c r="W659" s="3"/>
      <c r="X659" s="3"/>
      <c r="Y659" s="3"/>
      <c r="Z659" s="3"/>
      <c r="AB659" s="3"/>
      <c r="AC659" s="3"/>
      <c r="AD659" s="3"/>
      <c r="AE659" s="3"/>
      <c r="AF659" s="3"/>
      <c r="AG659" s="3"/>
      <c r="AH659" s="3"/>
      <c r="AI659" s="3"/>
      <c r="AK659" s="3"/>
      <c r="AL659" s="3"/>
      <c r="AM659" s="3"/>
      <c r="AN659" s="3"/>
      <c r="AO659" s="3"/>
      <c r="AP659" s="3"/>
      <c r="AQ659" s="3"/>
      <c r="AR659" s="3"/>
    </row>
    <row r="660" spans="1:44" ht="16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S660" s="3"/>
      <c r="T660" s="3"/>
      <c r="U660" s="3"/>
      <c r="V660" s="3"/>
      <c r="W660" s="3"/>
      <c r="X660" s="3"/>
      <c r="Y660" s="3"/>
      <c r="Z660" s="3"/>
      <c r="AB660" s="3"/>
      <c r="AC660" s="3"/>
      <c r="AD660" s="3"/>
      <c r="AE660" s="3"/>
      <c r="AF660" s="3"/>
      <c r="AG660" s="3"/>
      <c r="AH660" s="3"/>
      <c r="AI660" s="3"/>
      <c r="AK660" s="3"/>
      <c r="AL660" s="3"/>
      <c r="AM660" s="3"/>
      <c r="AN660" s="3"/>
      <c r="AO660" s="3"/>
      <c r="AP660" s="3"/>
      <c r="AQ660" s="3"/>
      <c r="AR660" s="3"/>
    </row>
    <row r="661" spans="1:44" ht="16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S661" s="3"/>
      <c r="T661" s="3"/>
      <c r="U661" s="3"/>
      <c r="V661" s="3"/>
      <c r="W661" s="3"/>
      <c r="X661" s="3"/>
      <c r="Y661" s="3"/>
      <c r="Z661" s="3"/>
      <c r="AB661" s="3"/>
      <c r="AC661" s="3"/>
      <c r="AD661" s="3"/>
      <c r="AE661" s="3"/>
      <c r="AF661" s="3"/>
      <c r="AG661" s="3"/>
      <c r="AH661" s="3"/>
      <c r="AI661" s="3"/>
      <c r="AK661" s="3"/>
      <c r="AL661" s="3"/>
      <c r="AM661" s="3"/>
      <c r="AN661" s="3"/>
      <c r="AO661" s="3"/>
      <c r="AP661" s="3"/>
      <c r="AQ661" s="3"/>
      <c r="AR661" s="3"/>
    </row>
    <row r="662" spans="1:44" ht="16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S662" s="3"/>
      <c r="T662" s="3"/>
      <c r="U662" s="3"/>
      <c r="V662" s="3"/>
      <c r="W662" s="3"/>
      <c r="X662" s="3"/>
      <c r="Y662" s="3"/>
      <c r="Z662" s="3"/>
      <c r="AB662" s="3"/>
      <c r="AC662" s="3"/>
      <c r="AD662" s="3"/>
      <c r="AE662" s="3"/>
      <c r="AF662" s="3"/>
      <c r="AG662" s="3"/>
      <c r="AH662" s="3"/>
      <c r="AI662" s="3"/>
      <c r="AK662" s="3"/>
      <c r="AL662" s="3"/>
      <c r="AM662" s="3"/>
      <c r="AN662" s="3"/>
      <c r="AO662" s="3"/>
      <c r="AP662" s="3"/>
      <c r="AQ662" s="3"/>
      <c r="AR662" s="3"/>
    </row>
    <row r="663" spans="1:44" ht="16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S663" s="3"/>
      <c r="T663" s="3"/>
      <c r="U663" s="3"/>
      <c r="V663" s="3"/>
      <c r="W663" s="3"/>
      <c r="X663" s="3"/>
      <c r="Y663" s="3"/>
      <c r="Z663" s="3"/>
      <c r="AB663" s="3"/>
      <c r="AC663" s="3"/>
      <c r="AD663" s="3"/>
      <c r="AE663" s="3"/>
      <c r="AF663" s="3"/>
      <c r="AG663" s="3"/>
      <c r="AH663" s="3"/>
      <c r="AI663" s="3"/>
      <c r="AK663" s="3"/>
      <c r="AL663" s="3"/>
      <c r="AM663" s="3"/>
      <c r="AN663" s="3"/>
      <c r="AO663" s="3"/>
      <c r="AP663" s="3"/>
      <c r="AQ663" s="3"/>
      <c r="AR663" s="3"/>
    </row>
    <row r="664" spans="1:44" ht="16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S664" s="3"/>
      <c r="T664" s="3"/>
      <c r="U664" s="3"/>
      <c r="V664" s="3"/>
      <c r="W664" s="3"/>
      <c r="X664" s="3"/>
      <c r="Y664" s="3"/>
      <c r="Z664" s="3"/>
      <c r="AB664" s="3"/>
      <c r="AC664" s="3"/>
      <c r="AD664" s="3"/>
      <c r="AE664" s="3"/>
      <c r="AF664" s="3"/>
      <c r="AG664" s="3"/>
      <c r="AH664" s="3"/>
      <c r="AI664" s="3"/>
      <c r="AK664" s="3"/>
      <c r="AL664" s="3"/>
      <c r="AM664" s="3"/>
      <c r="AN664" s="3"/>
      <c r="AO664" s="3"/>
      <c r="AP664" s="3"/>
      <c r="AQ664" s="3"/>
      <c r="AR664" s="3"/>
    </row>
    <row r="665" spans="1:44" ht="16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S665" s="3"/>
      <c r="T665" s="3"/>
      <c r="U665" s="3"/>
      <c r="V665" s="3"/>
      <c r="W665" s="3"/>
      <c r="X665" s="3"/>
      <c r="Y665" s="3"/>
      <c r="Z665" s="3"/>
      <c r="AB665" s="3"/>
      <c r="AC665" s="3"/>
      <c r="AD665" s="3"/>
      <c r="AE665" s="3"/>
      <c r="AF665" s="3"/>
      <c r="AG665" s="3"/>
      <c r="AH665" s="3"/>
      <c r="AI665" s="3"/>
      <c r="AK665" s="3"/>
      <c r="AL665" s="3"/>
      <c r="AM665" s="3"/>
      <c r="AN665" s="3"/>
      <c r="AO665" s="3"/>
      <c r="AP665" s="3"/>
      <c r="AQ665" s="3"/>
      <c r="AR665" s="3"/>
    </row>
    <row r="666" spans="1:44" ht="16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S666" s="3"/>
      <c r="T666" s="3"/>
      <c r="U666" s="3"/>
      <c r="V666" s="3"/>
      <c r="W666" s="3"/>
      <c r="X666" s="3"/>
      <c r="Y666" s="3"/>
      <c r="Z666" s="3"/>
      <c r="AB666" s="3"/>
      <c r="AC666" s="3"/>
      <c r="AD666" s="3"/>
      <c r="AE666" s="3"/>
      <c r="AF666" s="3"/>
      <c r="AG666" s="3"/>
      <c r="AH666" s="3"/>
      <c r="AI666" s="3"/>
      <c r="AK666" s="3"/>
      <c r="AL666" s="3"/>
      <c r="AM666" s="3"/>
      <c r="AN666" s="3"/>
      <c r="AO666" s="3"/>
      <c r="AP666" s="3"/>
      <c r="AQ666" s="3"/>
      <c r="AR666" s="3"/>
    </row>
    <row r="667" spans="1:44" ht="16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S667" s="3"/>
      <c r="T667" s="3"/>
      <c r="U667" s="3"/>
      <c r="V667" s="3"/>
      <c r="W667" s="3"/>
      <c r="X667" s="3"/>
      <c r="Y667" s="3"/>
      <c r="Z667" s="3"/>
      <c r="AB667" s="3"/>
      <c r="AC667" s="3"/>
      <c r="AD667" s="3"/>
      <c r="AE667" s="3"/>
      <c r="AF667" s="3"/>
      <c r="AG667" s="3"/>
      <c r="AH667" s="3"/>
      <c r="AI667" s="3"/>
      <c r="AK667" s="3"/>
      <c r="AL667" s="3"/>
      <c r="AM667" s="3"/>
      <c r="AN667" s="3"/>
      <c r="AO667" s="3"/>
      <c r="AP667" s="3"/>
      <c r="AQ667" s="3"/>
      <c r="AR667" s="3"/>
    </row>
    <row r="668" spans="1:44" ht="16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S668" s="3"/>
      <c r="T668" s="3"/>
      <c r="U668" s="3"/>
      <c r="V668" s="3"/>
      <c r="W668" s="3"/>
      <c r="X668" s="3"/>
      <c r="Y668" s="3"/>
      <c r="Z668" s="3"/>
      <c r="AB668" s="3"/>
      <c r="AC668" s="3"/>
      <c r="AD668" s="3"/>
      <c r="AE668" s="3"/>
      <c r="AF668" s="3"/>
      <c r="AG668" s="3"/>
      <c r="AH668" s="3"/>
      <c r="AI668" s="3"/>
      <c r="AK668" s="3"/>
      <c r="AL668" s="3"/>
      <c r="AM668" s="3"/>
      <c r="AN668" s="3"/>
      <c r="AO668" s="3"/>
      <c r="AP668" s="3"/>
      <c r="AQ668" s="3"/>
      <c r="AR668" s="3"/>
    </row>
    <row r="669" spans="1:44" ht="16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S669" s="3"/>
      <c r="T669" s="3"/>
      <c r="U669" s="3"/>
      <c r="V669" s="3"/>
      <c r="W669" s="3"/>
      <c r="X669" s="3"/>
      <c r="Y669" s="3"/>
      <c r="Z669" s="3"/>
      <c r="AB669" s="3"/>
      <c r="AC669" s="3"/>
      <c r="AD669" s="3"/>
      <c r="AE669" s="3"/>
      <c r="AF669" s="3"/>
      <c r="AG669" s="3"/>
      <c r="AH669" s="3"/>
      <c r="AI669" s="3"/>
      <c r="AK669" s="3"/>
      <c r="AL669" s="3"/>
      <c r="AM669" s="3"/>
      <c r="AN669" s="3"/>
      <c r="AO669" s="3"/>
      <c r="AP669" s="3"/>
      <c r="AQ669" s="3"/>
      <c r="AR669" s="3"/>
    </row>
    <row r="670" spans="1:44" ht="16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S670" s="3"/>
      <c r="T670" s="3"/>
      <c r="U670" s="3"/>
      <c r="V670" s="3"/>
      <c r="W670" s="3"/>
      <c r="X670" s="3"/>
      <c r="Y670" s="3"/>
      <c r="Z670" s="3"/>
      <c r="AB670" s="3"/>
      <c r="AC670" s="3"/>
      <c r="AD670" s="3"/>
      <c r="AE670" s="3"/>
      <c r="AF670" s="3"/>
      <c r="AG670" s="3"/>
      <c r="AH670" s="3"/>
      <c r="AI670" s="3"/>
      <c r="AK670" s="3"/>
      <c r="AL670" s="3"/>
      <c r="AM670" s="3"/>
      <c r="AN670" s="3"/>
      <c r="AO670" s="3"/>
      <c r="AP670" s="3"/>
      <c r="AQ670" s="3"/>
      <c r="AR670" s="3"/>
    </row>
    <row r="671" spans="1:44" ht="16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S671" s="3"/>
      <c r="T671" s="3"/>
      <c r="U671" s="3"/>
      <c r="V671" s="3"/>
      <c r="W671" s="3"/>
      <c r="X671" s="3"/>
      <c r="Y671" s="3"/>
      <c r="Z671" s="3"/>
      <c r="AB671" s="3"/>
      <c r="AC671" s="3"/>
      <c r="AD671" s="3"/>
      <c r="AE671" s="3"/>
      <c r="AF671" s="3"/>
      <c r="AG671" s="3"/>
      <c r="AH671" s="3"/>
      <c r="AI671" s="3"/>
      <c r="AK671" s="3"/>
      <c r="AL671" s="3"/>
      <c r="AM671" s="3"/>
      <c r="AN671" s="3"/>
      <c r="AO671" s="3"/>
      <c r="AP671" s="3"/>
      <c r="AQ671" s="3"/>
      <c r="AR671" s="3"/>
    </row>
    <row r="672" spans="1:44" ht="16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S672" s="3"/>
      <c r="T672" s="3"/>
      <c r="U672" s="3"/>
      <c r="V672" s="3"/>
      <c r="W672" s="3"/>
      <c r="X672" s="3"/>
      <c r="Y672" s="3"/>
      <c r="Z672" s="3"/>
      <c r="AB672" s="3"/>
      <c r="AC672" s="3"/>
      <c r="AD672" s="3"/>
      <c r="AE672" s="3"/>
      <c r="AF672" s="3"/>
      <c r="AG672" s="3"/>
      <c r="AH672" s="3"/>
      <c r="AI672" s="3"/>
      <c r="AK672" s="3"/>
      <c r="AL672" s="3"/>
      <c r="AM672" s="3"/>
      <c r="AN672" s="3"/>
      <c r="AO672" s="3"/>
      <c r="AP672" s="3"/>
      <c r="AQ672" s="3"/>
      <c r="AR672" s="3"/>
    </row>
    <row r="673" spans="1:44" ht="16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S673" s="3"/>
      <c r="T673" s="3"/>
      <c r="U673" s="3"/>
      <c r="V673" s="3"/>
      <c r="W673" s="3"/>
      <c r="X673" s="3"/>
      <c r="Y673" s="3"/>
      <c r="Z673" s="3"/>
      <c r="AB673" s="3"/>
      <c r="AC673" s="3"/>
      <c r="AD673" s="3"/>
      <c r="AE673" s="3"/>
      <c r="AF673" s="3"/>
      <c r="AG673" s="3"/>
      <c r="AH673" s="3"/>
      <c r="AI673" s="3"/>
      <c r="AK673" s="3"/>
      <c r="AL673" s="3"/>
      <c r="AM673" s="3"/>
      <c r="AN673" s="3"/>
      <c r="AO673" s="3"/>
      <c r="AP673" s="3"/>
      <c r="AQ673" s="3"/>
      <c r="AR673" s="3"/>
    </row>
    <row r="674" spans="1:44" ht="16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S674" s="3"/>
      <c r="T674" s="3"/>
      <c r="U674" s="3"/>
      <c r="V674" s="3"/>
      <c r="W674" s="3"/>
      <c r="X674" s="3"/>
      <c r="Y674" s="3"/>
      <c r="Z674" s="3"/>
      <c r="AB674" s="3"/>
      <c r="AC674" s="3"/>
      <c r="AD674" s="3"/>
      <c r="AE674" s="3"/>
      <c r="AF674" s="3"/>
      <c r="AG674" s="3"/>
      <c r="AH674" s="3"/>
      <c r="AI674" s="3"/>
      <c r="AK674" s="3"/>
      <c r="AL674" s="3"/>
      <c r="AM674" s="3"/>
      <c r="AN674" s="3"/>
      <c r="AO674" s="3"/>
      <c r="AP674" s="3"/>
      <c r="AQ674" s="3"/>
      <c r="AR674" s="3"/>
    </row>
    <row r="675" spans="1:44" ht="16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S675" s="3"/>
      <c r="T675" s="3"/>
      <c r="U675" s="3"/>
      <c r="V675" s="3"/>
      <c r="W675" s="3"/>
      <c r="X675" s="3"/>
      <c r="Y675" s="3"/>
      <c r="Z675" s="3"/>
      <c r="AB675" s="3"/>
      <c r="AC675" s="3"/>
      <c r="AD675" s="3"/>
      <c r="AE675" s="3"/>
      <c r="AF675" s="3"/>
      <c r="AG675" s="3"/>
      <c r="AH675" s="3"/>
      <c r="AI675" s="3"/>
      <c r="AK675" s="3"/>
      <c r="AL675" s="3"/>
      <c r="AM675" s="3"/>
      <c r="AN675" s="3"/>
      <c r="AO675" s="3"/>
      <c r="AP675" s="3"/>
      <c r="AQ675" s="3"/>
      <c r="AR675" s="3"/>
    </row>
    <row r="676" spans="1:44" ht="16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S676" s="3"/>
      <c r="T676" s="3"/>
      <c r="U676" s="3"/>
      <c r="V676" s="3"/>
      <c r="W676" s="3"/>
      <c r="X676" s="3"/>
      <c r="Y676" s="3"/>
      <c r="Z676" s="3"/>
      <c r="AB676" s="3"/>
      <c r="AC676" s="3"/>
      <c r="AD676" s="3"/>
      <c r="AE676" s="3"/>
      <c r="AF676" s="3"/>
      <c r="AG676" s="3"/>
      <c r="AH676" s="3"/>
      <c r="AI676" s="3"/>
      <c r="AK676" s="3"/>
      <c r="AL676" s="3"/>
      <c r="AM676" s="3"/>
      <c r="AN676" s="3"/>
      <c r="AO676" s="3"/>
      <c r="AP676" s="3"/>
      <c r="AQ676" s="3"/>
      <c r="AR676" s="3"/>
    </row>
    <row r="677" spans="1:44" ht="16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S677" s="3"/>
      <c r="T677" s="3"/>
      <c r="U677" s="3"/>
      <c r="V677" s="3"/>
      <c r="W677" s="3"/>
      <c r="X677" s="3"/>
      <c r="Y677" s="3"/>
      <c r="Z677" s="3"/>
      <c r="AB677" s="3"/>
      <c r="AC677" s="3"/>
      <c r="AD677" s="3"/>
      <c r="AE677" s="3"/>
      <c r="AF677" s="3"/>
      <c r="AG677" s="3"/>
      <c r="AH677" s="3"/>
      <c r="AI677" s="3"/>
      <c r="AK677" s="3"/>
      <c r="AL677" s="3"/>
      <c r="AM677" s="3"/>
      <c r="AN677" s="3"/>
      <c r="AO677" s="3"/>
      <c r="AP677" s="3"/>
      <c r="AQ677" s="3"/>
      <c r="AR677" s="3"/>
    </row>
    <row r="678" spans="1:44" ht="16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S678" s="3"/>
      <c r="T678" s="3"/>
      <c r="U678" s="3"/>
      <c r="V678" s="3"/>
      <c r="W678" s="3"/>
      <c r="X678" s="3"/>
      <c r="Y678" s="3"/>
      <c r="Z678" s="3"/>
      <c r="AB678" s="3"/>
      <c r="AC678" s="3"/>
      <c r="AD678" s="3"/>
      <c r="AE678" s="3"/>
      <c r="AF678" s="3"/>
      <c r="AG678" s="3"/>
      <c r="AH678" s="3"/>
      <c r="AI678" s="3"/>
      <c r="AK678" s="3"/>
      <c r="AL678" s="3"/>
      <c r="AM678" s="3"/>
      <c r="AN678" s="3"/>
      <c r="AO678" s="3"/>
      <c r="AP678" s="3"/>
      <c r="AQ678" s="3"/>
      <c r="AR678" s="3"/>
    </row>
    <row r="679" spans="1:44" ht="16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S679" s="3"/>
      <c r="T679" s="3"/>
      <c r="U679" s="3"/>
      <c r="V679" s="3"/>
      <c r="W679" s="3"/>
      <c r="X679" s="3"/>
      <c r="Y679" s="3"/>
      <c r="Z679" s="3"/>
      <c r="AB679" s="3"/>
      <c r="AC679" s="3"/>
      <c r="AD679" s="3"/>
      <c r="AE679" s="3"/>
      <c r="AF679" s="3"/>
      <c r="AG679" s="3"/>
      <c r="AH679" s="3"/>
      <c r="AI679" s="3"/>
      <c r="AK679" s="3"/>
      <c r="AL679" s="3"/>
      <c r="AM679" s="3"/>
      <c r="AN679" s="3"/>
      <c r="AO679" s="3"/>
      <c r="AP679" s="3"/>
      <c r="AQ679" s="3"/>
      <c r="AR679" s="3"/>
    </row>
    <row r="680" spans="1:44" ht="16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S680" s="3"/>
      <c r="T680" s="3"/>
      <c r="U680" s="3"/>
      <c r="V680" s="3"/>
      <c r="W680" s="3"/>
      <c r="X680" s="3"/>
      <c r="Y680" s="3"/>
      <c r="Z680" s="3"/>
      <c r="AB680" s="3"/>
      <c r="AC680" s="3"/>
      <c r="AD680" s="3"/>
      <c r="AE680" s="3"/>
      <c r="AF680" s="3"/>
      <c r="AG680" s="3"/>
      <c r="AH680" s="3"/>
      <c r="AI680" s="3"/>
      <c r="AK680" s="3"/>
      <c r="AL680" s="3"/>
      <c r="AM680" s="3"/>
      <c r="AN680" s="3"/>
      <c r="AO680" s="3"/>
      <c r="AP680" s="3"/>
      <c r="AQ680" s="3"/>
      <c r="AR680" s="3"/>
    </row>
    <row r="681" spans="1:44" ht="16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S681" s="3"/>
      <c r="T681" s="3"/>
      <c r="U681" s="3"/>
      <c r="V681" s="3"/>
      <c r="W681" s="3"/>
      <c r="X681" s="3"/>
      <c r="Y681" s="3"/>
      <c r="Z681" s="3"/>
      <c r="AB681" s="3"/>
      <c r="AC681" s="3"/>
      <c r="AD681" s="3"/>
      <c r="AE681" s="3"/>
      <c r="AF681" s="3"/>
      <c r="AG681" s="3"/>
      <c r="AH681" s="3"/>
      <c r="AI681" s="3"/>
      <c r="AK681" s="3"/>
      <c r="AL681" s="3"/>
      <c r="AM681" s="3"/>
      <c r="AN681" s="3"/>
      <c r="AO681" s="3"/>
      <c r="AP681" s="3"/>
      <c r="AQ681" s="3"/>
      <c r="AR681" s="3"/>
    </row>
    <row r="682" spans="1:44" ht="16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S682" s="3"/>
      <c r="T682" s="3"/>
      <c r="U682" s="3"/>
      <c r="V682" s="3"/>
      <c r="W682" s="3"/>
      <c r="X682" s="3"/>
      <c r="Y682" s="3"/>
      <c r="Z682" s="3"/>
      <c r="AB682" s="3"/>
      <c r="AC682" s="3"/>
      <c r="AD682" s="3"/>
      <c r="AE682" s="3"/>
      <c r="AF682" s="3"/>
      <c r="AG682" s="3"/>
      <c r="AH682" s="3"/>
      <c r="AI682" s="3"/>
      <c r="AK682" s="3"/>
      <c r="AL682" s="3"/>
      <c r="AM682" s="3"/>
      <c r="AN682" s="3"/>
      <c r="AO682" s="3"/>
      <c r="AP682" s="3"/>
      <c r="AQ682" s="3"/>
      <c r="AR682" s="3"/>
    </row>
    <row r="683" spans="1:44" ht="16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S683" s="3"/>
      <c r="T683" s="3"/>
      <c r="U683" s="3"/>
      <c r="V683" s="3"/>
      <c r="W683" s="3"/>
      <c r="X683" s="3"/>
      <c r="Y683" s="3"/>
      <c r="Z683" s="3"/>
      <c r="AB683" s="3"/>
      <c r="AC683" s="3"/>
      <c r="AD683" s="3"/>
      <c r="AE683" s="3"/>
      <c r="AF683" s="3"/>
      <c r="AG683" s="3"/>
      <c r="AH683" s="3"/>
      <c r="AI683" s="3"/>
      <c r="AK683" s="3"/>
      <c r="AL683" s="3"/>
      <c r="AM683" s="3"/>
      <c r="AN683" s="3"/>
      <c r="AO683" s="3"/>
      <c r="AP683" s="3"/>
      <c r="AQ683" s="3"/>
      <c r="AR683" s="3"/>
    </row>
    <row r="684" spans="1:44" ht="16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S684" s="3"/>
      <c r="T684" s="3"/>
      <c r="U684" s="3"/>
      <c r="V684" s="3"/>
      <c r="W684" s="3"/>
      <c r="X684" s="3"/>
      <c r="Y684" s="3"/>
      <c r="Z684" s="3"/>
      <c r="AB684" s="3"/>
      <c r="AC684" s="3"/>
      <c r="AD684" s="3"/>
      <c r="AE684" s="3"/>
      <c r="AF684" s="3"/>
      <c r="AG684" s="3"/>
      <c r="AH684" s="3"/>
      <c r="AI684" s="3"/>
      <c r="AK684" s="3"/>
      <c r="AL684" s="3"/>
      <c r="AM684" s="3"/>
      <c r="AN684" s="3"/>
      <c r="AO684" s="3"/>
      <c r="AP684" s="3"/>
      <c r="AQ684" s="3"/>
      <c r="AR684" s="3"/>
    </row>
    <row r="685" spans="1:44" ht="16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S685" s="3"/>
      <c r="T685" s="3"/>
      <c r="U685" s="3"/>
      <c r="V685" s="3"/>
      <c r="W685" s="3"/>
      <c r="X685" s="3"/>
      <c r="Y685" s="3"/>
      <c r="Z685" s="3"/>
      <c r="AB685" s="3"/>
      <c r="AC685" s="3"/>
      <c r="AD685" s="3"/>
      <c r="AE685" s="3"/>
      <c r="AF685" s="3"/>
      <c r="AG685" s="3"/>
      <c r="AH685" s="3"/>
      <c r="AI685" s="3"/>
      <c r="AK685" s="3"/>
      <c r="AL685" s="3"/>
      <c r="AM685" s="3"/>
      <c r="AN685" s="3"/>
      <c r="AO685" s="3"/>
      <c r="AP685" s="3"/>
      <c r="AQ685" s="3"/>
      <c r="AR685" s="3"/>
    </row>
    <row r="686" spans="1:44" ht="16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S686" s="3"/>
      <c r="T686" s="3"/>
      <c r="U686" s="3"/>
      <c r="V686" s="3"/>
      <c r="W686" s="3"/>
      <c r="X686" s="3"/>
      <c r="Y686" s="3"/>
      <c r="Z686" s="3"/>
      <c r="AB686" s="3"/>
      <c r="AC686" s="3"/>
      <c r="AD686" s="3"/>
      <c r="AE686" s="3"/>
      <c r="AF686" s="3"/>
      <c r="AG686" s="3"/>
      <c r="AH686" s="3"/>
      <c r="AI686" s="3"/>
      <c r="AK686" s="3"/>
      <c r="AL686" s="3"/>
      <c r="AM686" s="3"/>
      <c r="AN686" s="3"/>
      <c r="AO686" s="3"/>
      <c r="AP686" s="3"/>
      <c r="AQ686" s="3"/>
      <c r="AR686" s="3"/>
    </row>
    <row r="687" spans="1:44" ht="16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S687" s="3"/>
      <c r="T687" s="3"/>
      <c r="U687" s="3"/>
      <c r="V687" s="3"/>
      <c r="W687" s="3"/>
      <c r="X687" s="3"/>
      <c r="Y687" s="3"/>
      <c r="Z687" s="3"/>
      <c r="AB687" s="3"/>
      <c r="AC687" s="3"/>
      <c r="AD687" s="3"/>
      <c r="AE687" s="3"/>
      <c r="AF687" s="3"/>
      <c r="AG687" s="3"/>
      <c r="AH687" s="3"/>
      <c r="AI687" s="3"/>
      <c r="AK687" s="3"/>
      <c r="AL687" s="3"/>
      <c r="AM687" s="3"/>
      <c r="AN687" s="3"/>
      <c r="AO687" s="3"/>
      <c r="AP687" s="3"/>
      <c r="AQ687" s="3"/>
      <c r="AR687" s="3"/>
    </row>
    <row r="688" spans="1:44" ht="16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S688" s="3"/>
      <c r="T688" s="3"/>
      <c r="U688" s="3"/>
      <c r="V688" s="3"/>
      <c r="W688" s="3"/>
      <c r="X688" s="3"/>
      <c r="Y688" s="3"/>
      <c r="Z688" s="3"/>
      <c r="AB688" s="3"/>
      <c r="AC688" s="3"/>
      <c r="AD688" s="3"/>
      <c r="AE688" s="3"/>
      <c r="AF688" s="3"/>
      <c r="AG688" s="3"/>
      <c r="AH688" s="3"/>
      <c r="AI688" s="3"/>
      <c r="AK688" s="3"/>
      <c r="AL688" s="3"/>
      <c r="AM688" s="3"/>
      <c r="AN688" s="3"/>
      <c r="AO688" s="3"/>
      <c r="AP688" s="3"/>
      <c r="AQ688" s="3"/>
      <c r="AR688" s="3"/>
    </row>
    <row r="689" spans="1:44" ht="16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S689" s="3"/>
      <c r="T689" s="3"/>
      <c r="U689" s="3"/>
      <c r="V689" s="3"/>
      <c r="W689" s="3"/>
      <c r="X689" s="3"/>
      <c r="Y689" s="3"/>
      <c r="Z689" s="3"/>
      <c r="AB689" s="3"/>
      <c r="AC689" s="3"/>
      <c r="AD689" s="3"/>
      <c r="AE689" s="3"/>
      <c r="AF689" s="3"/>
      <c r="AG689" s="3"/>
      <c r="AH689" s="3"/>
      <c r="AI689" s="3"/>
      <c r="AK689" s="3"/>
      <c r="AL689" s="3"/>
      <c r="AM689" s="3"/>
      <c r="AN689" s="3"/>
      <c r="AO689" s="3"/>
      <c r="AP689" s="3"/>
      <c r="AQ689" s="3"/>
      <c r="AR689" s="3"/>
    </row>
    <row r="690" spans="1:44" ht="16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S690" s="3"/>
      <c r="T690" s="3"/>
      <c r="U690" s="3"/>
      <c r="V690" s="3"/>
      <c r="W690" s="3"/>
      <c r="X690" s="3"/>
      <c r="Y690" s="3"/>
      <c r="Z690" s="3"/>
      <c r="AB690" s="3"/>
      <c r="AC690" s="3"/>
      <c r="AD690" s="3"/>
      <c r="AE690" s="3"/>
      <c r="AF690" s="3"/>
      <c r="AG690" s="3"/>
      <c r="AH690" s="3"/>
      <c r="AI690" s="3"/>
      <c r="AK690" s="3"/>
      <c r="AL690" s="3"/>
      <c r="AM690" s="3"/>
      <c r="AN690" s="3"/>
      <c r="AO690" s="3"/>
      <c r="AP690" s="3"/>
      <c r="AQ690" s="3"/>
      <c r="AR690" s="3"/>
    </row>
    <row r="691" spans="1:44" ht="16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S691" s="3"/>
      <c r="T691" s="3"/>
      <c r="U691" s="3"/>
      <c r="V691" s="3"/>
      <c r="W691" s="3"/>
      <c r="X691" s="3"/>
      <c r="Y691" s="3"/>
      <c r="Z691" s="3"/>
      <c r="AB691" s="3"/>
      <c r="AC691" s="3"/>
      <c r="AD691" s="3"/>
      <c r="AE691" s="3"/>
      <c r="AF691" s="3"/>
      <c r="AG691" s="3"/>
      <c r="AH691" s="3"/>
      <c r="AI691" s="3"/>
      <c r="AK691" s="3"/>
      <c r="AL691" s="3"/>
      <c r="AM691" s="3"/>
      <c r="AN691" s="3"/>
      <c r="AO691" s="3"/>
      <c r="AP691" s="3"/>
      <c r="AQ691" s="3"/>
      <c r="AR691" s="3"/>
    </row>
    <row r="692" spans="1:44" ht="16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S692" s="3"/>
      <c r="T692" s="3"/>
      <c r="U692" s="3"/>
      <c r="V692" s="3"/>
      <c r="W692" s="3"/>
      <c r="X692" s="3"/>
      <c r="Y692" s="3"/>
      <c r="Z692" s="3"/>
      <c r="AB692" s="3"/>
      <c r="AC692" s="3"/>
      <c r="AD692" s="3"/>
      <c r="AE692" s="3"/>
      <c r="AF692" s="3"/>
      <c r="AG692" s="3"/>
      <c r="AH692" s="3"/>
      <c r="AI692" s="3"/>
      <c r="AK692" s="3"/>
      <c r="AL692" s="3"/>
      <c r="AM692" s="3"/>
      <c r="AN692" s="3"/>
      <c r="AO692" s="3"/>
      <c r="AP692" s="3"/>
      <c r="AQ692" s="3"/>
      <c r="AR692" s="3"/>
    </row>
    <row r="693" spans="1:44" ht="16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S693" s="3"/>
      <c r="T693" s="3"/>
      <c r="U693" s="3"/>
      <c r="V693" s="3"/>
      <c r="W693" s="3"/>
      <c r="X693" s="3"/>
      <c r="Y693" s="3"/>
      <c r="Z693" s="3"/>
      <c r="AB693" s="3"/>
      <c r="AC693" s="3"/>
      <c r="AD693" s="3"/>
      <c r="AE693" s="3"/>
      <c r="AF693" s="3"/>
      <c r="AG693" s="3"/>
      <c r="AH693" s="3"/>
      <c r="AI693" s="3"/>
      <c r="AK693" s="3"/>
      <c r="AL693" s="3"/>
      <c r="AM693" s="3"/>
      <c r="AN693" s="3"/>
      <c r="AO693" s="3"/>
      <c r="AP693" s="3"/>
      <c r="AQ693" s="3"/>
      <c r="AR693" s="3"/>
    </row>
    <row r="694" spans="1:44" ht="16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S694" s="3"/>
      <c r="T694" s="3"/>
      <c r="U694" s="3"/>
      <c r="V694" s="3"/>
      <c r="W694" s="3"/>
      <c r="X694" s="3"/>
      <c r="Y694" s="3"/>
      <c r="Z694" s="3"/>
      <c r="AB694" s="3"/>
      <c r="AC694" s="3"/>
      <c r="AD694" s="3"/>
      <c r="AE694" s="3"/>
      <c r="AF694" s="3"/>
      <c r="AG694" s="3"/>
      <c r="AH694" s="3"/>
      <c r="AI694" s="3"/>
      <c r="AK694" s="3"/>
      <c r="AL694" s="3"/>
      <c r="AM694" s="3"/>
      <c r="AN694" s="3"/>
      <c r="AO694" s="3"/>
      <c r="AP694" s="3"/>
      <c r="AQ694" s="3"/>
      <c r="AR694" s="3"/>
    </row>
    <row r="695" spans="1:44" ht="16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S695" s="3"/>
      <c r="T695" s="3"/>
      <c r="U695" s="3"/>
      <c r="V695" s="3"/>
      <c r="W695" s="3"/>
      <c r="X695" s="3"/>
      <c r="Y695" s="3"/>
      <c r="Z695" s="3"/>
      <c r="AB695" s="3"/>
      <c r="AC695" s="3"/>
      <c r="AD695" s="3"/>
      <c r="AE695" s="3"/>
      <c r="AF695" s="3"/>
      <c r="AG695" s="3"/>
      <c r="AH695" s="3"/>
      <c r="AI695" s="3"/>
      <c r="AK695" s="3"/>
      <c r="AL695" s="3"/>
      <c r="AM695" s="3"/>
      <c r="AN695" s="3"/>
      <c r="AO695" s="3"/>
      <c r="AP695" s="3"/>
      <c r="AQ695" s="3"/>
      <c r="AR695" s="3"/>
    </row>
    <row r="696" spans="1:44" ht="16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S696" s="3"/>
      <c r="T696" s="3"/>
      <c r="U696" s="3"/>
      <c r="V696" s="3"/>
      <c r="W696" s="3"/>
      <c r="X696" s="3"/>
      <c r="Y696" s="3"/>
      <c r="Z696" s="3"/>
      <c r="AB696" s="3"/>
      <c r="AC696" s="3"/>
      <c r="AD696" s="3"/>
      <c r="AE696" s="3"/>
      <c r="AF696" s="3"/>
      <c r="AG696" s="3"/>
      <c r="AH696" s="3"/>
      <c r="AI696" s="3"/>
      <c r="AK696" s="3"/>
      <c r="AL696" s="3"/>
      <c r="AM696" s="3"/>
      <c r="AN696" s="3"/>
      <c r="AO696" s="3"/>
      <c r="AP696" s="3"/>
      <c r="AQ696" s="3"/>
      <c r="AR696" s="3"/>
    </row>
    <row r="697" spans="1:44" ht="16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S697" s="3"/>
      <c r="T697" s="3"/>
      <c r="U697" s="3"/>
      <c r="V697" s="3"/>
      <c r="W697" s="3"/>
      <c r="X697" s="3"/>
      <c r="Y697" s="3"/>
      <c r="Z697" s="3"/>
      <c r="AB697" s="3"/>
      <c r="AC697" s="3"/>
      <c r="AD697" s="3"/>
      <c r="AE697" s="3"/>
      <c r="AF697" s="3"/>
      <c r="AG697" s="3"/>
      <c r="AH697" s="3"/>
      <c r="AI697" s="3"/>
      <c r="AK697" s="3"/>
      <c r="AL697" s="3"/>
      <c r="AM697" s="3"/>
      <c r="AN697" s="3"/>
      <c r="AO697" s="3"/>
      <c r="AP697" s="3"/>
      <c r="AQ697" s="3"/>
      <c r="AR697" s="3"/>
    </row>
    <row r="698" spans="1:44" ht="16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S698" s="3"/>
      <c r="T698" s="3"/>
      <c r="U698" s="3"/>
      <c r="V698" s="3"/>
      <c r="W698" s="3"/>
      <c r="X698" s="3"/>
      <c r="Y698" s="3"/>
      <c r="Z698" s="3"/>
      <c r="AB698" s="3"/>
      <c r="AC698" s="3"/>
      <c r="AD698" s="3"/>
      <c r="AE698" s="3"/>
      <c r="AF698" s="3"/>
      <c r="AG698" s="3"/>
      <c r="AH698" s="3"/>
      <c r="AI698" s="3"/>
      <c r="AK698" s="3"/>
      <c r="AL698" s="3"/>
      <c r="AM698" s="3"/>
      <c r="AN698" s="3"/>
      <c r="AO698" s="3"/>
      <c r="AP698" s="3"/>
      <c r="AQ698" s="3"/>
      <c r="AR698" s="3"/>
    </row>
    <row r="699" spans="1:44" ht="16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S699" s="3"/>
      <c r="T699" s="3"/>
      <c r="U699" s="3"/>
      <c r="V699" s="3"/>
      <c r="W699" s="3"/>
      <c r="X699" s="3"/>
      <c r="Y699" s="3"/>
      <c r="Z699" s="3"/>
      <c r="AB699" s="3"/>
      <c r="AC699" s="3"/>
      <c r="AD699" s="3"/>
      <c r="AE699" s="3"/>
      <c r="AF699" s="3"/>
      <c r="AG699" s="3"/>
      <c r="AH699" s="3"/>
      <c r="AI699" s="3"/>
      <c r="AK699" s="3"/>
      <c r="AL699" s="3"/>
      <c r="AM699" s="3"/>
      <c r="AN699" s="3"/>
      <c r="AO699" s="3"/>
      <c r="AP699" s="3"/>
      <c r="AQ699" s="3"/>
      <c r="AR699" s="3"/>
    </row>
    <row r="700" spans="1:44" ht="16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S700" s="3"/>
      <c r="T700" s="3"/>
      <c r="U700" s="3"/>
      <c r="V700" s="3"/>
      <c r="W700" s="3"/>
      <c r="X700" s="3"/>
      <c r="Y700" s="3"/>
      <c r="Z700" s="3"/>
      <c r="AB700" s="3"/>
      <c r="AC700" s="3"/>
      <c r="AD700" s="3"/>
      <c r="AE700" s="3"/>
      <c r="AF700" s="3"/>
      <c r="AG700" s="3"/>
      <c r="AH700" s="3"/>
      <c r="AI700" s="3"/>
      <c r="AK700" s="3"/>
      <c r="AL700" s="3"/>
      <c r="AM700" s="3"/>
      <c r="AN700" s="3"/>
      <c r="AO700" s="3"/>
      <c r="AP700" s="3"/>
      <c r="AQ700" s="3"/>
      <c r="AR700" s="3"/>
    </row>
    <row r="701" spans="1:44" ht="16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S701" s="3"/>
      <c r="T701" s="3"/>
      <c r="U701" s="3"/>
      <c r="V701" s="3"/>
      <c r="W701" s="3"/>
      <c r="X701" s="3"/>
      <c r="Y701" s="3"/>
      <c r="Z701" s="3"/>
      <c r="AB701" s="3"/>
      <c r="AC701" s="3"/>
      <c r="AD701" s="3"/>
      <c r="AE701" s="3"/>
      <c r="AF701" s="3"/>
      <c r="AG701" s="3"/>
      <c r="AH701" s="3"/>
      <c r="AI701" s="3"/>
      <c r="AK701" s="3"/>
      <c r="AL701" s="3"/>
      <c r="AM701" s="3"/>
      <c r="AN701" s="3"/>
      <c r="AO701" s="3"/>
      <c r="AP701" s="3"/>
      <c r="AQ701" s="3"/>
      <c r="AR701" s="3"/>
    </row>
    <row r="702" spans="1:44" ht="16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S702" s="3"/>
      <c r="T702" s="3"/>
      <c r="U702" s="3"/>
      <c r="V702" s="3"/>
      <c r="W702" s="3"/>
      <c r="X702" s="3"/>
      <c r="Y702" s="3"/>
      <c r="Z702" s="3"/>
      <c r="AB702" s="3"/>
      <c r="AC702" s="3"/>
      <c r="AD702" s="3"/>
      <c r="AE702" s="3"/>
      <c r="AF702" s="3"/>
      <c r="AG702" s="3"/>
      <c r="AH702" s="3"/>
      <c r="AI702" s="3"/>
      <c r="AK702" s="3"/>
      <c r="AL702" s="3"/>
      <c r="AM702" s="3"/>
      <c r="AN702" s="3"/>
      <c r="AO702" s="3"/>
      <c r="AP702" s="3"/>
      <c r="AQ702" s="3"/>
      <c r="AR702" s="3"/>
    </row>
    <row r="703" spans="1:44" ht="16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S703" s="3"/>
      <c r="T703" s="3"/>
      <c r="U703" s="3"/>
      <c r="V703" s="3"/>
      <c r="W703" s="3"/>
      <c r="X703" s="3"/>
      <c r="Y703" s="3"/>
      <c r="Z703" s="3"/>
      <c r="AB703" s="3"/>
      <c r="AC703" s="3"/>
      <c r="AD703" s="3"/>
      <c r="AE703" s="3"/>
      <c r="AF703" s="3"/>
      <c r="AG703" s="3"/>
      <c r="AH703" s="3"/>
      <c r="AI703" s="3"/>
      <c r="AK703" s="3"/>
      <c r="AL703" s="3"/>
      <c r="AM703" s="3"/>
      <c r="AN703" s="3"/>
      <c r="AO703" s="3"/>
      <c r="AP703" s="3"/>
      <c r="AQ703" s="3"/>
      <c r="AR703" s="3"/>
    </row>
    <row r="704" spans="1:44" ht="16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S704" s="3"/>
      <c r="T704" s="3"/>
      <c r="U704" s="3"/>
      <c r="V704" s="3"/>
      <c r="W704" s="3"/>
      <c r="X704" s="3"/>
      <c r="Y704" s="3"/>
      <c r="Z704" s="3"/>
      <c r="AB704" s="3"/>
      <c r="AC704" s="3"/>
      <c r="AD704" s="3"/>
      <c r="AE704" s="3"/>
      <c r="AF704" s="3"/>
      <c r="AG704" s="3"/>
      <c r="AH704" s="3"/>
      <c r="AI704" s="3"/>
      <c r="AK704" s="3"/>
      <c r="AL704" s="3"/>
      <c r="AM704" s="3"/>
      <c r="AN704" s="3"/>
      <c r="AO704" s="3"/>
      <c r="AP704" s="3"/>
      <c r="AQ704" s="3"/>
      <c r="AR704" s="3"/>
    </row>
    <row r="705" spans="1:44" ht="16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S705" s="3"/>
      <c r="T705" s="3"/>
      <c r="U705" s="3"/>
      <c r="V705" s="3"/>
      <c r="W705" s="3"/>
      <c r="X705" s="3"/>
      <c r="Y705" s="3"/>
      <c r="Z705" s="3"/>
      <c r="AB705" s="3"/>
      <c r="AC705" s="3"/>
      <c r="AD705" s="3"/>
      <c r="AE705" s="3"/>
      <c r="AF705" s="3"/>
      <c r="AG705" s="3"/>
      <c r="AH705" s="3"/>
      <c r="AI705" s="3"/>
      <c r="AK705" s="3"/>
      <c r="AL705" s="3"/>
      <c r="AM705" s="3"/>
      <c r="AN705" s="3"/>
      <c r="AO705" s="3"/>
      <c r="AP705" s="3"/>
      <c r="AQ705" s="3"/>
      <c r="AR705" s="3"/>
    </row>
    <row r="706" spans="1:44" ht="16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S706" s="3"/>
      <c r="T706" s="3"/>
      <c r="U706" s="3"/>
      <c r="V706" s="3"/>
      <c r="W706" s="3"/>
      <c r="X706" s="3"/>
      <c r="Y706" s="3"/>
      <c r="Z706" s="3"/>
      <c r="AB706" s="3"/>
      <c r="AC706" s="3"/>
      <c r="AD706" s="3"/>
      <c r="AE706" s="3"/>
      <c r="AF706" s="3"/>
      <c r="AG706" s="3"/>
      <c r="AH706" s="3"/>
      <c r="AI706" s="3"/>
      <c r="AK706" s="3"/>
      <c r="AL706" s="3"/>
      <c r="AM706" s="3"/>
      <c r="AN706" s="3"/>
      <c r="AO706" s="3"/>
      <c r="AP706" s="3"/>
      <c r="AQ706" s="3"/>
      <c r="AR706" s="3"/>
    </row>
    <row r="707" spans="1:44" ht="16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S707" s="3"/>
      <c r="T707" s="3"/>
      <c r="U707" s="3"/>
      <c r="V707" s="3"/>
      <c r="W707" s="3"/>
      <c r="X707" s="3"/>
      <c r="Y707" s="3"/>
      <c r="Z707" s="3"/>
      <c r="AB707" s="3"/>
      <c r="AC707" s="3"/>
      <c r="AD707" s="3"/>
      <c r="AE707" s="3"/>
      <c r="AF707" s="3"/>
      <c r="AG707" s="3"/>
      <c r="AH707" s="3"/>
      <c r="AI707" s="3"/>
      <c r="AK707" s="3"/>
      <c r="AL707" s="3"/>
      <c r="AM707" s="3"/>
      <c r="AN707" s="3"/>
      <c r="AO707" s="3"/>
      <c r="AP707" s="3"/>
      <c r="AQ707" s="3"/>
      <c r="AR707" s="3"/>
    </row>
    <row r="708" spans="1:44" ht="16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S708" s="3"/>
      <c r="T708" s="3"/>
      <c r="U708" s="3"/>
      <c r="V708" s="3"/>
      <c r="W708" s="3"/>
      <c r="X708" s="3"/>
      <c r="Y708" s="3"/>
      <c r="Z708" s="3"/>
      <c r="AB708" s="3"/>
      <c r="AC708" s="3"/>
      <c r="AD708" s="3"/>
      <c r="AE708" s="3"/>
      <c r="AF708" s="3"/>
      <c r="AG708" s="3"/>
      <c r="AH708" s="3"/>
      <c r="AI708" s="3"/>
      <c r="AK708" s="3"/>
      <c r="AL708" s="3"/>
      <c r="AM708" s="3"/>
      <c r="AN708" s="3"/>
      <c r="AO708" s="3"/>
      <c r="AP708" s="3"/>
      <c r="AQ708" s="3"/>
      <c r="AR708" s="3"/>
    </row>
    <row r="709" spans="1:44" ht="16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S709" s="3"/>
      <c r="T709" s="3"/>
      <c r="U709" s="3"/>
      <c r="V709" s="3"/>
      <c r="W709" s="3"/>
      <c r="X709" s="3"/>
      <c r="Y709" s="3"/>
      <c r="Z709" s="3"/>
      <c r="AB709" s="3"/>
      <c r="AC709" s="3"/>
      <c r="AD709" s="3"/>
      <c r="AE709" s="3"/>
      <c r="AF709" s="3"/>
      <c r="AG709" s="3"/>
      <c r="AH709" s="3"/>
      <c r="AI709" s="3"/>
      <c r="AK709" s="3"/>
      <c r="AL709" s="3"/>
      <c r="AM709" s="3"/>
      <c r="AN709" s="3"/>
      <c r="AO709" s="3"/>
      <c r="AP709" s="3"/>
      <c r="AQ709" s="3"/>
      <c r="AR709" s="3"/>
    </row>
    <row r="710" spans="1:44" ht="16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S710" s="3"/>
      <c r="T710" s="3"/>
      <c r="U710" s="3"/>
      <c r="V710" s="3"/>
      <c r="W710" s="3"/>
      <c r="X710" s="3"/>
      <c r="Y710" s="3"/>
      <c r="Z710" s="3"/>
      <c r="AB710" s="3"/>
      <c r="AC710" s="3"/>
      <c r="AD710" s="3"/>
      <c r="AE710" s="3"/>
      <c r="AF710" s="3"/>
      <c r="AG710" s="3"/>
      <c r="AH710" s="3"/>
      <c r="AI710" s="3"/>
      <c r="AK710" s="3"/>
      <c r="AL710" s="3"/>
      <c r="AM710" s="3"/>
      <c r="AN710" s="3"/>
      <c r="AO710" s="3"/>
      <c r="AP710" s="3"/>
      <c r="AQ710" s="3"/>
      <c r="AR710" s="3"/>
    </row>
    <row r="711" spans="1:44" ht="16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S711" s="3"/>
      <c r="T711" s="3"/>
      <c r="U711" s="3"/>
      <c r="V711" s="3"/>
      <c r="W711" s="3"/>
      <c r="X711" s="3"/>
      <c r="Y711" s="3"/>
      <c r="Z711" s="3"/>
      <c r="AB711" s="3"/>
      <c r="AC711" s="3"/>
      <c r="AD711" s="3"/>
      <c r="AE711" s="3"/>
      <c r="AF711" s="3"/>
      <c r="AG711" s="3"/>
      <c r="AH711" s="3"/>
      <c r="AI711" s="3"/>
      <c r="AK711" s="3"/>
      <c r="AL711" s="3"/>
      <c r="AM711" s="3"/>
      <c r="AN711" s="3"/>
      <c r="AO711" s="3"/>
      <c r="AP711" s="3"/>
      <c r="AQ711" s="3"/>
      <c r="AR711" s="3"/>
    </row>
    <row r="712" spans="1:44" ht="16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S712" s="3"/>
      <c r="T712" s="3"/>
      <c r="U712" s="3"/>
      <c r="V712" s="3"/>
      <c r="W712" s="3"/>
      <c r="X712" s="3"/>
      <c r="Y712" s="3"/>
      <c r="Z712" s="3"/>
      <c r="AB712" s="3"/>
      <c r="AC712" s="3"/>
      <c r="AD712" s="3"/>
      <c r="AE712" s="3"/>
      <c r="AF712" s="3"/>
      <c r="AG712" s="3"/>
      <c r="AH712" s="3"/>
      <c r="AI712" s="3"/>
      <c r="AK712" s="3"/>
      <c r="AL712" s="3"/>
      <c r="AM712" s="3"/>
      <c r="AN712" s="3"/>
      <c r="AO712" s="3"/>
      <c r="AP712" s="3"/>
      <c r="AQ712" s="3"/>
      <c r="AR712" s="3"/>
    </row>
    <row r="713" spans="1:44" ht="16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S713" s="3"/>
      <c r="T713" s="3"/>
      <c r="U713" s="3"/>
      <c r="V713" s="3"/>
      <c r="W713" s="3"/>
      <c r="X713" s="3"/>
      <c r="Y713" s="3"/>
      <c r="Z713" s="3"/>
      <c r="AB713" s="3"/>
      <c r="AC713" s="3"/>
      <c r="AD713" s="3"/>
      <c r="AE713" s="3"/>
      <c r="AF713" s="3"/>
      <c r="AG713" s="3"/>
      <c r="AH713" s="3"/>
      <c r="AI713" s="3"/>
      <c r="AK713" s="3"/>
      <c r="AL713" s="3"/>
      <c r="AM713" s="3"/>
      <c r="AN713" s="3"/>
      <c r="AO713" s="3"/>
      <c r="AP713" s="3"/>
      <c r="AQ713" s="3"/>
      <c r="AR713" s="3"/>
    </row>
    <row r="714" spans="1:44" ht="16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S714" s="3"/>
      <c r="T714" s="3"/>
      <c r="U714" s="3"/>
      <c r="V714" s="3"/>
      <c r="W714" s="3"/>
      <c r="X714" s="3"/>
      <c r="Y714" s="3"/>
      <c r="Z714" s="3"/>
      <c r="AB714" s="3"/>
      <c r="AC714" s="3"/>
      <c r="AD714" s="3"/>
      <c r="AE714" s="3"/>
      <c r="AF714" s="3"/>
      <c r="AG714" s="3"/>
      <c r="AH714" s="3"/>
      <c r="AI714" s="3"/>
      <c r="AK714" s="3"/>
      <c r="AL714" s="3"/>
      <c r="AM714" s="3"/>
      <c r="AN714" s="3"/>
      <c r="AO714" s="3"/>
      <c r="AP714" s="3"/>
      <c r="AQ714" s="3"/>
      <c r="AR714" s="3"/>
    </row>
    <row r="715" spans="1:44" ht="16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S715" s="3"/>
      <c r="T715" s="3"/>
      <c r="U715" s="3"/>
      <c r="V715" s="3"/>
      <c r="W715" s="3"/>
      <c r="X715" s="3"/>
      <c r="Y715" s="3"/>
      <c r="Z715" s="3"/>
      <c r="AB715" s="3"/>
      <c r="AC715" s="3"/>
      <c r="AD715" s="3"/>
      <c r="AE715" s="3"/>
      <c r="AF715" s="3"/>
      <c r="AG715" s="3"/>
      <c r="AH715" s="3"/>
      <c r="AI715" s="3"/>
      <c r="AK715" s="3"/>
      <c r="AL715" s="3"/>
      <c r="AM715" s="3"/>
      <c r="AN715" s="3"/>
      <c r="AO715" s="3"/>
      <c r="AP715" s="3"/>
      <c r="AQ715" s="3"/>
      <c r="AR715" s="3"/>
    </row>
    <row r="716" spans="1:44" ht="16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S716" s="3"/>
      <c r="T716" s="3"/>
      <c r="U716" s="3"/>
      <c r="V716" s="3"/>
      <c r="W716" s="3"/>
      <c r="X716" s="3"/>
      <c r="Y716" s="3"/>
      <c r="Z716" s="3"/>
      <c r="AB716" s="3"/>
      <c r="AC716" s="3"/>
      <c r="AD716" s="3"/>
      <c r="AE716" s="3"/>
      <c r="AF716" s="3"/>
      <c r="AG716" s="3"/>
      <c r="AH716" s="3"/>
      <c r="AI716" s="3"/>
      <c r="AK716" s="3"/>
      <c r="AL716" s="3"/>
      <c r="AM716" s="3"/>
      <c r="AN716" s="3"/>
      <c r="AO716" s="3"/>
      <c r="AP716" s="3"/>
      <c r="AQ716" s="3"/>
      <c r="AR716" s="3"/>
    </row>
    <row r="717" spans="1:44" ht="16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S717" s="3"/>
      <c r="T717" s="3"/>
      <c r="U717" s="3"/>
      <c r="V717" s="3"/>
      <c r="W717" s="3"/>
      <c r="X717" s="3"/>
      <c r="Y717" s="3"/>
      <c r="Z717" s="3"/>
      <c r="AB717" s="3"/>
      <c r="AC717" s="3"/>
      <c r="AD717" s="3"/>
      <c r="AE717" s="3"/>
      <c r="AF717" s="3"/>
      <c r="AG717" s="3"/>
      <c r="AH717" s="3"/>
      <c r="AI717" s="3"/>
      <c r="AK717" s="3"/>
      <c r="AL717" s="3"/>
      <c r="AM717" s="3"/>
      <c r="AN717" s="3"/>
      <c r="AO717" s="3"/>
      <c r="AP717" s="3"/>
      <c r="AQ717" s="3"/>
      <c r="AR717" s="3"/>
    </row>
    <row r="718" spans="1:44" ht="16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S718" s="3"/>
      <c r="T718" s="3"/>
      <c r="U718" s="3"/>
      <c r="V718" s="3"/>
      <c r="W718" s="3"/>
      <c r="X718" s="3"/>
      <c r="Y718" s="3"/>
      <c r="Z718" s="3"/>
      <c r="AB718" s="3"/>
      <c r="AC718" s="3"/>
      <c r="AD718" s="3"/>
      <c r="AE718" s="3"/>
      <c r="AF718" s="3"/>
      <c r="AG718" s="3"/>
      <c r="AH718" s="3"/>
      <c r="AI718" s="3"/>
      <c r="AK718" s="3"/>
      <c r="AL718" s="3"/>
      <c r="AM718" s="3"/>
      <c r="AN718" s="3"/>
      <c r="AO718" s="3"/>
      <c r="AP718" s="3"/>
      <c r="AQ718" s="3"/>
      <c r="AR718" s="3"/>
    </row>
    <row r="719" spans="1:44" ht="16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S719" s="3"/>
      <c r="T719" s="3"/>
      <c r="U719" s="3"/>
      <c r="V719" s="3"/>
      <c r="W719" s="3"/>
      <c r="X719" s="3"/>
      <c r="Y719" s="3"/>
      <c r="Z719" s="3"/>
      <c r="AB719" s="3"/>
      <c r="AC719" s="3"/>
      <c r="AD719" s="3"/>
      <c r="AE719" s="3"/>
      <c r="AF719" s="3"/>
      <c r="AG719" s="3"/>
      <c r="AH719" s="3"/>
      <c r="AI719" s="3"/>
      <c r="AK719" s="3"/>
      <c r="AL719" s="3"/>
      <c r="AM719" s="3"/>
      <c r="AN719" s="3"/>
      <c r="AO719" s="3"/>
      <c r="AP719" s="3"/>
      <c r="AQ719" s="3"/>
      <c r="AR719" s="3"/>
    </row>
    <row r="720" spans="1:44" ht="16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S720" s="3"/>
      <c r="T720" s="3"/>
      <c r="U720" s="3"/>
      <c r="V720" s="3"/>
      <c r="W720" s="3"/>
      <c r="X720" s="3"/>
      <c r="Y720" s="3"/>
      <c r="Z720" s="3"/>
      <c r="AB720" s="3"/>
      <c r="AC720" s="3"/>
      <c r="AD720" s="3"/>
      <c r="AE720" s="3"/>
      <c r="AF720" s="3"/>
      <c r="AG720" s="3"/>
      <c r="AH720" s="3"/>
      <c r="AI720" s="3"/>
      <c r="AK720" s="3"/>
      <c r="AL720" s="3"/>
      <c r="AM720" s="3"/>
      <c r="AN720" s="3"/>
      <c r="AO720" s="3"/>
      <c r="AP720" s="3"/>
      <c r="AQ720" s="3"/>
      <c r="AR720" s="3"/>
    </row>
    <row r="721" spans="1:44" ht="16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S721" s="3"/>
      <c r="T721" s="3"/>
      <c r="U721" s="3"/>
      <c r="V721" s="3"/>
      <c r="W721" s="3"/>
      <c r="X721" s="3"/>
      <c r="Y721" s="3"/>
      <c r="Z721" s="3"/>
      <c r="AB721" s="3"/>
      <c r="AC721" s="3"/>
      <c r="AD721" s="3"/>
      <c r="AE721" s="3"/>
      <c r="AF721" s="3"/>
      <c r="AG721" s="3"/>
      <c r="AH721" s="3"/>
      <c r="AI721" s="3"/>
      <c r="AK721" s="3"/>
      <c r="AL721" s="3"/>
      <c r="AM721" s="3"/>
      <c r="AN721" s="3"/>
      <c r="AO721" s="3"/>
      <c r="AP721" s="3"/>
      <c r="AQ721" s="3"/>
      <c r="AR721" s="3"/>
    </row>
    <row r="722" spans="1:44" ht="16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S722" s="3"/>
      <c r="T722" s="3"/>
      <c r="U722" s="3"/>
      <c r="V722" s="3"/>
      <c r="W722" s="3"/>
      <c r="X722" s="3"/>
      <c r="Y722" s="3"/>
      <c r="Z722" s="3"/>
      <c r="AB722" s="3"/>
      <c r="AC722" s="3"/>
      <c r="AD722" s="3"/>
      <c r="AE722" s="3"/>
      <c r="AF722" s="3"/>
      <c r="AG722" s="3"/>
      <c r="AH722" s="3"/>
      <c r="AI722" s="3"/>
      <c r="AK722" s="3"/>
      <c r="AL722" s="3"/>
      <c r="AM722" s="3"/>
      <c r="AN722" s="3"/>
      <c r="AO722" s="3"/>
      <c r="AP722" s="3"/>
      <c r="AQ722" s="3"/>
      <c r="AR722" s="3"/>
    </row>
    <row r="723" spans="1:44" ht="16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S723" s="3"/>
      <c r="T723" s="3"/>
      <c r="U723" s="3"/>
      <c r="V723" s="3"/>
      <c r="W723" s="3"/>
      <c r="X723" s="3"/>
      <c r="Y723" s="3"/>
      <c r="Z723" s="3"/>
      <c r="AB723" s="3"/>
      <c r="AC723" s="3"/>
      <c r="AD723" s="3"/>
      <c r="AE723" s="3"/>
      <c r="AF723" s="3"/>
      <c r="AG723" s="3"/>
      <c r="AH723" s="3"/>
      <c r="AI723" s="3"/>
      <c r="AK723" s="3"/>
      <c r="AL723" s="3"/>
      <c r="AM723" s="3"/>
      <c r="AN723" s="3"/>
      <c r="AO723" s="3"/>
      <c r="AP723" s="3"/>
      <c r="AQ723" s="3"/>
      <c r="AR723" s="3"/>
    </row>
    <row r="724" spans="1:44" ht="16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S724" s="3"/>
      <c r="T724" s="3"/>
      <c r="U724" s="3"/>
      <c r="V724" s="3"/>
      <c r="W724" s="3"/>
      <c r="X724" s="3"/>
      <c r="Y724" s="3"/>
      <c r="Z724" s="3"/>
      <c r="AB724" s="3"/>
      <c r="AC724" s="3"/>
      <c r="AD724" s="3"/>
      <c r="AE724" s="3"/>
      <c r="AF724" s="3"/>
      <c r="AG724" s="3"/>
      <c r="AH724" s="3"/>
      <c r="AI724" s="3"/>
      <c r="AK724" s="3"/>
      <c r="AL724" s="3"/>
      <c r="AM724" s="3"/>
      <c r="AN724" s="3"/>
      <c r="AO724" s="3"/>
      <c r="AP724" s="3"/>
      <c r="AQ724" s="3"/>
      <c r="AR724" s="3"/>
    </row>
    <row r="725" spans="1:44" ht="16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S725" s="3"/>
      <c r="T725" s="3"/>
      <c r="U725" s="3"/>
      <c r="V725" s="3"/>
      <c r="W725" s="3"/>
      <c r="X725" s="3"/>
      <c r="Y725" s="3"/>
      <c r="Z725" s="3"/>
      <c r="AB725" s="3"/>
      <c r="AC725" s="3"/>
      <c r="AD725" s="3"/>
      <c r="AE725" s="3"/>
      <c r="AF725" s="3"/>
      <c r="AG725" s="3"/>
      <c r="AH725" s="3"/>
      <c r="AI725" s="3"/>
      <c r="AK725" s="3"/>
      <c r="AL725" s="3"/>
      <c r="AM725" s="3"/>
      <c r="AN725" s="3"/>
      <c r="AO725" s="3"/>
      <c r="AP725" s="3"/>
      <c r="AQ725" s="3"/>
      <c r="AR725" s="3"/>
    </row>
    <row r="726" spans="1:44" ht="16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S726" s="3"/>
      <c r="T726" s="3"/>
      <c r="U726" s="3"/>
      <c r="V726" s="3"/>
      <c r="W726" s="3"/>
      <c r="X726" s="3"/>
      <c r="Y726" s="3"/>
      <c r="Z726" s="3"/>
      <c r="AB726" s="3"/>
      <c r="AC726" s="3"/>
      <c r="AD726" s="3"/>
      <c r="AE726" s="3"/>
      <c r="AF726" s="3"/>
      <c r="AG726" s="3"/>
      <c r="AH726" s="3"/>
      <c r="AI726" s="3"/>
      <c r="AK726" s="3"/>
      <c r="AL726" s="3"/>
      <c r="AM726" s="3"/>
      <c r="AN726" s="3"/>
      <c r="AO726" s="3"/>
      <c r="AP726" s="3"/>
      <c r="AQ726" s="3"/>
      <c r="AR726" s="3"/>
    </row>
    <row r="727" spans="1:44" ht="16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S727" s="3"/>
      <c r="T727" s="3"/>
      <c r="U727" s="3"/>
      <c r="V727" s="3"/>
      <c r="W727" s="3"/>
      <c r="X727" s="3"/>
      <c r="Y727" s="3"/>
      <c r="Z727" s="3"/>
      <c r="AB727" s="3"/>
      <c r="AC727" s="3"/>
      <c r="AD727" s="3"/>
      <c r="AE727" s="3"/>
      <c r="AF727" s="3"/>
      <c r="AG727" s="3"/>
      <c r="AH727" s="3"/>
      <c r="AI727" s="3"/>
      <c r="AK727" s="3"/>
      <c r="AL727" s="3"/>
      <c r="AM727" s="3"/>
      <c r="AN727" s="3"/>
      <c r="AO727" s="3"/>
      <c r="AP727" s="3"/>
      <c r="AQ727" s="3"/>
      <c r="AR727" s="3"/>
    </row>
    <row r="728" spans="1:44" ht="16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S728" s="3"/>
      <c r="T728" s="3"/>
      <c r="U728" s="3"/>
      <c r="V728" s="3"/>
      <c r="W728" s="3"/>
      <c r="X728" s="3"/>
      <c r="Y728" s="3"/>
      <c r="Z728" s="3"/>
      <c r="AB728" s="3"/>
      <c r="AC728" s="3"/>
      <c r="AD728" s="3"/>
      <c r="AE728" s="3"/>
      <c r="AF728" s="3"/>
      <c r="AG728" s="3"/>
      <c r="AH728" s="3"/>
      <c r="AI728" s="3"/>
      <c r="AK728" s="3"/>
      <c r="AL728" s="3"/>
      <c r="AM728" s="3"/>
      <c r="AN728" s="3"/>
      <c r="AO728" s="3"/>
      <c r="AP728" s="3"/>
      <c r="AQ728" s="3"/>
      <c r="AR728" s="3"/>
    </row>
    <row r="729" spans="1:44" ht="16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S729" s="3"/>
      <c r="T729" s="3"/>
      <c r="U729" s="3"/>
      <c r="V729" s="3"/>
      <c r="W729" s="3"/>
      <c r="X729" s="3"/>
      <c r="Y729" s="3"/>
      <c r="Z729" s="3"/>
      <c r="AB729" s="3"/>
      <c r="AC729" s="3"/>
      <c r="AD729" s="3"/>
      <c r="AE729" s="3"/>
      <c r="AF729" s="3"/>
      <c r="AG729" s="3"/>
      <c r="AH729" s="3"/>
      <c r="AI729" s="3"/>
      <c r="AK729" s="3"/>
      <c r="AL729" s="3"/>
      <c r="AM729" s="3"/>
      <c r="AN729" s="3"/>
      <c r="AO729" s="3"/>
      <c r="AP729" s="3"/>
      <c r="AQ729" s="3"/>
      <c r="AR729" s="3"/>
    </row>
    <row r="730" spans="1:44" ht="16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S730" s="3"/>
      <c r="T730" s="3"/>
      <c r="U730" s="3"/>
      <c r="V730" s="3"/>
      <c r="W730" s="3"/>
      <c r="X730" s="3"/>
      <c r="Y730" s="3"/>
      <c r="Z730" s="3"/>
      <c r="AB730" s="3"/>
      <c r="AC730" s="3"/>
      <c r="AD730" s="3"/>
      <c r="AE730" s="3"/>
      <c r="AF730" s="3"/>
      <c r="AG730" s="3"/>
      <c r="AH730" s="3"/>
      <c r="AI730" s="3"/>
      <c r="AK730" s="3"/>
      <c r="AL730" s="3"/>
      <c r="AM730" s="3"/>
      <c r="AN730" s="3"/>
      <c r="AO730" s="3"/>
      <c r="AP730" s="3"/>
      <c r="AQ730" s="3"/>
      <c r="AR730" s="3"/>
    </row>
    <row r="731" spans="1:44" ht="16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S731" s="3"/>
      <c r="T731" s="3"/>
      <c r="U731" s="3"/>
      <c r="V731" s="3"/>
      <c r="W731" s="3"/>
      <c r="X731" s="3"/>
      <c r="Y731" s="3"/>
      <c r="Z731" s="3"/>
      <c r="AB731" s="3"/>
      <c r="AC731" s="3"/>
      <c r="AD731" s="3"/>
      <c r="AE731" s="3"/>
      <c r="AF731" s="3"/>
      <c r="AG731" s="3"/>
      <c r="AH731" s="3"/>
      <c r="AI731" s="3"/>
      <c r="AK731" s="3"/>
      <c r="AL731" s="3"/>
      <c r="AM731" s="3"/>
      <c r="AN731" s="3"/>
      <c r="AO731" s="3"/>
      <c r="AP731" s="3"/>
      <c r="AQ731" s="3"/>
      <c r="AR731" s="3"/>
    </row>
    <row r="732" spans="1:44" ht="16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S732" s="3"/>
      <c r="T732" s="3"/>
      <c r="U732" s="3"/>
      <c r="V732" s="3"/>
      <c r="W732" s="3"/>
      <c r="X732" s="3"/>
      <c r="Y732" s="3"/>
      <c r="Z732" s="3"/>
      <c r="AB732" s="3"/>
      <c r="AC732" s="3"/>
      <c r="AD732" s="3"/>
      <c r="AE732" s="3"/>
      <c r="AF732" s="3"/>
      <c r="AG732" s="3"/>
      <c r="AH732" s="3"/>
      <c r="AI732" s="3"/>
      <c r="AK732" s="3"/>
      <c r="AL732" s="3"/>
      <c r="AM732" s="3"/>
      <c r="AN732" s="3"/>
      <c r="AO732" s="3"/>
      <c r="AP732" s="3"/>
      <c r="AQ732" s="3"/>
      <c r="AR732" s="3"/>
    </row>
    <row r="733" spans="1:44" ht="16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S733" s="3"/>
      <c r="T733" s="3"/>
      <c r="U733" s="3"/>
      <c r="V733" s="3"/>
      <c r="W733" s="3"/>
      <c r="X733" s="3"/>
      <c r="Y733" s="3"/>
      <c r="Z733" s="3"/>
      <c r="AB733" s="3"/>
      <c r="AC733" s="3"/>
      <c r="AD733" s="3"/>
      <c r="AE733" s="3"/>
      <c r="AF733" s="3"/>
      <c r="AG733" s="3"/>
      <c r="AH733" s="3"/>
      <c r="AI733" s="3"/>
      <c r="AK733" s="3"/>
      <c r="AL733" s="3"/>
      <c r="AM733" s="3"/>
      <c r="AN733" s="3"/>
      <c r="AO733" s="3"/>
      <c r="AP733" s="3"/>
      <c r="AQ733" s="3"/>
      <c r="AR733" s="3"/>
    </row>
    <row r="734" spans="1:44" ht="16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S734" s="3"/>
      <c r="T734" s="3"/>
      <c r="U734" s="3"/>
      <c r="V734" s="3"/>
      <c r="W734" s="3"/>
      <c r="X734" s="3"/>
      <c r="Y734" s="3"/>
      <c r="Z734" s="3"/>
      <c r="AB734" s="3"/>
      <c r="AC734" s="3"/>
      <c r="AD734" s="3"/>
      <c r="AE734" s="3"/>
      <c r="AF734" s="3"/>
      <c r="AG734" s="3"/>
      <c r="AH734" s="3"/>
      <c r="AI734" s="3"/>
      <c r="AK734" s="3"/>
      <c r="AL734" s="3"/>
      <c r="AM734" s="3"/>
      <c r="AN734" s="3"/>
      <c r="AO734" s="3"/>
      <c r="AP734" s="3"/>
      <c r="AQ734" s="3"/>
      <c r="AR734" s="3"/>
    </row>
    <row r="735" spans="1:44" ht="16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S735" s="3"/>
      <c r="T735" s="3"/>
      <c r="U735" s="3"/>
      <c r="V735" s="3"/>
      <c r="W735" s="3"/>
      <c r="X735" s="3"/>
      <c r="Y735" s="3"/>
      <c r="Z735" s="3"/>
      <c r="AB735" s="3"/>
      <c r="AC735" s="3"/>
      <c r="AD735" s="3"/>
      <c r="AE735" s="3"/>
      <c r="AF735" s="3"/>
      <c r="AG735" s="3"/>
      <c r="AH735" s="3"/>
      <c r="AI735" s="3"/>
      <c r="AK735" s="3"/>
      <c r="AL735" s="3"/>
      <c r="AM735" s="3"/>
      <c r="AN735" s="3"/>
      <c r="AO735" s="3"/>
      <c r="AP735" s="3"/>
      <c r="AQ735" s="3"/>
      <c r="AR735" s="3"/>
    </row>
    <row r="736" spans="1:44" ht="16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S736" s="3"/>
      <c r="T736" s="3"/>
      <c r="U736" s="3"/>
      <c r="V736" s="3"/>
      <c r="W736" s="3"/>
      <c r="X736" s="3"/>
      <c r="Y736" s="3"/>
      <c r="Z736" s="3"/>
      <c r="AB736" s="3"/>
      <c r="AC736" s="3"/>
      <c r="AD736" s="3"/>
      <c r="AE736" s="3"/>
      <c r="AF736" s="3"/>
      <c r="AG736" s="3"/>
      <c r="AH736" s="3"/>
      <c r="AI736" s="3"/>
      <c r="AK736" s="3"/>
      <c r="AL736" s="3"/>
      <c r="AM736" s="3"/>
      <c r="AN736" s="3"/>
      <c r="AO736" s="3"/>
      <c r="AP736" s="3"/>
      <c r="AQ736" s="3"/>
      <c r="AR736" s="3"/>
    </row>
    <row r="737" spans="1:44" ht="16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S737" s="3"/>
      <c r="T737" s="3"/>
      <c r="U737" s="3"/>
      <c r="V737" s="3"/>
      <c r="W737" s="3"/>
      <c r="X737" s="3"/>
      <c r="Y737" s="3"/>
      <c r="Z737" s="3"/>
      <c r="AB737" s="3"/>
      <c r="AC737" s="3"/>
      <c r="AD737" s="3"/>
      <c r="AE737" s="3"/>
      <c r="AF737" s="3"/>
      <c r="AG737" s="3"/>
      <c r="AH737" s="3"/>
      <c r="AI737" s="3"/>
      <c r="AK737" s="3"/>
      <c r="AL737" s="3"/>
      <c r="AM737" s="3"/>
      <c r="AN737" s="3"/>
      <c r="AO737" s="3"/>
      <c r="AP737" s="3"/>
      <c r="AQ737" s="3"/>
      <c r="AR737" s="3"/>
    </row>
    <row r="738" spans="1:44" ht="16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S738" s="3"/>
      <c r="T738" s="3"/>
      <c r="U738" s="3"/>
      <c r="V738" s="3"/>
      <c r="W738" s="3"/>
      <c r="X738" s="3"/>
      <c r="Y738" s="3"/>
      <c r="Z738" s="3"/>
      <c r="AB738" s="3"/>
      <c r="AC738" s="3"/>
      <c r="AD738" s="3"/>
      <c r="AE738" s="3"/>
      <c r="AF738" s="3"/>
      <c r="AG738" s="3"/>
      <c r="AH738" s="3"/>
      <c r="AI738" s="3"/>
      <c r="AK738" s="3"/>
      <c r="AL738" s="3"/>
      <c r="AM738" s="3"/>
      <c r="AN738" s="3"/>
      <c r="AO738" s="3"/>
      <c r="AP738" s="3"/>
      <c r="AQ738" s="3"/>
      <c r="AR738" s="3"/>
    </row>
    <row r="739" spans="1:44" ht="16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S739" s="3"/>
      <c r="T739" s="3"/>
      <c r="U739" s="3"/>
      <c r="V739" s="3"/>
      <c r="W739" s="3"/>
      <c r="X739" s="3"/>
      <c r="Y739" s="3"/>
      <c r="Z739" s="3"/>
      <c r="AB739" s="3"/>
      <c r="AC739" s="3"/>
      <c r="AD739" s="3"/>
      <c r="AE739" s="3"/>
      <c r="AF739" s="3"/>
      <c r="AG739" s="3"/>
      <c r="AH739" s="3"/>
      <c r="AI739" s="3"/>
      <c r="AK739" s="3"/>
      <c r="AL739" s="3"/>
      <c r="AM739" s="3"/>
      <c r="AN739" s="3"/>
      <c r="AO739" s="3"/>
      <c r="AP739" s="3"/>
      <c r="AQ739" s="3"/>
      <c r="AR739" s="3"/>
    </row>
    <row r="740" spans="1:44" ht="16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S740" s="3"/>
      <c r="T740" s="3"/>
      <c r="U740" s="3"/>
      <c r="V740" s="3"/>
      <c r="W740" s="3"/>
      <c r="X740" s="3"/>
      <c r="Y740" s="3"/>
      <c r="Z740" s="3"/>
      <c r="AB740" s="3"/>
      <c r="AC740" s="3"/>
      <c r="AD740" s="3"/>
      <c r="AE740" s="3"/>
      <c r="AF740" s="3"/>
      <c r="AG740" s="3"/>
      <c r="AH740" s="3"/>
      <c r="AI740" s="3"/>
      <c r="AK740" s="3"/>
      <c r="AL740" s="3"/>
      <c r="AM740" s="3"/>
      <c r="AN740" s="3"/>
      <c r="AO740" s="3"/>
      <c r="AP740" s="3"/>
      <c r="AQ740" s="3"/>
      <c r="AR740" s="3"/>
    </row>
    <row r="741" spans="1:44" ht="16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S741" s="3"/>
      <c r="T741" s="3"/>
      <c r="U741" s="3"/>
      <c r="V741" s="3"/>
      <c r="W741" s="3"/>
      <c r="X741" s="3"/>
      <c r="Y741" s="3"/>
      <c r="Z741" s="3"/>
      <c r="AB741" s="3"/>
      <c r="AC741" s="3"/>
      <c r="AD741" s="3"/>
      <c r="AE741" s="3"/>
      <c r="AF741" s="3"/>
      <c r="AG741" s="3"/>
      <c r="AH741" s="3"/>
      <c r="AI741" s="3"/>
      <c r="AK741" s="3"/>
      <c r="AL741" s="3"/>
      <c r="AM741" s="3"/>
      <c r="AN741" s="3"/>
      <c r="AO741" s="3"/>
      <c r="AP741" s="3"/>
      <c r="AQ741" s="3"/>
      <c r="AR741" s="3"/>
    </row>
    <row r="742" spans="1:44" ht="16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S742" s="3"/>
      <c r="T742" s="3"/>
      <c r="U742" s="3"/>
      <c r="V742" s="3"/>
      <c r="W742" s="3"/>
      <c r="X742" s="3"/>
      <c r="Y742" s="3"/>
      <c r="Z742" s="3"/>
      <c r="AB742" s="3"/>
      <c r="AC742" s="3"/>
      <c r="AD742" s="3"/>
      <c r="AE742" s="3"/>
      <c r="AF742" s="3"/>
      <c r="AG742" s="3"/>
      <c r="AH742" s="3"/>
      <c r="AI742" s="3"/>
      <c r="AK742" s="3"/>
      <c r="AL742" s="3"/>
      <c r="AM742" s="3"/>
      <c r="AN742" s="3"/>
      <c r="AO742" s="3"/>
      <c r="AP742" s="3"/>
      <c r="AQ742" s="3"/>
      <c r="AR742" s="3"/>
    </row>
    <row r="743" spans="1:44" ht="16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S743" s="3"/>
      <c r="T743" s="3"/>
      <c r="U743" s="3"/>
      <c r="V743" s="3"/>
      <c r="W743" s="3"/>
      <c r="X743" s="3"/>
      <c r="Y743" s="3"/>
      <c r="Z743" s="3"/>
      <c r="AB743" s="3"/>
      <c r="AC743" s="3"/>
      <c r="AD743" s="3"/>
      <c r="AE743" s="3"/>
      <c r="AF743" s="3"/>
      <c r="AG743" s="3"/>
      <c r="AH743" s="3"/>
      <c r="AI743" s="3"/>
      <c r="AK743" s="3"/>
      <c r="AL743" s="3"/>
      <c r="AM743" s="3"/>
      <c r="AN743" s="3"/>
      <c r="AO743" s="3"/>
      <c r="AP743" s="3"/>
      <c r="AQ743" s="3"/>
      <c r="AR743" s="3"/>
    </row>
    <row r="744" spans="1:44" ht="16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S744" s="3"/>
      <c r="T744" s="3"/>
      <c r="U744" s="3"/>
      <c r="V744" s="3"/>
      <c r="W744" s="3"/>
      <c r="X744" s="3"/>
      <c r="Y744" s="3"/>
      <c r="Z744" s="3"/>
      <c r="AB744" s="3"/>
      <c r="AC744" s="3"/>
      <c r="AD744" s="3"/>
      <c r="AE744" s="3"/>
      <c r="AF744" s="3"/>
      <c r="AG744" s="3"/>
      <c r="AH744" s="3"/>
      <c r="AI744" s="3"/>
      <c r="AK744" s="3"/>
      <c r="AL744" s="3"/>
      <c r="AM744" s="3"/>
      <c r="AN744" s="3"/>
      <c r="AO744" s="3"/>
      <c r="AP744" s="3"/>
      <c r="AQ744" s="3"/>
      <c r="AR744" s="3"/>
    </row>
    <row r="745" spans="1:44" ht="16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S745" s="3"/>
      <c r="T745" s="3"/>
      <c r="U745" s="3"/>
      <c r="V745" s="3"/>
      <c r="W745" s="3"/>
      <c r="X745" s="3"/>
      <c r="Y745" s="3"/>
      <c r="Z745" s="3"/>
      <c r="AB745" s="3"/>
      <c r="AC745" s="3"/>
      <c r="AD745" s="3"/>
      <c r="AE745" s="3"/>
      <c r="AF745" s="3"/>
      <c r="AG745" s="3"/>
      <c r="AH745" s="3"/>
      <c r="AI745" s="3"/>
      <c r="AK745" s="3"/>
      <c r="AL745" s="3"/>
      <c r="AM745" s="3"/>
      <c r="AN745" s="3"/>
      <c r="AO745" s="3"/>
      <c r="AP745" s="3"/>
      <c r="AQ745" s="3"/>
      <c r="AR745" s="3"/>
    </row>
    <row r="746" spans="1:44" ht="16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S746" s="3"/>
      <c r="T746" s="3"/>
      <c r="U746" s="3"/>
      <c r="V746" s="3"/>
      <c r="W746" s="3"/>
      <c r="X746" s="3"/>
      <c r="Y746" s="3"/>
      <c r="Z746" s="3"/>
      <c r="AB746" s="3"/>
      <c r="AC746" s="3"/>
      <c r="AD746" s="3"/>
      <c r="AE746" s="3"/>
      <c r="AF746" s="3"/>
      <c r="AG746" s="3"/>
      <c r="AH746" s="3"/>
      <c r="AI746" s="3"/>
      <c r="AK746" s="3"/>
      <c r="AL746" s="3"/>
      <c r="AM746" s="3"/>
      <c r="AN746" s="3"/>
      <c r="AO746" s="3"/>
      <c r="AP746" s="3"/>
      <c r="AQ746" s="3"/>
      <c r="AR746" s="3"/>
    </row>
    <row r="747" spans="1:44" ht="16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S747" s="3"/>
      <c r="T747" s="3"/>
      <c r="U747" s="3"/>
      <c r="V747" s="3"/>
      <c r="W747" s="3"/>
      <c r="X747" s="3"/>
      <c r="Y747" s="3"/>
      <c r="Z747" s="3"/>
      <c r="AB747" s="3"/>
      <c r="AC747" s="3"/>
      <c r="AD747" s="3"/>
      <c r="AE747" s="3"/>
      <c r="AF747" s="3"/>
      <c r="AG747" s="3"/>
      <c r="AH747" s="3"/>
      <c r="AI747" s="3"/>
      <c r="AK747" s="3"/>
      <c r="AL747" s="3"/>
      <c r="AM747" s="3"/>
      <c r="AN747" s="3"/>
      <c r="AO747" s="3"/>
      <c r="AP747" s="3"/>
      <c r="AQ747" s="3"/>
      <c r="AR747" s="3"/>
    </row>
    <row r="748" spans="1:44" ht="16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S748" s="3"/>
      <c r="T748" s="3"/>
      <c r="U748" s="3"/>
      <c r="V748" s="3"/>
      <c r="W748" s="3"/>
      <c r="X748" s="3"/>
      <c r="Y748" s="3"/>
      <c r="Z748" s="3"/>
      <c r="AB748" s="3"/>
      <c r="AC748" s="3"/>
      <c r="AD748" s="3"/>
      <c r="AE748" s="3"/>
      <c r="AF748" s="3"/>
      <c r="AG748" s="3"/>
      <c r="AH748" s="3"/>
      <c r="AI748" s="3"/>
      <c r="AK748" s="3"/>
      <c r="AL748" s="3"/>
      <c r="AM748" s="3"/>
      <c r="AN748" s="3"/>
      <c r="AO748" s="3"/>
      <c r="AP748" s="3"/>
      <c r="AQ748" s="3"/>
      <c r="AR748" s="3"/>
    </row>
    <row r="749" spans="1:44" ht="16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S749" s="3"/>
      <c r="T749" s="3"/>
      <c r="U749" s="3"/>
      <c r="V749" s="3"/>
      <c r="W749" s="3"/>
      <c r="X749" s="3"/>
      <c r="Y749" s="3"/>
      <c r="Z749" s="3"/>
      <c r="AB749" s="3"/>
      <c r="AC749" s="3"/>
      <c r="AD749" s="3"/>
      <c r="AE749" s="3"/>
      <c r="AF749" s="3"/>
      <c r="AG749" s="3"/>
      <c r="AH749" s="3"/>
      <c r="AI749" s="3"/>
      <c r="AK749" s="3"/>
      <c r="AL749" s="3"/>
      <c r="AM749" s="3"/>
      <c r="AN749" s="3"/>
      <c r="AO749" s="3"/>
      <c r="AP749" s="3"/>
      <c r="AQ749" s="3"/>
      <c r="AR749" s="3"/>
    </row>
    <row r="750" spans="1:44" ht="16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S750" s="3"/>
      <c r="T750" s="3"/>
      <c r="U750" s="3"/>
      <c r="V750" s="3"/>
      <c r="W750" s="3"/>
      <c r="X750" s="3"/>
      <c r="Y750" s="3"/>
      <c r="Z750" s="3"/>
      <c r="AB750" s="3"/>
      <c r="AC750" s="3"/>
      <c r="AD750" s="3"/>
      <c r="AE750" s="3"/>
      <c r="AF750" s="3"/>
      <c r="AG750" s="3"/>
      <c r="AH750" s="3"/>
      <c r="AI750" s="3"/>
      <c r="AK750" s="3"/>
      <c r="AL750" s="3"/>
      <c r="AM750" s="3"/>
      <c r="AN750" s="3"/>
      <c r="AO750" s="3"/>
      <c r="AP750" s="3"/>
      <c r="AQ750" s="3"/>
      <c r="AR750" s="3"/>
    </row>
    <row r="751" spans="1:44" ht="16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S751" s="3"/>
      <c r="T751" s="3"/>
      <c r="U751" s="3"/>
      <c r="V751" s="3"/>
      <c r="W751" s="3"/>
      <c r="X751" s="3"/>
      <c r="Y751" s="3"/>
      <c r="Z751" s="3"/>
      <c r="AB751" s="3"/>
      <c r="AC751" s="3"/>
      <c r="AD751" s="3"/>
      <c r="AE751" s="3"/>
      <c r="AF751" s="3"/>
      <c r="AG751" s="3"/>
      <c r="AH751" s="3"/>
      <c r="AI751" s="3"/>
      <c r="AK751" s="3"/>
      <c r="AL751" s="3"/>
      <c r="AM751" s="3"/>
      <c r="AN751" s="3"/>
      <c r="AO751" s="3"/>
      <c r="AP751" s="3"/>
      <c r="AQ751" s="3"/>
      <c r="AR751" s="3"/>
    </row>
    <row r="752" spans="1:44" ht="16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S752" s="3"/>
      <c r="T752" s="3"/>
      <c r="U752" s="3"/>
      <c r="V752" s="3"/>
      <c r="W752" s="3"/>
      <c r="X752" s="3"/>
      <c r="Y752" s="3"/>
      <c r="Z752" s="3"/>
      <c r="AB752" s="3"/>
      <c r="AC752" s="3"/>
      <c r="AD752" s="3"/>
      <c r="AE752" s="3"/>
      <c r="AF752" s="3"/>
      <c r="AG752" s="3"/>
      <c r="AH752" s="3"/>
      <c r="AI752" s="3"/>
      <c r="AK752" s="3"/>
      <c r="AL752" s="3"/>
      <c r="AM752" s="3"/>
      <c r="AN752" s="3"/>
      <c r="AO752" s="3"/>
      <c r="AP752" s="3"/>
      <c r="AQ752" s="3"/>
      <c r="AR752" s="3"/>
    </row>
    <row r="753" spans="1:44" ht="16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S753" s="3"/>
      <c r="T753" s="3"/>
      <c r="U753" s="3"/>
      <c r="V753" s="3"/>
      <c r="W753" s="3"/>
      <c r="X753" s="3"/>
      <c r="Y753" s="3"/>
      <c r="Z753" s="3"/>
      <c r="AB753" s="3"/>
      <c r="AC753" s="3"/>
      <c r="AD753" s="3"/>
      <c r="AE753" s="3"/>
      <c r="AF753" s="3"/>
      <c r="AG753" s="3"/>
      <c r="AH753" s="3"/>
      <c r="AI753" s="3"/>
      <c r="AK753" s="3"/>
      <c r="AL753" s="3"/>
      <c r="AM753" s="3"/>
      <c r="AN753" s="3"/>
      <c r="AO753" s="3"/>
      <c r="AP753" s="3"/>
      <c r="AQ753" s="3"/>
      <c r="AR753" s="3"/>
    </row>
    <row r="754" spans="1:44" ht="16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S754" s="3"/>
      <c r="T754" s="3"/>
      <c r="U754" s="3"/>
      <c r="V754" s="3"/>
      <c r="W754" s="3"/>
      <c r="X754" s="3"/>
      <c r="Y754" s="3"/>
      <c r="Z754" s="3"/>
      <c r="AB754" s="3"/>
      <c r="AC754" s="3"/>
      <c r="AD754" s="3"/>
      <c r="AE754" s="3"/>
      <c r="AF754" s="3"/>
      <c r="AG754" s="3"/>
      <c r="AH754" s="3"/>
      <c r="AI754" s="3"/>
      <c r="AK754" s="3"/>
      <c r="AL754" s="3"/>
      <c r="AM754" s="3"/>
      <c r="AN754" s="3"/>
      <c r="AO754" s="3"/>
      <c r="AP754" s="3"/>
      <c r="AQ754" s="3"/>
      <c r="AR754" s="3"/>
    </row>
    <row r="755" spans="1:44" ht="16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S755" s="3"/>
      <c r="T755" s="3"/>
      <c r="U755" s="3"/>
      <c r="V755" s="3"/>
      <c r="W755" s="3"/>
      <c r="X755" s="3"/>
      <c r="Y755" s="3"/>
      <c r="Z755" s="3"/>
      <c r="AB755" s="3"/>
      <c r="AC755" s="3"/>
      <c r="AD755" s="3"/>
      <c r="AE755" s="3"/>
      <c r="AF755" s="3"/>
      <c r="AG755" s="3"/>
      <c r="AH755" s="3"/>
      <c r="AI755" s="3"/>
      <c r="AK755" s="3"/>
      <c r="AL755" s="3"/>
      <c r="AM755" s="3"/>
      <c r="AN755" s="3"/>
      <c r="AO755" s="3"/>
      <c r="AP755" s="3"/>
      <c r="AQ755" s="3"/>
      <c r="AR755" s="3"/>
    </row>
    <row r="756" spans="1:44" ht="16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S756" s="3"/>
      <c r="T756" s="3"/>
      <c r="U756" s="3"/>
      <c r="V756" s="3"/>
      <c r="W756" s="3"/>
      <c r="X756" s="3"/>
      <c r="Y756" s="3"/>
      <c r="Z756" s="3"/>
      <c r="AB756" s="3"/>
      <c r="AC756" s="3"/>
      <c r="AD756" s="3"/>
      <c r="AE756" s="3"/>
      <c r="AF756" s="3"/>
      <c r="AG756" s="3"/>
      <c r="AH756" s="3"/>
      <c r="AI756" s="3"/>
      <c r="AK756" s="3"/>
      <c r="AL756" s="3"/>
      <c r="AM756" s="3"/>
      <c r="AN756" s="3"/>
      <c r="AO756" s="3"/>
      <c r="AP756" s="3"/>
      <c r="AQ756" s="3"/>
      <c r="AR756" s="3"/>
    </row>
    <row r="757" spans="1:44" ht="16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S757" s="3"/>
      <c r="T757" s="3"/>
      <c r="U757" s="3"/>
      <c r="V757" s="3"/>
      <c r="W757" s="3"/>
      <c r="X757" s="3"/>
      <c r="Y757" s="3"/>
      <c r="Z757" s="3"/>
      <c r="AB757" s="3"/>
      <c r="AC757" s="3"/>
      <c r="AD757" s="3"/>
      <c r="AE757" s="3"/>
      <c r="AF757" s="3"/>
      <c r="AG757" s="3"/>
      <c r="AH757" s="3"/>
      <c r="AI757" s="3"/>
      <c r="AK757" s="3"/>
      <c r="AL757" s="3"/>
      <c r="AM757" s="3"/>
      <c r="AN757" s="3"/>
      <c r="AO757" s="3"/>
      <c r="AP757" s="3"/>
      <c r="AQ757" s="3"/>
      <c r="AR757" s="3"/>
    </row>
    <row r="758" spans="1:44" ht="16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S758" s="3"/>
      <c r="T758" s="3"/>
      <c r="U758" s="3"/>
      <c r="V758" s="3"/>
      <c r="W758" s="3"/>
      <c r="X758" s="3"/>
      <c r="Y758" s="3"/>
      <c r="Z758" s="3"/>
      <c r="AB758" s="3"/>
      <c r="AC758" s="3"/>
      <c r="AD758" s="3"/>
      <c r="AE758" s="3"/>
      <c r="AF758" s="3"/>
      <c r="AG758" s="3"/>
      <c r="AH758" s="3"/>
      <c r="AI758" s="3"/>
      <c r="AK758" s="3"/>
      <c r="AL758" s="3"/>
      <c r="AM758" s="3"/>
      <c r="AN758" s="3"/>
      <c r="AO758" s="3"/>
      <c r="AP758" s="3"/>
      <c r="AQ758" s="3"/>
      <c r="AR758" s="3"/>
    </row>
    <row r="759" spans="1:44" ht="16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S759" s="3"/>
      <c r="T759" s="3"/>
      <c r="U759" s="3"/>
      <c r="V759" s="3"/>
      <c r="W759" s="3"/>
      <c r="X759" s="3"/>
      <c r="Y759" s="3"/>
      <c r="Z759" s="3"/>
      <c r="AB759" s="3"/>
      <c r="AC759" s="3"/>
      <c r="AD759" s="3"/>
      <c r="AE759" s="3"/>
      <c r="AF759" s="3"/>
      <c r="AG759" s="3"/>
      <c r="AH759" s="3"/>
      <c r="AI759" s="3"/>
      <c r="AK759" s="3"/>
      <c r="AL759" s="3"/>
      <c r="AM759" s="3"/>
      <c r="AN759" s="3"/>
      <c r="AO759" s="3"/>
      <c r="AP759" s="3"/>
      <c r="AQ759" s="3"/>
      <c r="AR759" s="3"/>
    </row>
    <row r="760" spans="1:44" ht="16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S760" s="3"/>
      <c r="T760" s="3"/>
      <c r="U760" s="3"/>
      <c r="V760" s="3"/>
      <c r="W760" s="3"/>
      <c r="X760" s="3"/>
      <c r="Y760" s="3"/>
      <c r="Z760" s="3"/>
      <c r="AB760" s="3"/>
      <c r="AC760" s="3"/>
      <c r="AD760" s="3"/>
      <c r="AE760" s="3"/>
      <c r="AF760" s="3"/>
      <c r="AG760" s="3"/>
      <c r="AH760" s="3"/>
      <c r="AI760" s="3"/>
      <c r="AK760" s="3"/>
      <c r="AL760" s="3"/>
      <c r="AM760" s="3"/>
      <c r="AN760" s="3"/>
      <c r="AO760" s="3"/>
      <c r="AP760" s="3"/>
      <c r="AQ760" s="3"/>
      <c r="AR760" s="3"/>
    </row>
    <row r="761" spans="1:44" ht="16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S761" s="3"/>
      <c r="T761" s="3"/>
      <c r="U761" s="3"/>
      <c r="V761" s="3"/>
      <c r="W761" s="3"/>
      <c r="X761" s="3"/>
      <c r="Y761" s="3"/>
      <c r="Z761" s="3"/>
      <c r="AB761" s="3"/>
      <c r="AC761" s="3"/>
      <c r="AD761" s="3"/>
      <c r="AE761" s="3"/>
      <c r="AF761" s="3"/>
      <c r="AG761" s="3"/>
      <c r="AH761" s="3"/>
      <c r="AI761" s="3"/>
      <c r="AK761" s="3"/>
      <c r="AL761" s="3"/>
      <c r="AM761" s="3"/>
      <c r="AN761" s="3"/>
      <c r="AO761" s="3"/>
      <c r="AP761" s="3"/>
      <c r="AQ761" s="3"/>
      <c r="AR761" s="3"/>
    </row>
    <row r="762" spans="1:44" ht="16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S762" s="3"/>
      <c r="T762" s="3"/>
      <c r="U762" s="3"/>
      <c r="V762" s="3"/>
      <c r="W762" s="3"/>
      <c r="X762" s="3"/>
      <c r="Y762" s="3"/>
      <c r="Z762" s="3"/>
      <c r="AB762" s="3"/>
      <c r="AC762" s="3"/>
      <c r="AD762" s="3"/>
      <c r="AE762" s="3"/>
      <c r="AF762" s="3"/>
      <c r="AG762" s="3"/>
      <c r="AH762" s="3"/>
      <c r="AI762" s="3"/>
      <c r="AK762" s="3"/>
      <c r="AL762" s="3"/>
      <c r="AM762" s="3"/>
      <c r="AN762" s="3"/>
      <c r="AO762" s="3"/>
      <c r="AP762" s="3"/>
      <c r="AQ762" s="3"/>
      <c r="AR762" s="3"/>
    </row>
    <row r="763" spans="1:44" ht="16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S763" s="3"/>
      <c r="T763" s="3"/>
      <c r="U763" s="3"/>
      <c r="V763" s="3"/>
      <c r="W763" s="3"/>
      <c r="X763" s="3"/>
      <c r="Y763" s="3"/>
      <c r="Z763" s="3"/>
      <c r="AB763" s="3"/>
      <c r="AC763" s="3"/>
      <c r="AD763" s="3"/>
      <c r="AE763" s="3"/>
      <c r="AF763" s="3"/>
      <c r="AG763" s="3"/>
      <c r="AH763" s="3"/>
      <c r="AI763" s="3"/>
      <c r="AK763" s="3"/>
      <c r="AL763" s="3"/>
      <c r="AM763" s="3"/>
      <c r="AN763" s="3"/>
      <c r="AO763" s="3"/>
      <c r="AP763" s="3"/>
      <c r="AQ763" s="3"/>
      <c r="AR763" s="3"/>
    </row>
    <row r="764" spans="1:44" ht="16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S764" s="3"/>
      <c r="T764" s="3"/>
      <c r="U764" s="3"/>
      <c r="V764" s="3"/>
      <c r="W764" s="3"/>
      <c r="X764" s="3"/>
      <c r="Y764" s="3"/>
      <c r="Z764" s="3"/>
      <c r="AB764" s="3"/>
      <c r="AC764" s="3"/>
      <c r="AD764" s="3"/>
      <c r="AE764" s="3"/>
      <c r="AF764" s="3"/>
      <c r="AG764" s="3"/>
      <c r="AH764" s="3"/>
      <c r="AI764" s="3"/>
      <c r="AK764" s="3"/>
      <c r="AL764" s="3"/>
      <c r="AM764" s="3"/>
      <c r="AN764" s="3"/>
      <c r="AO764" s="3"/>
      <c r="AP764" s="3"/>
      <c r="AQ764" s="3"/>
      <c r="AR764" s="3"/>
    </row>
    <row r="765" spans="1:44" ht="16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S765" s="3"/>
      <c r="T765" s="3"/>
      <c r="U765" s="3"/>
      <c r="V765" s="3"/>
      <c r="W765" s="3"/>
      <c r="X765" s="3"/>
      <c r="Y765" s="3"/>
      <c r="Z765" s="3"/>
      <c r="AB765" s="3"/>
      <c r="AC765" s="3"/>
      <c r="AD765" s="3"/>
      <c r="AE765" s="3"/>
      <c r="AF765" s="3"/>
      <c r="AG765" s="3"/>
      <c r="AH765" s="3"/>
      <c r="AI765" s="3"/>
      <c r="AK765" s="3"/>
      <c r="AL765" s="3"/>
      <c r="AM765" s="3"/>
      <c r="AN765" s="3"/>
      <c r="AO765" s="3"/>
      <c r="AP765" s="3"/>
      <c r="AQ765" s="3"/>
      <c r="AR765" s="3"/>
    </row>
    <row r="766" spans="1:44" ht="16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S766" s="3"/>
      <c r="T766" s="3"/>
      <c r="U766" s="3"/>
      <c r="V766" s="3"/>
      <c r="W766" s="3"/>
      <c r="X766" s="3"/>
      <c r="Y766" s="3"/>
      <c r="Z766" s="3"/>
      <c r="AB766" s="3"/>
      <c r="AC766" s="3"/>
      <c r="AD766" s="3"/>
      <c r="AE766" s="3"/>
      <c r="AF766" s="3"/>
      <c r="AG766" s="3"/>
      <c r="AH766" s="3"/>
      <c r="AI766" s="3"/>
      <c r="AK766" s="3"/>
      <c r="AL766" s="3"/>
      <c r="AM766" s="3"/>
      <c r="AN766" s="3"/>
      <c r="AO766" s="3"/>
      <c r="AP766" s="3"/>
      <c r="AQ766" s="3"/>
      <c r="AR766" s="3"/>
    </row>
    <row r="767" spans="1:44" ht="16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S767" s="3"/>
      <c r="T767" s="3"/>
      <c r="U767" s="3"/>
      <c r="V767" s="3"/>
      <c r="W767" s="3"/>
      <c r="X767" s="3"/>
      <c r="Y767" s="3"/>
      <c r="Z767" s="3"/>
      <c r="AB767" s="3"/>
      <c r="AC767" s="3"/>
      <c r="AD767" s="3"/>
      <c r="AE767" s="3"/>
      <c r="AF767" s="3"/>
      <c r="AG767" s="3"/>
      <c r="AH767" s="3"/>
      <c r="AI767" s="3"/>
      <c r="AK767" s="3"/>
      <c r="AL767" s="3"/>
      <c r="AM767" s="3"/>
      <c r="AN767" s="3"/>
      <c r="AO767" s="3"/>
      <c r="AP767" s="3"/>
      <c r="AQ767" s="3"/>
      <c r="AR767" s="3"/>
    </row>
    <row r="768" spans="1:44" ht="16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S768" s="3"/>
      <c r="T768" s="3"/>
      <c r="U768" s="3"/>
      <c r="V768" s="3"/>
      <c r="W768" s="3"/>
      <c r="X768" s="3"/>
      <c r="Y768" s="3"/>
      <c r="Z768" s="3"/>
      <c r="AB768" s="3"/>
      <c r="AC768" s="3"/>
      <c r="AD768" s="3"/>
      <c r="AE768" s="3"/>
      <c r="AF768" s="3"/>
      <c r="AG768" s="3"/>
      <c r="AH768" s="3"/>
      <c r="AI768" s="3"/>
      <c r="AK768" s="3"/>
      <c r="AL768" s="3"/>
      <c r="AM768" s="3"/>
      <c r="AN768" s="3"/>
      <c r="AO768" s="3"/>
      <c r="AP768" s="3"/>
      <c r="AQ768" s="3"/>
      <c r="AR768" s="3"/>
    </row>
    <row r="769" spans="1:44" ht="16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S769" s="3"/>
      <c r="T769" s="3"/>
      <c r="U769" s="3"/>
      <c r="V769" s="3"/>
      <c r="W769" s="3"/>
      <c r="X769" s="3"/>
      <c r="Y769" s="3"/>
      <c r="Z769" s="3"/>
      <c r="AB769" s="3"/>
      <c r="AC769" s="3"/>
      <c r="AD769" s="3"/>
      <c r="AE769" s="3"/>
      <c r="AF769" s="3"/>
      <c r="AG769" s="3"/>
      <c r="AH769" s="3"/>
      <c r="AI769" s="3"/>
      <c r="AK769" s="3"/>
      <c r="AL769" s="3"/>
      <c r="AM769" s="3"/>
      <c r="AN769" s="3"/>
      <c r="AO769" s="3"/>
      <c r="AP769" s="3"/>
      <c r="AQ769" s="3"/>
      <c r="AR769" s="3"/>
    </row>
    <row r="770" spans="1:44" ht="16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S770" s="3"/>
      <c r="T770" s="3"/>
      <c r="U770" s="3"/>
      <c r="V770" s="3"/>
      <c r="W770" s="3"/>
      <c r="X770" s="3"/>
      <c r="Y770" s="3"/>
      <c r="Z770" s="3"/>
      <c r="AB770" s="3"/>
      <c r="AC770" s="3"/>
      <c r="AD770" s="3"/>
      <c r="AE770" s="3"/>
      <c r="AF770" s="3"/>
      <c r="AG770" s="3"/>
      <c r="AH770" s="3"/>
      <c r="AI770" s="3"/>
      <c r="AK770" s="3"/>
      <c r="AL770" s="3"/>
      <c r="AM770" s="3"/>
      <c r="AN770" s="3"/>
      <c r="AO770" s="3"/>
      <c r="AP770" s="3"/>
      <c r="AQ770" s="3"/>
      <c r="AR770" s="3"/>
    </row>
    <row r="771" spans="1:44" ht="16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S771" s="3"/>
      <c r="T771" s="3"/>
      <c r="U771" s="3"/>
      <c r="V771" s="3"/>
      <c r="W771" s="3"/>
      <c r="X771" s="3"/>
      <c r="Y771" s="3"/>
      <c r="Z771" s="3"/>
      <c r="AB771" s="3"/>
      <c r="AC771" s="3"/>
      <c r="AD771" s="3"/>
      <c r="AE771" s="3"/>
      <c r="AF771" s="3"/>
      <c r="AG771" s="3"/>
      <c r="AH771" s="3"/>
      <c r="AI771" s="3"/>
      <c r="AK771" s="3"/>
      <c r="AL771" s="3"/>
      <c r="AM771" s="3"/>
      <c r="AN771" s="3"/>
      <c r="AO771" s="3"/>
      <c r="AP771" s="3"/>
      <c r="AQ771" s="3"/>
      <c r="AR771" s="3"/>
    </row>
    <row r="772" spans="1:44" ht="16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S772" s="3"/>
      <c r="T772" s="3"/>
      <c r="U772" s="3"/>
      <c r="V772" s="3"/>
      <c r="W772" s="3"/>
      <c r="X772" s="3"/>
      <c r="Y772" s="3"/>
      <c r="Z772" s="3"/>
      <c r="AB772" s="3"/>
      <c r="AC772" s="3"/>
      <c r="AD772" s="3"/>
      <c r="AE772" s="3"/>
      <c r="AF772" s="3"/>
      <c r="AG772" s="3"/>
      <c r="AH772" s="3"/>
      <c r="AI772" s="3"/>
      <c r="AK772" s="3"/>
      <c r="AL772" s="3"/>
      <c r="AM772" s="3"/>
      <c r="AN772" s="3"/>
      <c r="AO772" s="3"/>
      <c r="AP772" s="3"/>
      <c r="AQ772" s="3"/>
      <c r="AR772" s="3"/>
    </row>
    <row r="773" spans="1:44" ht="16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S773" s="3"/>
      <c r="T773" s="3"/>
      <c r="U773" s="3"/>
      <c r="V773" s="3"/>
      <c r="W773" s="3"/>
      <c r="X773" s="3"/>
      <c r="Y773" s="3"/>
      <c r="Z773" s="3"/>
      <c r="AB773" s="3"/>
      <c r="AC773" s="3"/>
      <c r="AD773" s="3"/>
      <c r="AE773" s="3"/>
      <c r="AF773" s="3"/>
      <c r="AG773" s="3"/>
      <c r="AH773" s="3"/>
      <c r="AI773" s="3"/>
      <c r="AK773" s="3"/>
      <c r="AL773" s="3"/>
      <c r="AM773" s="3"/>
      <c r="AN773" s="3"/>
      <c r="AO773" s="3"/>
      <c r="AP773" s="3"/>
      <c r="AQ773" s="3"/>
      <c r="AR773" s="3"/>
    </row>
    <row r="774" spans="1:44" ht="16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S774" s="3"/>
      <c r="T774" s="3"/>
      <c r="U774" s="3"/>
      <c r="V774" s="3"/>
      <c r="W774" s="3"/>
      <c r="X774" s="3"/>
      <c r="Y774" s="3"/>
      <c r="Z774" s="3"/>
      <c r="AB774" s="3"/>
      <c r="AC774" s="3"/>
      <c r="AD774" s="3"/>
      <c r="AE774" s="3"/>
      <c r="AF774" s="3"/>
      <c r="AG774" s="3"/>
      <c r="AH774" s="3"/>
      <c r="AI774" s="3"/>
      <c r="AK774" s="3"/>
      <c r="AL774" s="3"/>
      <c r="AM774" s="3"/>
      <c r="AN774" s="3"/>
      <c r="AO774" s="3"/>
      <c r="AP774" s="3"/>
      <c r="AQ774" s="3"/>
      <c r="AR774" s="3"/>
    </row>
    <row r="775" spans="1:44" ht="16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S775" s="3"/>
      <c r="T775" s="3"/>
      <c r="U775" s="3"/>
      <c r="V775" s="3"/>
      <c r="W775" s="3"/>
      <c r="X775" s="3"/>
      <c r="Y775" s="3"/>
      <c r="Z775" s="3"/>
      <c r="AB775" s="3"/>
      <c r="AC775" s="3"/>
      <c r="AD775" s="3"/>
      <c r="AE775" s="3"/>
      <c r="AF775" s="3"/>
      <c r="AG775" s="3"/>
      <c r="AH775" s="3"/>
      <c r="AI775" s="3"/>
      <c r="AK775" s="3"/>
      <c r="AL775" s="3"/>
      <c r="AM775" s="3"/>
      <c r="AN775" s="3"/>
      <c r="AO775" s="3"/>
      <c r="AP775" s="3"/>
      <c r="AQ775" s="3"/>
      <c r="AR775" s="3"/>
    </row>
    <row r="776" spans="1:44" ht="16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S776" s="3"/>
      <c r="T776" s="3"/>
      <c r="U776" s="3"/>
      <c r="V776" s="3"/>
      <c r="W776" s="3"/>
      <c r="X776" s="3"/>
      <c r="Y776" s="3"/>
      <c r="Z776" s="3"/>
      <c r="AB776" s="3"/>
      <c r="AC776" s="3"/>
      <c r="AD776" s="3"/>
      <c r="AE776" s="3"/>
      <c r="AF776" s="3"/>
      <c r="AG776" s="3"/>
      <c r="AH776" s="3"/>
      <c r="AI776" s="3"/>
      <c r="AK776" s="3"/>
      <c r="AL776" s="3"/>
      <c r="AM776" s="3"/>
      <c r="AN776" s="3"/>
      <c r="AO776" s="3"/>
      <c r="AP776" s="3"/>
      <c r="AQ776" s="3"/>
      <c r="AR776" s="3"/>
    </row>
    <row r="777" spans="1:44" ht="16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S777" s="3"/>
      <c r="T777" s="3"/>
      <c r="U777" s="3"/>
      <c r="V777" s="3"/>
      <c r="W777" s="3"/>
      <c r="X777" s="3"/>
      <c r="Y777" s="3"/>
      <c r="Z777" s="3"/>
      <c r="AB777" s="3"/>
      <c r="AC777" s="3"/>
      <c r="AD777" s="3"/>
      <c r="AE777" s="3"/>
      <c r="AF777" s="3"/>
      <c r="AG777" s="3"/>
      <c r="AH777" s="3"/>
      <c r="AI777" s="3"/>
      <c r="AK777" s="3"/>
      <c r="AL777" s="3"/>
      <c r="AM777" s="3"/>
      <c r="AN777" s="3"/>
      <c r="AO777" s="3"/>
      <c r="AP777" s="3"/>
      <c r="AQ777" s="3"/>
      <c r="AR777" s="3"/>
    </row>
    <row r="778" spans="1:44" ht="16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S778" s="3"/>
      <c r="T778" s="3"/>
      <c r="U778" s="3"/>
      <c r="V778" s="3"/>
      <c r="W778" s="3"/>
      <c r="X778" s="3"/>
      <c r="Y778" s="3"/>
      <c r="Z778" s="3"/>
      <c r="AB778" s="3"/>
      <c r="AC778" s="3"/>
      <c r="AD778" s="3"/>
      <c r="AE778" s="3"/>
      <c r="AF778" s="3"/>
      <c r="AG778" s="3"/>
      <c r="AH778" s="3"/>
      <c r="AI778" s="3"/>
      <c r="AK778" s="3"/>
      <c r="AL778" s="3"/>
      <c r="AM778" s="3"/>
      <c r="AN778" s="3"/>
      <c r="AO778" s="3"/>
      <c r="AP778" s="3"/>
      <c r="AQ778" s="3"/>
      <c r="AR778" s="3"/>
    </row>
    <row r="779" spans="1:44" ht="16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S779" s="3"/>
      <c r="T779" s="3"/>
      <c r="U779" s="3"/>
      <c r="V779" s="3"/>
      <c r="W779" s="3"/>
      <c r="X779" s="3"/>
      <c r="Y779" s="3"/>
      <c r="Z779" s="3"/>
      <c r="AB779" s="3"/>
      <c r="AC779" s="3"/>
      <c r="AD779" s="3"/>
      <c r="AE779" s="3"/>
      <c r="AF779" s="3"/>
      <c r="AG779" s="3"/>
      <c r="AH779" s="3"/>
      <c r="AI779" s="3"/>
      <c r="AK779" s="3"/>
      <c r="AL779" s="3"/>
      <c r="AM779" s="3"/>
      <c r="AN779" s="3"/>
      <c r="AO779" s="3"/>
      <c r="AP779" s="3"/>
      <c r="AQ779" s="3"/>
      <c r="AR779" s="3"/>
    </row>
    <row r="780" spans="1:44" ht="16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S780" s="3"/>
      <c r="T780" s="3"/>
      <c r="U780" s="3"/>
      <c r="V780" s="3"/>
      <c r="W780" s="3"/>
      <c r="X780" s="3"/>
      <c r="Y780" s="3"/>
      <c r="Z780" s="3"/>
      <c r="AB780" s="3"/>
      <c r="AC780" s="3"/>
      <c r="AD780" s="3"/>
      <c r="AE780" s="3"/>
      <c r="AF780" s="3"/>
      <c r="AG780" s="3"/>
      <c r="AH780" s="3"/>
      <c r="AI780" s="3"/>
      <c r="AK780" s="3"/>
      <c r="AL780" s="3"/>
      <c r="AM780" s="3"/>
      <c r="AN780" s="3"/>
      <c r="AO780" s="3"/>
      <c r="AP780" s="3"/>
      <c r="AQ780" s="3"/>
      <c r="AR780" s="3"/>
    </row>
    <row r="781" spans="1:44" ht="16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S781" s="3"/>
      <c r="T781" s="3"/>
      <c r="U781" s="3"/>
      <c r="V781" s="3"/>
      <c r="W781" s="3"/>
      <c r="X781" s="3"/>
      <c r="Y781" s="3"/>
      <c r="Z781" s="3"/>
      <c r="AB781" s="3"/>
      <c r="AC781" s="3"/>
      <c r="AD781" s="3"/>
      <c r="AE781" s="3"/>
      <c r="AF781" s="3"/>
      <c r="AG781" s="3"/>
      <c r="AH781" s="3"/>
      <c r="AI781" s="3"/>
      <c r="AK781" s="3"/>
      <c r="AL781" s="3"/>
      <c r="AM781" s="3"/>
      <c r="AN781" s="3"/>
      <c r="AO781" s="3"/>
      <c r="AP781" s="3"/>
      <c r="AQ781" s="3"/>
      <c r="AR781" s="3"/>
    </row>
    <row r="782" spans="1:44" ht="16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S782" s="3"/>
      <c r="T782" s="3"/>
      <c r="U782" s="3"/>
      <c r="V782" s="3"/>
      <c r="W782" s="3"/>
      <c r="X782" s="3"/>
      <c r="Y782" s="3"/>
      <c r="Z782" s="3"/>
      <c r="AB782" s="3"/>
      <c r="AC782" s="3"/>
      <c r="AD782" s="3"/>
      <c r="AE782" s="3"/>
      <c r="AF782" s="3"/>
      <c r="AG782" s="3"/>
      <c r="AH782" s="3"/>
      <c r="AI782" s="3"/>
      <c r="AK782" s="3"/>
      <c r="AL782" s="3"/>
      <c r="AM782" s="3"/>
      <c r="AN782" s="3"/>
      <c r="AO782" s="3"/>
      <c r="AP782" s="3"/>
      <c r="AQ782" s="3"/>
      <c r="AR782" s="3"/>
    </row>
    <row r="783" spans="1:44" ht="16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S783" s="3"/>
      <c r="T783" s="3"/>
      <c r="U783" s="3"/>
      <c r="V783" s="3"/>
      <c r="W783" s="3"/>
      <c r="X783" s="3"/>
      <c r="Y783" s="3"/>
      <c r="Z783" s="3"/>
      <c r="AB783" s="3"/>
      <c r="AC783" s="3"/>
      <c r="AD783" s="3"/>
      <c r="AE783" s="3"/>
      <c r="AF783" s="3"/>
      <c r="AG783" s="3"/>
      <c r="AH783" s="3"/>
      <c r="AI783" s="3"/>
      <c r="AK783" s="3"/>
      <c r="AL783" s="3"/>
      <c r="AM783" s="3"/>
      <c r="AN783" s="3"/>
      <c r="AO783" s="3"/>
      <c r="AP783" s="3"/>
      <c r="AQ783" s="3"/>
      <c r="AR783" s="3"/>
    </row>
    <row r="784" spans="1:44" ht="16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S784" s="3"/>
      <c r="T784" s="3"/>
      <c r="U784" s="3"/>
      <c r="V784" s="3"/>
      <c r="W784" s="3"/>
      <c r="X784" s="3"/>
      <c r="Y784" s="3"/>
      <c r="Z784" s="3"/>
      <c r="AB784" s="3"/>
      <c r="AC784" s="3"/>
      <c r="AD784" s="3"/>
      <c r="AE784" s="3"/>
      <c r="AF784" s="3"/>
      <c r="AG784" s="3"/>
      <c r="AH784" s="3"/>
      <c r="AI784" s="3"/>
      <c r="AK784" s="3"/>
      <c r="AL784" s="3"/>
      <c r="AM784" s="3"/>
      <c r="AN784" s="3"/>
      <c r="AO784" s="3"/>
      <c r="AP784" s="3"/>
      <c r="AQ784" s="3"/>
      <c r="AR784" s="3"/>
    </row>
    <row r="785" spans="1:44" ht="16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S785" s="3"/>
      <c r="T785" s="3"/>
      <c r="U785" s="3"/>
      <c r="V785" s="3"/>
      <c r="W785" s="3"/>
      <c r="X785" s="3"/>
      <c r="Y785" s="3"/>
      <c r="Z785" s="3"/>
      <c r="AB785" s="3"/>
      <c r="AC785" s="3"/>
      <c r="AD785" s="3"/>
      <c r="AE785" s="3"/>
      <c r="AF785" s="3"/>
      <c r="AG785" s="3"/>
      <c r="AH785" s="3"/>
      <c r="AI785" s="3"/>
      <c r="AK785" s="3"/>
      <c r="AL785" s="3"/>
      <c r="AM785" s="3"/>
      <c r="AN785" s="3"/>
      <c r="AO785" s="3"/>
      <c r="AP785" s="3"/>
      <c r="AQ785" s="3"/>
      <c r="AR785" s="3"/>
    </row>
    <row r="786" spans="1:44" ht="16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S786" s="3"/>
      <c r="T786" s="3"/>
      <c r="U786" s="3"/>
      <c r="V786" s="3"/>
      <c r="W786" s="3"/>
      <c r="X786" s="3"/>
      <c r="Y786" s="3"/>
      <c r="Z786" s="3"/>
      <c r="AB786" s="3"/>
      <c r="AC786" s="3"/>
      <c r="AD786" s="3"/>
      <c r="AE786" s="3"/>
      <c r="AF786" s="3"/>
      <c r="AG786" s="3"/>
      <c r="AH786" s="3"/>
      <c r="AI786" s="3"/>
      <c r="AK786" s="3"/>
      <c r="AL786" s="3"/>
      <c r="AM786" s="3"/>
      <c r="AN786" s="3"/>
      <c r="AO786" s="3"/>
      <c r="AP786" s="3"/>
      <c r="AQ786" s="3"/>
      <c r="AR786" s="3"/>
    </row>
    <row r="787" spans="1:44" ht="16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S787" s="3"/>
      <c r="T787" s="3"/>
      <c r="U787" s="3"/>
      <c r="V787" s="3"/>
      <c r="W787" s="3"/>
      <c r="X787" s="3"/>
      <c r="Y787" s="3"/>
      <c r="Z787" s="3"/>
      <c r="AB787" s="3"/>
      <c r="AC787" s="3"/>
      <c r="AD787" s="3"/>
      <c r="AE787" s="3"/>
      <c r="AF787" s="3"/>
      <c r="AG787" s="3"/>
      <c r="AH787" s="3"/>
      <c r="AI787" s="3"/>
      <c r="AK787" s="3"/>
      <c r="AL787" s="3"/>
      <c r="AM787" s="3"/>
      <c r="AN787" s="3"/>
      <c r="AO787" s="3"/>
      <c r="AP787" s="3"/>
      <c r="AQ787" s="3"/>
      <c r="AR787" s="3"/>
    </row>
    <row r="788" spans="1:44" ht="16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S788" s="3"/>
      <c r="T788" s="3"/>
      <c r="U788" s="3"/>
      <c r="V788" s="3"/>
      <c r="W788" s="3"/>
      <c r="X788" s="3"/>
      <c r="Y788" s="3"/>
      <c r="Z788" s="3"/>
      <c r="AB788" s="3"/>
      <c r="AC788" s="3"/>
      <c r="AD788" s="3"/>
      <c r="AE788" s="3"/>
      <c r="AF788" s="3"/>
      <c r="AG788" s="3"/>
      <c r="AH788" s="3"/>
      <c r="AI788" s="3"/>
      <c r="AK788" s="3"/>
      <c r="AL788" s="3"/>
      <c r="AM788" s="3"/>
      <c r="AN788" s="3"/>
      <c r="AO788" s="3"/>
      <c r="AP788" s="3"/>
      <c r="AQ788" s="3"/>
      <c r="AR788" s="3"/>
    </row>
    <row r="789" spans="1:44" ht="16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S789" s="3"/>
      <c r="T789" s="3"/>
      <c r="U789" s="3"/>
      <c r="V789" s="3"/>
      <c r="W789" s="3"/>
      <c r="X789" s="3"/>
      <c r="Y789" s="3"/>
      <c r="Z789" s="3"/>
      <c r="AB789" s="3"/>
      <c r="AC789" s="3"/>
      <c r="AD789" s="3"/>
      <c r="AE789" s="3"/>
      <c r="AF789" s="3"/>
      <c r="AG789" s="3"/>
      <c r="AH789" s="3"/>
      <c r="AI789" s="3"/>
      <c r="AK789" s="3"/>
      <c r="AL789" s="3"/>
      <c r="AM789" s="3"/>
      <c r="AN789" s="3"/>
      <c r="AO789" s="3"/>
      <c r="AP789" s="3"/>
      <c r="AQ789" s="3"/>
      <c r="AR789" s="3"/>
    </row>
    <row r="790" spans="1:44" ht="16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S790" s="3"/>
      <c r="T790" s="3"/>
      <c r="U790" s="3"/>
      <c r="V790" s="3"/>
      <c r="W790" s="3"/>
      <c r="X790" s="3"/>
      <c r="Y790" s="3"/>
      <c r="Z790" s="3"/>
      <c r="AB790" s="3"/>
      <c r="AC790" s="3"/>
      <c r="AD790" s="3"/>
      <c r="AE790" s="3"/>
      <c r="AF790" s="3"/>
      <c r="AG790" s="3"/>
      <c r="AH790" s="3"/>
      <c r="AI790" s="3"/>
      <c r="AK790" s="3"/>
      <c r="AL790" s="3"/>
      <c r="AM790" s="3"/>
      <c r="AN790" s="3"/>
      <c r="AO790" s="3"/>
      <c r="AP790" s="3"/>
      <c r="AQ790" s="3"/>
      <c r="AR790" s="3"/>
    </row>
    <row r="791" spans="1:44" ht="16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S791" s="3"/>
      <c r="T791" s="3"/>
      <c r="U791" s="3"/>
      <c r="V791" s="3"/>
      <c r="W791" s="3"/>
      <c r="X791" s="3"/>
      <c r="Y791" s="3"/>
      <c r="Z791" s="3"/>
      <c r="AB791" s="3"/>
      <c r="AC791" s="3"/>
      <c r="AD791" s="3"/>
      <c r="AE791" s="3"/>
      <c r="AF791" s="3"/>
      <c r="AG791" s="3"/>
      <c r="AH791" s="3"/>
      <c r="AI791" s="3"/>
      <c r="AK791" s="3"/>
      <c r="AL791" s="3"/>
      <c r="AM791" s="3"/>
      <c r="AN791" s="3"/>
      <c r="AO791" s="3"/>
      <c r="AP791" s="3"/>
      <c r="AQ791" s="3"/>
      <c r="AR791" s="3"/>
    </row>
    <row r="792" spans="1:44" ht="16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S792" s="3"/>
      <c r="T792" s="3"/>
      <c r="U792" s="3"/>
      <c r="V792" s="3"/>
      <c r="W792" s="3"/>
      <c r="X792" s="3"/>
      <c r="Y792" s="3"/>
      <c r="Z792" s="3"/>
      <c r="AB792" s="3"/>
      <c r="AC792" s="3"/>
      <c r="AD792" s="3"/>
      <c r="AE792" s="3"/>
      <c r="AF792" s="3"/>
      <c r="AG792" s="3"/>
      <c r="AH792" s="3"/>
      <c r="AI792" s="3"/>
      <c r="AK792" s="3"/>
      <c r="AL792" s="3"/>
      <c r="AM792" s="3"/>
      <c r="AN792" s="3"/>
      <c r="AO792" s="3"/>
      <c r="AP792" s="3"/>
      <c r="AQ792" s="3"/>
      <c r="AR792" s="3"/>
    </row>
    <row r="793" spans="1:44" ht="16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S793" s="3"/>
      <c r="T793" s="3"/>
      <c r="U793" s="3"/>
      <c r="V793" s="3"/>
      <c r="W793" s="3"/>
      <c r="X793" s="3"/>
      <c r="Y793" s="3"/>
      <c r="Z793" s="3"/>
      <c r="AB793" s="3"/>
      <c r="AC793" s="3"/>
      <c r="AD793" s="3"/>
      <c r="AE793" s="3"/>
      <c r="AF793" s="3"/>
      <c r="AG793" s="3"/>
      <c r="AH793" s="3"/>
      <c r="AI793" s="3"/>
      <c r="AK793" s="3"/>
      <c r="AL793" s="3"/>
      <c r="AM793" s="3"/>
      <c r="AN793" s="3"/>
      <c r="AO793" s="3"/>
      <c r="AP793" s="3"/>
      <c r="AQ793" s="3"/>
      <c r="AR793" s="3"/>
    </row>
    <row r="794" spans="1:44" ht="16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S794" s="3"/>
      <c r="T794" s="3"/>
      <c r="U794" s="3"/>
      <c r="V794" s="3"/>
      <c r="W794" s="3"/>
      <c r="X794" s="3"/>
      <c r="Y794" s="3"/>
      <c r="Z794" s="3"/>
      <c r="AB794" s="3"/>
      <c r="AC794" s="3"/>
      <c r="AD794" s="3"/>
      <c r="AE794" s="3"/>
      <c r="AF794" s="3"/>
      <c r="AG794" s="3"/>
      <c r="AH794" s="3"/>
      <c r="AI794" s="3"/>
      <c r="AK794" s="3"/>
      <c r="AL794" s="3"/>
      <c r="AM794" s="3"/>
      <c r="AN794" s="3"/>
      <c r="AO794" s="3"/>
      <c r="AP794" s="3"/>
      <c r="AQ794" s="3"/>
      <c r="AR794" s="3"/>
    </row>
    <row r="795" spans="1:44" ht="16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S795" s="3"/>
      <c r="T795" s="3"/>
      <c r="U795" s="3"/>
      <c r="V795" s="3"/>
      <c r="W795" s="3"/>
      <c r="X795" s="3"/>
      <c r="Y795" s="3"/>
      <c r="Z795" s="3"/>
      <c r="AB795" s="3"/>
      <c r="AC795" s="3"/>
      <c r="AD795" s="3"/>
      <c r="AE795" s="3"/>
      <c r="AF795" s="3"/>
      <c r="AG795" s="3"/>
      <c r="AH795" s="3"/>
      <c r="AI795" s="3"/>
      <c r="AK795" s="3"/>
      <c r="AL795" s="3"/>
      <c r="AM795" s="3"/>
      <c r="AN795" s="3"/>
      <c r="AO795" s="3"/>
      <c r="AP795" s="3"/>
      <c r="AQ795" s="3"/>
      <c r="AR795" s="3"/>
    </row>
    <row r="796" spans="1:44" ht="16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S796" s="3"/>
      <c r="T796" s="3"/>
      <c r="U796" s="3"/>
      <c r="V796" s="3"/>
      <c r="W796" s="3"/>
      <c r="X796" s="3"/>
      <c r="Y796" s="3"/>
      <c r="Z796" s="3"/>
      <c r="AB796" s="3"/>
      <c r="AC796" s="3"/>
      <c r="AD796" s="3"/>
      <c r="AE796" s="3"/>
      <c r="AF796" s="3"/>
      <c r="AG796" s="3"/>
      <c r="AH796" s="3"/>
      <c r="AI796" s="3"/>
      <c r="AK796" s="3"/>
      <c r="AL796" s="3"/>
      <c r="AM796" s="3"/>
      <c r="AN796" s="3"/>
      <c r="AO796" s="3"/>
      <c r="AP796" s="3"/>
      <c r="AQ796" s="3"/>
      <c r="AR796" s="3"/>
    </row>
    <row r="797" spans="1:44" ht="16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S797" s="3"/>
      <c r="T797" s="3"/>
      <c r="U797" s="3"/>
      <c r="V797" s="3"/>
      <c r="W797" s="3"/>
      <c r="X797" s="3"/>
      <c r="Y797" s="3"/>
      <c r="Z797" s="3"/>
      <c r="AB797" s="3"/>
      <c r="AC797" s="3"/>
      <c r="AD797" s="3"/>
      <c r="AE797" s="3"/>
      <c r="AF797" s="3"/>
      <c r="AG797" s="3"/>
      <c r="AH797" s="3"/>
      <c r="AI797" s="3"/>
      <c r="AK797" s="3"/>
      <c r="AL797" s="3"/>
      <c r="AM797" s="3"/>
      <c r="AN797" s="3"/>
      <c r="AO797" s="3"/>
      <c r="AP797" s="3"/>
      <c r="AQ797" s="3"/>
      <c r="AR797" s="3"/>
    </row>
    <row r="798" spans="1:44" ht="16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S798" s="3"/>
      <c r="T798" s="3"/>
      <c r="U798" s="3"/>
      <c r="V798" s="3"/>
      <c r="W798" s="3"/>
      <c r="X798" s="3"/>
      <c r="Y798" s="3"/>
      <c r="Z798" s="3"/>
      <c r="AB798" s="3"/>
      <c r="AC798" s="3"/>
      <c r="AD798" s="3"/>
      <c r="AE798" s="3"/>
      <c r="AF798" s="3"/>
      <c r="AG798" s="3"/>
      <c r="AH798" s="3"/>
      <c r="AI798" s="3"/>
      <c r="AK798" s="3"/>
      <c r="AL798" s="3"/>
      <c r="AM798" s="3"/>
      <c r="AN798" s="3"/>
      <c r="AO798" s="3"/>
      <c r="AP798" s="3"/>
      <c r="AQ798" s="3"/>
      <c r="AR798" s="3"/>
    </row>
    <row r="799" spans="1:44" ht="16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S799" s="3"/>
      <c r="T799" s="3"/>
      <c r="U799" s="3"/>
      <c r="V799" s="3"/>
      <c r="W799" s="3"/>
      <c r="X799" s="3"/>
      <c r="Y799" s="3"/>
      <c r="Z799" s="3"/>
      <c r="AB799" s="3"/>
      <c r="AC799" s="3"/>
      <c r="AD799" s="3"/>
      <c r="AE799" s="3"/>
      <c r="AF799" s="3"/>
      <c r="AG799" s="3"/>
      <c r="AH799" s="3"/>
      <c r="AI799" s="3"/>
      <c r="AK799" s="3"/>
      <c r="AL799" s="3"/>
      <c r="AM799" s="3"/>
      <c r="AN799" s="3"/>
      <c r="AO799" s="3"/>
      <c r="AP799" s="3"/>
      <c r="AQ799" s="3"/>
      <c r="AR799" s="3"/>
    </row>
    <row r="800" spans="1:44" ht="16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S800" s="3"/>
      <c r="T800" s="3"/>
      <c r="U800" s="3"/>
      <c r="V800" s="3"/>
      <c r="W800" s="3"/>
      <c r="X800" s="3"/>
      <c r="Y800" s="3"/>
      <c r="Z800" s="3"/>
      <c r="AB800" s="3"/>
      <c r="AC800" s="3"/>
      <c r="AD800" s="3"/>
      <c r="AE800" s="3"/>
      <c r="AF800" s="3"/>
      <c r="AG800" s="3"/>
      <c r="AH800" s="3"/>
      <c r="AI800" s="3"/>
      <c r="AK800" s="3"/>
      <c r="AL800" s="3"/>
      <c r="AM800" s="3"/>
      <c r="AN800" s="3"/>
      <c r="AO800" s="3"/>
      <c r="AP800" s="3"/>
      <c r="AQ800" s="3"/>
      <c r="AR800" s="3"/>
    </row>
    <row r="801" spans="1:44" ht="16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S801" s="3"/>
      <c r="T801" s="3"/>
      <c r="U801" s="3"/>
      <c r="V801" s="3"/>
      <c r="W801" s="3"/>
      <c r="X801" s="3"/>
      <c r="Y801" s="3"/>
      <c r="Z801" s="3"/>
      <c r="AB801" s="3"/>
      <c r="AC801" s="3"/>
      <c r="AD801" s="3"/>
      <c r="AE801" s="3"/>
      <c r="AF801" s="3"/>
      <c r="AG801" s="3"/>
      <c r="AH801" s="3"/>
      <c r="AI801" s="3"/>
      <c r="AK801" s="3"/>
      <c r="AL801" s="3"/>
      <c r="AM801" s="3"/>
      <c r="AN801" s="3"/>
      <c r="AO801" s="3"/>
      <c r="AP801" s="3"/>
      <c r="AQ801" s="3"/>
      <c r="AR801" s="3"/>
    </row>
    <row r="802" spans="1:44" ht="16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S802" s="3"/>
      <c r="T802" s="3"/>
      <c r="U802" s="3"/>
      <c r="V802" s="3"/>
      <c r="W802" s="3"/>
      <c r="X802" s="3"/>
      <c r="Y802" s="3"/>
      <c r="Z802" s="3"/>
      <c r="AB802" s="3"/>
      <c r="AC802" s="3"/>
      <c r="AD802" s="3"/>
      <c r="AE802" s="3"/>
      <c r="AF802" s="3"/>
      <c r="AG802" s="3"/>
      <c r="AH802" s="3"/>
      <c r="AI802" s="3"/>
      <c r="AK802" s="3"/>
      <c r="AL802" s="3"/>
      <c r="AM802" s="3"/>
      <c r="AN802" s="3"/>
      <c r="AO802" s="3"/>
      <c r="AP802" s="3"/>
      <c r="AQ802" s="3"/>
      <c r="AR802" s="3"/>
    </row>
    <row r="803" spans="1:44" ht="16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S803" s="3"/>
      <c r="T803" s="3"/>
      <c r="U803" s="3"/>
      <c r="V803" s="3"/>
      <c r="W803" s="3"/>
      <c r="X803" s="3"/>
      <c r="Y803" s="3"/>
      <c r="Z803" s="3"/>
      <c r="AB803" s="3"/>
      <c r="AC803" s="3"/>
      <c r="AD803" s="3"/>
      <c r="AE803" s="3"/>
      <c r="AF803" s="3"/>
      <c r="AG803" s="3"/>
      <c r="AH803" s="3"/>
      <c r="AI803" s="3"/>
      <c r="AK803" s="3"/>
      <c r="AL803" s="3"/>
      <c r="AM803" s="3"/>
      <c r="AN803" s="3"/>
      <c r="AO803" s="3"/>
      <c r="AP803" s="3"/>
      <c r="AQ803" s="3"/>
      <c r="AR803" s="3"/>
    </row>
    <row r="804" spans="1:44" ht="16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S804" s="3"/>
      <c r="T804" s="3"/>
      <c r="U804" s="3"/>
      <c r="V804" s="3"/>
      <c r="W804" s="3"/>
      <c r="X804" s="3"/>
      <c r="Y804" s="3"/>
      <c r="Z804" s="3"/>
      <c r="AB804" s="3"/>
      <c r="AC804" s="3"/>
      <c r="AD804" s="3"/>
      <c r="AE804" s="3"/>
      <c r="AF804" s="3"/>
      <c r="AG804" s="3"/>
      <c r="AH804" s="3"/>
      <c r="AI804" s="3"/>
      <c r="AK804" s="3"/>
      <c r="AL804" s="3"/>
      <c r="AM804" s="3"/>
      <c r="AN804" s="3"/>
      <c r="AO804" s="3"/>
      <c r="AP804" s="3"/>
      <c r="AQ804" s="3"/>
      <c r="AR804" s="3"/>
    </row>
    <row r="805" spans="1:44" ht="16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S805" s="3"/>
      <c r="T805" s="3"/>
      <c r="U805" s="3"/>
      <c r="V805" s="3"/>
      <c r="W805" s="3"/>
      <c r="X805" s="3"/>
      <c r="Y805" s="3"/>
      <c r="Z805" s="3"/>
      <c r="AB805" s="3"/>
      <c r="AC805" s="3"/>
      <c r="AD805" s="3"/>
      <c r="AE805" s="3"/>
      <c r="AF805" s="3"/>
      <c r="AG805" s="3"/>
      <c r="AH805" s="3"/>
      <c r="AI805" s="3"/>
      <c r="AK805" s="3"/>
      <c r="AL805" s="3"/>
      <c r="AM805" s="3"/>
      <c r="AN805" s="3"/>
      <c r="AO805" s="3"/>
      <c r="AP805" s="3"/>
      <c r="AQ805" s="3"/>
      <c r="AR805" s="3"/>
    </row>
    <row r="806" spans="1:44" ht="16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S806" s="3"/>
      <c r="T806" s="3"/>
      <c r="U806" s="3"/>
      <c r="V806" s="3"/>
      <c r="W806" s="3"/>
      <c r="X806" s="3"/>
      <c r="Y806" s="3"/>
      <c r="Z806" s="3"/>
      <c r="AB806" s="3"/>
      <c r="AC806" s="3"/>
      <c r="AD806" s="3"/>
      <c r="AE806" s="3"/>
      <c r="AF806" s="3"/>
      <c r="AG806" s="3"/>
      <c r="AH806" s="3"/>
      <c r="AI806" s="3"/>
      <c r="AK806" s="3"/>
      <c r="AL806" s="3"/>
      <c r="AM806" s="3"/>
      <c r="AN806" s="3"/>
      <c r="AO806" s="3"/>
      <c r="AP806" s="3"/>
      <c r="AQ806" s="3"/>
      <c r="AR806" s="3"/>
    </row>
    <row r="807" spans="1:44" ht="16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S807" s="3"/>
      <c r="T807" s="3"/>
      <c r="U807" s="3"/>
      <c r="V807" s="3"/>
      <c r="W807" s="3"/>
      <c r="X807" s="3"/>
      <c r="Y807" s="3"/>
      <c r="Z807" s="3"/>
      <c r="AB807" s="3"/>
      <c r="AC807" s="3"/>
      <c r="AD807" s="3"/>
      <c r="AE807" s="3"/>
      <c r="AF807" s="3"/>
      <c r="AG807" s="3"/>
      <c r="AH807" s="3"/>
      <c r="AI807" s="3"/>
      <c r="AK807" s="3"/>
      <c r="AL807" s="3"/>
      <c r="AM807" s="3"/>
      <c r="AN807" s="3"/>
      <c r="AO807" s="3"/>
      <c r="AP807" s="3"/>
      <c r="AQ807" s="3"/>
      <c r="AR807" s="3"/>
    </row>
    <row r="808" spans="1:44" ht="16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S808" s="3"/>
      <c r="T808" s="3"/>
      <c r="U808" s="3"/>
      <c r="V808" s="3"/>
      <c r="W808" s="3"/>
      <c r="X808" s="3"/>
      <c r="Y808" s="3"/>
      <c r="Z808" s="3"/>
      <c r="AB808" s="3"/>
      <c r="AC808" s="3"/>
      <c r="AD808" s="3"/>
      <c r="AE808" s="3"/>
      <c r="AF808" s="3"/>
      <c r="AG808" s="3"/>
      <c r="AH808" s="3"/>
      <c r="AI808" s="3"/>
      <c r="AK808" s="3"/>
      <c r="AL808" s="3"/>
      <c r="AM808" s="3"/>
      <c r="AN808" s="3"/>
      <c r="AO808" s="3"/>
      <c r="AP808" s="3"/>
      <c r="AQ808" s="3"/>
      <c r="AR808" s="3"/>
    </row>
    <row r="809" spans="1:44" ht="16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S809" s="3"/>
      <c r="T809" s="3"/>
      <c r="U809" s="3"/>
      <c r="V809" s="3"/>
      <c r="W809" s="3"/>
      <c r="X809" s="3"/>
      <c r="Y809" s="3"/>
      <c r="Z809" s="3"/>
      <c r="AB809" s="3"/>
      <c r="AC809" s="3"/>
      <c r="AD809" s="3"/>
      <c r="AE809" s="3"/>
      <c r="AF809" s="3"/>
      <c r="AG809" s="3"/>
      <c r="AH809" s="3"/>
      <c r="AI809" s="3"/>
      <c r="AK809" s="3"/>
      <c r="AL809" s="3"/>
      <c r="AM809" s="3"/>
      <c r="AN809" s="3"/>
      <c r="AO809" s="3"/>
      <c r="AP809" s="3"/>
      <c r="AQ809" s="3"/>
      <c r="AR809" s="3"/>
    </row>
    <row r="810" spans="1:44" ht="16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S810" s="3"/>
      <c r="T810" s="3"/>
      <c r="U810" s="3"/>
      <c r="V810" s="3"/>
      <c r="W810" s="3"/>
      <c r="X810" s="3"/>
      <c r="Y810" s="3"/>
      <c r="Z810" s="3"/>
      <c r="AB810" s="3"/>
      <c r="AC810" s="3"/>
      <c r="AD810" s="3"/>
      <c r="AE810" s="3"/>
      <c r="AF810" s="3"/>
      <c r="AG810" s="3"/>
      <c r="AH810" s="3"/>
      <c r="AI810" s="3"/>
      <c r="AK810" s="3"/>
      <c r="AL810" s="3"/>
      <c r="AM810" s="3"/>
      <c r="AN810" s="3"/>
      <c r="AO810" s="3"/>
      <c r="AP810" s="3"/>
      <c r="AQ810" s="3"/>
      <c r="AR810" s="3"/>
    </row>
    <row r="811" spans="1:44" ht="16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S811" s="3"/>
      <c r="T811" s="3"/>
      <c r="U811" s="3"/>
      <c r="V811" s="3"/>
      <c r="W811" s="3"/>
      <c r="X811" s="3"/>
      <c r="Y811" s="3"/>
      <c r="Z811" s="3"/>
      <c r="AB811" s="3"/>
      <c r="AC811" s="3"/>
      <c r="AD811" s="3"/>
      <c r="AE811" s="3"/>
      <c r="AF811" s="3"/>
      <c r="AG811" s="3"/>
      <c r="AH811" s="3"/>
      <c r="AI811" s="3"/>
      <c r="AK811" s="3"/>
      <c r="AL811" s="3"/>
      <c r="AM811" s="3"/>
      <c r="AN811" s="3"/>
      <c r="AO811" s="3"/>
      <c r="AP811" s="3"/>
      <c r="AQ811" s="3"/>
      <c r="AR811" s="3"/>
    </row>
    <row r="812" spans="1:44" ht="16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S812" s="3"/>
      <c r="T812" s="3"/>
      <c r="U812" s="3"/>
      <c r="V812" s="3"/>
      <c r="W812" s="3"/>
      <c r="X812" s="3"/>
      <c r="Y812" s="3"/>
      <c r="Z812" s="3"/>
      <c r="AB812" s="3"/>
      <c r="AC812" s="3"/>
      <c r="AD812" s="3"/>
      <c r="AE812" s="3"/>
      <c r="AF812" s="3"/>
      <c r="AG812" s="3"/>
      <c r="AH812" s="3"/>
      <c r="AI812" s="3"/>
      <c r="AK812" s="3"/>
      <c r="AL812" s="3"/>
      <c r="AM812" s="3"/>
      <c r="AN812" s="3"/>
      <c r="AO812" s="3"/>
      <c r="AP812" s="3"/>
      <c r="AQ812" s="3"/>
      <c r="AR812" s="3"/>
    </row>
    <row r="813" spans="1:44" ht="16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S813" s="3"/>
      <c r="T813" s="3"/>
      <c r="U813" s="3"/>
      <c r="V813" s="3"/>
      <c r="W813" s="3"/>
      <c r="X813" s="3"/>
      <c r="Y813" s="3"/>
      <c r="Z813" s="3"/>
      <c r="AB813" s="3"/>
      <c r="AC813" s="3"/>
      <c r="AD813" s="3"/>
      <c r="AE813" s="3"/>
      <c r="AF813" s="3"/>
      <c r="AG813" s="3"/>
      <c r="AH813" s="3"/>
      <c r="AI813" s="3"/>
      <c r="AK813" s="3"/>
      <c r="AL813" s="3"/>
      <c r="AM813" s="3"/>
      <c r="AN813" s="3"/>
      <c r="AO813" s="3"/>
      <c r="AP813" s="3"/>
      <c r="AQ813" s="3"/>
      <c r="AR813" s="3"/>
    </row>
    <row r="814" spans="1:44" ht="16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S814" s="3"/>
      <c r="T814" s="3"/>
      <c r="U814" s="3"/>
      <c r="V814" s="3"/>
      <c r="W814" s="3"/>
      <c r="X814" s="3"/>
      <c r="Y814" s="3"/>
      <c r="Z814" s="3"/>
      <c r="AB814" s="3"/>
      <c r="AC814" s="3"/>
      <c r="AD814" s="3"/>
      <c r="AE814" s="3"/>
      <c r="AF814" s="3"/>
      <c r="AG814" s="3"/>
      <c r="AH814" s="3"/>
      <c r="AI814" s="3"/>
      <c r="AK814" s="3"/>
      <c r="AL814" s="3"/>
      <c r="AM814" s="3"/>
      <c r="AN814" s="3"/>
      <c r="AO814" s="3"/>
      <c r="AP814" s="3"/>
      <c r="AQ814" s="3"/>
      <c r="AR814" s="3"/>
    </row>
    <row r="815" spans="1:44" ht="16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S815" s="3"/>
      <c r="T815" s="3"/>
      <c r="U815" s="3"/>
      <c r="V815" s="3"/>
      <c r="W815" s="3"/>
      <c r="X815" s="3"/>
      <c r="Y815" s="3"/>
      <c r="Z815" s="3"/>
      <c r="AB815" s="3"/>
      <c r="AC815" s="3"/>
      <c r="AD815" s="3"/>
      <c r="AE815" s="3"/>
      <c r="AF815" s="3"/>
      <c r="AG815" s="3"/>
      <c r="AH815" s="3"/>
      <c r="AI815" s="3"/>
      <c r="AK815" s="3"/>
      <c r="AL815" s="3"/>
      <c r="AM815" s="3"/>
      <c r="AN815" s="3"/>
      <c r="AO815" s="3"/>
      <c r="AP815" s="3"/>
      <c r="AQ815" s="3"/>
      <c r="AR815" s="3"/>
    </row>
    <row r="816" spans="1:44" ht="16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S816" s="3"/>
      <c r="T816" s="3"/>
      <c r="U816" s="3"/>
      <c r="V816" s="3"/>
      <c r="W816" s="3"/>
      <c r="X816" s="3"/>
      <c r="Y816" s="3"/>
      <c r="Z816" s="3"/>
      <c r="AB816" s="3"/>
      <c r="AC816" s="3"/>
      <c r="AD816" s="3"/>
      <c r="AE816" s="3"/>
      <c r="AF816" s="3"/>
      <c r="AG816" s="3"/>
      <c r="AH816" s="3"/>
      <c r="AI816" s="3"/>
      <c r="AK816" s="3"/>
      <c r="AL816" s="3"/>
      <c r="AM816" s="3"/>
      <c r="AN816" s="3"/>
      <c r="AO816" s="3"/>
      <c r="AP816" s="3"/>
      <c r="AQ816" s="3"/>
      <c r="AR816" s="3"/>
    </row>
    <row r="817" spans="1:44" ht="16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S817" s="3"/>
      <c r="T817" s="3"/>
      <c r="U817" s="3"/>
      <c r="V817" s="3"/>
      <c r="W817" s="3"/>
      <c r="X817" s="3"/>
      <c r="Y817" s="3"/>
      <c r="Z817" s="3"/>
      <c r="AB817" s="3"/>
      <c r="AC817" s="3"/>
      <c r="AD817" s="3"/>
      <c r="AE817" s="3"/>
      <c r="AF817" s="3"/>
      <c r="AG817" s="3"/>
      <c r="AH817" s="3"/>
      <c r="AI817" s="3"/>
      <c r="AK817" s="3"/>
      <c r="AL817" s="3"/>
      <c r="AM817" s="3"/>
      <c r="AN817" s="3"/>
      <c r="AO817" s="3"/>
      <c r="AP817" s="3"/>
      <c r="AQ817" s="3"/>
      <c r="AR817" s="3"/>
    </row>
    <row r="818" spans="1:44" ht="16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S818" s="3"/>
      <c r="T818" s="3"/>
      <c r="U818" s="3"/>
      <c r="V818" s="3"/>
      <c r="W818" s="3"/>
      <c r="X818" s="3"/>
      <c r="Y818" s="3"/>
      <c r="Z818" s="3"/>
      <c r="AB818" s="3"/>
      <c r="AC818" s="3"/>
      <c r="AD818" s="3"/>
      <c r="AE818" s="3"/>
      <c r="AF818" s="3"/>
      <c r="AG818" s="3"/>
      <c r="AH818" s="3"/>
      <c r="AI818" s="3"/>
      <c r="AK818" s="3"/>
      <c r="AL818" s="3"/>
      <c r="AM818" s="3"/>
      <c r="AN818" s="3"/>
      <c r="AO818" s="3"/>
      <c r="AP818" s="3"/>
      <c r="AQ818" s="3"/>
      <c r="AR818" s="3"/>
    </row>
    <row r="819" spans="1:44" ht="16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S819" s="3"/>
      <c r="T819" s="3"/>
      <c r="U819" s="3"/>
      <c r="V819" s="3"/>
      <c r="W819" s="3"/>
      <c r="X819" s="3"/>
      <c r="Y819" s="3"/>
      <c r="Z819" s="3"/>
      <c r="AB819" s="3"/>
      <c r="AC819" s="3"/>
      <c r="AD819" s="3"/>
      <c r="AE819" s="3"/>
      <c r="AF819" s="3"/>
      <c r="AG819" s="3"/>
      <c r="AH819" s="3"/>
      <c r="AI819" s="3"/>
      <c r="AK819" s="3"/>
      <c r="AL819" s="3"/>
      <c r="AM819" s="3"/>
      <c r="AN819" s="3"/>
      <c r="AO819" s="3"/>
      <c r="AP819" s="3"/>
      <c r="AQ819" s="3"/>
      <c r="AR819" s="3"/>
    </row>
    <row r="820" spans="1:44" ht="16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S820" s="3"/>
      <c r="T820" s="3"/>
      <c r="U820" s="3"/>
      <c r="V820" s="3"/>
      <c r="W820" s="3"/>
      <c r="X820" s="3"/>
      <c r="Y820" s="3"/>
      <c r="Z820" s="3"/>
      <c r="AB820" s="3"/>
      <c r="AC820" s="3"/>
      <c r="AD820" s="3"/>
      <c r="AE820" s="3"/>
      <c r="AF820" s="3"/>
      <c r="AG820" s="3"/>
      <c r="AH820" s="3"/>
      <c r="AI820" s="3"/>
      <c r="AK820" s="3"/>
      <c r="AL820" s="3"/>
      <c r="AM820" s="3"/>
      <c r="AN820" s="3"/>
      <c r="AO820" s="3"/>
      <c r="AP820" s="3"/>
      <c r="AQ820" s="3"/>
      <c r="AR820" s="3"/>
    </row>
    <row r="821" spans="1:44" ht="16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S821" s="3"/>
      <c r="T821" s="3"/>
      <c r="U821" s="3"/>
      <c r="V821" s="3"/>
      <c r="W821" s="3"/>
      <c r="X821" s="3"/>
      <c r="Y821" s="3"/>
      <c r="Z821" s="3"/>
      <c r="AB821" s="3"/>
      <c r="AC821" s="3"/>
      <c r="AD821" s="3"/>
      <c r="AE821" s="3"/>
      <c r="AF821" s="3"/>
      <c r="AG821" s="3"/>
      <c r="AH821" s="3"/>
      <c r="AI821" s="3"/>
      <c r="AK821" s="3"/>
      <c r="AL821" s="3"/>
      <c r="AM821" s="3"/>
      <c r="AN821" s="3"/>
      <c r="AO821" s="3"/>
      <c r="AP821" s="3"/>
      <c r="AQ821" s="3"/>
      <c r="AR821" s="3"/>
    </row>
    <row r="822" spans="1:44" ht="16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S822" s="3"/>
      <c r="T822" s="3"/>
      <c r="U822" s="3"/>
      <c r="V822" s="3"/>
      <c r="W822" s="3"/>
      <c r="X822" s="3"/>
      <c r="Y822" s="3"/>
      <c r="Z822" s="3"/>
      <c r="AB822" s="3"/>
      <c r="AC822" s="3"/>
      <c r="AD822" s="3"/>
      <c r="AE822" s="3"/>
      <c r="AF822" s="3"/>
      <c r="AG822" s="3"/>
      <c r="AH822" s="3"/>
      <c r="AI822" s="3"/>
      <c r="AK822" s="3"/>
      <c r="AL822" s="3"/>
      <c r="AM822" s="3"/>
      <c r="AN822" s="3"/>
      <c r="AO822" s="3"/>
      <c r="AP822" s="3"/>
      <c r="AQ822" s="3"/>
      <c r="AR822" s="3"/>
    </row>
    <row r="823" spans="1:44" ht="16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S823" s="3"/>
      <c r="T823" s="3"/>
      <c r="U823" s="3"/>
      <c r="V823" s="3"/>
      <c r="W823" s="3"/>
      <c r="X823" s="3"/>
      <c r="Y823" s="3"/>
      <c r="Z823" s="3"/>
      <c r="AB823" s="3"/>
      <c r="AC823" s="3"/>
      <c r="AD823" s="3"/>
      <c r="AE823" s="3"/>
      <c r="AF823" s="3"/>
      <c r="AG823" s="3"/>
      <c r="AH823" s="3"/>
      <c r="AI823" s="3"/>
      <c r="AK823" s="3"/>
      <c r="AL823" s="3"/>
      <c r="AM823" s="3"/>
      <c r="AN823" s="3"/>
      <c r="AO823" s="3"/>
      <c r="AP823" s="3"/>
      <c r="AQ823" s="3"/>
      <c r="AR823" s="3"/>
    </row>
    <row r="824" spans="1:44" ht="16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S824" s="3"/>
      <c r="T824" s="3"/>
      <c r="U824" s="3"/>
      <c r="V824" s="3"/>
      <c r="W824" s="3"/>
      <c r="X824" s="3"/>
      <c r="Y824" s="3"/>
      <c r="Z824" s="3"/>
      <c r="AB824" s="3"/>
      <c r="AC824" s="3"/>
      <c r="AD824" s="3"/>
      <c r="AE824" s="3"/>
      <c r="AF824" s="3"/>
      <c r="AG824" s="3"/>
      <c r="AH824" s="3"/>
      <c r="AI824" s="3"/>
      <c r="AK824" s="3"/>
      <c r="AL824" s="3"/>
      <c r="AM824" s="3"/>
      <c r="AN824" s="3"/>
      <c r="AO824" s="3"/>
      <c r="AP824" s="3"/>
      <c r="AQ824" s="3"/>
      <c r="AR824" s="3"/>
    </row>
    <row r="825" spans="1:44" ht="16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S825" s="3"/>
      <c r="T825" s="3"/>
      <c r="U825" s="3"/>
      <c r="V825" s="3"/>
      <c r="W825" s="3"/>
      <c r="X825" s="3"/>
      <c r="Y825" s="3"/>
      <c r="Z825" s="3"/>
      <c r="AB825" s="3"/>
      <c r="AC825" s="3"/>
      <c r="AD825" s="3"/>
      <c r="AE825" s="3"/>
      <c r="AF825" s="3"/>
      <c r="AG825" s="3"/>
      <c r="AH825" s="3"/>
      <c r="AI825" s="3"/>
      <c r="AK825" s="3"/>
      <c r="AL825" s="3"/>
      <c r="AM825" s="3"/>
      <c r="AN825" s="3"/>
      <c r="AO825" s="3"/>
      <c r="AP825" s="3"/>
      <c r="AQ825" s="3"/>
      <c r="AR825" s="3"/>
    </row>
    <row r="826" spans="1:44" ht="16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S826" s="3"/>
      <c r="T826" s="3"/>
      <c r="U826" s="3"/>
      <c r="V826" s="3"/>
      <c r="W826" s="3"/>
      <c r="X826" s="3"/>
      <c r="Y826" s="3"/>
      <c r="Z826" s="3"/>
      <c r="AB826" s="3"/>
      <c r="AC826" s="3"/>
      <c r="AD826" s="3"/>
      <c r="AE826" s="3"/>
      <c r="AF826" s="3"/>
      <c r="AG826" s="3"/>
      <c r="AH826" s="3"/>
      <c r="AI826" s="3"/>
      <c r="AK826" s="3"/>
      <c r="AL826" s="3"/>
      <c r="AM826" s="3"/>
      <c r="AN826" s="3"/>
      <c r="AO826" s="3"/>
      <c r="AP826" s="3"/>
      <c r="AQ826" s="3"/>
      <c r="AR826" s="3"/>
    </row>
    <row r="827" spans="1:44" ht="16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S827" s="3"/>
      <c r="T827" s="3"/>
      <c r="U827" s="3"/>
      <c r="V827" s="3"/>
      <c r="W827" s="3"/>
      <c r="X827" s="3"/>
      <c r="Y827" s="3"/>
      <c r="Z827" s="3"/>
      <c r="AB827" s="3"/>
      <c r="AC827" s="3"/>
      <c r="AD827" s="3"/>
      <c r="AE827" s="3"/>
      <c r="AF827" s="3"/>
      <c r="AG827" s="3"/>
      <c r="AH827" s="3"/>
      <c r="AI827" s="3"/>
      <c r="AK827" s="3"/>
      <c r="AL827" s="3"/>
      <c r="AM827" s="3"/>
      <c r="AN827" s="3"/>
      <c r="AO827" s="3"/>
      <c r="AP827" s="3"/>
      <c r="AQ827" s="3"/>
      <c r="AR827" s="3"/>
    </row>
    <row r="828" spans="1:44" ht="16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S828" s="3"/>
      <c r="T828" s="3"/>
      <c r="U828" s="3"/>
      <c r="V828" s="3"/>
      <c r="W828" s="3"/>
      <c r="X828" s="3"/>
      <c r="Y828" s="3"/>
      <c r="Z828" s="3"/>
      <c r="AB828" s="3"/>
      <c r="AC828" s="3"/>
      <c r="AD828" s="3"/>
      <c r="AE828" s="3"/>
      <c r="AF828" s="3"/>
      <c r="AG828" s="3"/>
      <c r="AH828" s="3"/>
      <c r="AI828" s="3"/>
      <c r="AK828" s="3"/>
      <c r="AL828" s="3"/>
      <c r="AM828" s="3"/>
      <c r="AN828" s="3"/>
      <c r="AO828" s="3"/>
      <c r="AP828" s="3"/>
      <c r="AQ828" s="3"/>
      <c r="AR828" s="3"/>
    </row>
    <row r="829" spans="1:44" ht="16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S829" s="3"/>
      <c r="T829" s="3"/>
      <c r="U829" s="3"/>
      <c r="V829" s="3"/>
      <c r="W829" s="3"/>
      <c r="X829" s="3"/>
      <c r="Y829" s="3"/>
      <c r="Z829" s="3"/>
      <c r="AB829" s="3"/>
      <c r="AC829" s="3"/>
      <c r="AD829" s="3"/>
      <c r="AE829" s="3"/>
      <c r="AF829" s="3"/>
      <c r="AG829" s="3"/>
      <c r="AH829" s="3"/>
      <c r="AI829" s="3"/>
      <c r="AK829" s="3"/>
      <c r="AL829" s="3"/>
      <c r="AM829" s="3"/>
      <c r="AN829" s="3"/>
      <c r="AO829" s="3"/>
      <c r="AP829" s="3"/>
      <c r="AQ829" s="3"/>
      <c r="AR829" s="3"/>
    </row>
    <row r="830" spans="1:44" ht="16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S830" s="3"/>
      <c r="T830" s="3"/>
      <c r="U830" s="3"/>
      <c r="V830" s="3"/>
      <c r="W830" s="3"/>
      <c r="X830" s="3"/>
      <c r="Y830" s="3"/>
      <c r="Z830" s="3"/>
      <c r="AB830" s="3"/>
      <c r="AC830" s="3"/>
      <c r="AD830" s="3"/>
      <c r="AE830" s="3"/>
      <c r="AF830" s="3"/>
      <c r="AG830" s="3"/>
      <c r="AH830" s="3"/>
      <c r="AI830" s="3"/>
      <c r="AK830" s="3"/>
      <c r="AL830" s="3"/>
      <c r="AM830" s="3"/>
      <c r="AN830" s="3"/>
      <c r="AO830" s="3"/>
      <c r="AP830" s="3"/>
      <c r="AQ830" s="3"/>
      <c r="AR830" s="3"/>
    </row>
    <row r="831" spans="1:44" ht="16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S831" s="3"/>
      <c r="T831" s="3"/>
      <c r="U831" s="3"/>
      <c r="V831" s="3"/>
      <c r="W831" s="3"/>
      <c r="X831" s="3"/>
      <c r="Y831" s="3"/>
      <c r="Z831" s="3"/>
      <c r="AB831" s="3"/>
      <c r="AC831" s="3"/>
      <c r="AD831" s="3"/>
      <c r="AE831" s="3"/>
      <c r="AF831" s="3"/>
      <c r="AG831" s="3"/>
      <c r="AH831" s="3"/>
      <c r="AI831" s="3"/>
      <c r="AK831" s="3"/>
      <c r="AL831" s="3"/>
      <c r="AM831" s="3"/>
      <c r="AN831" s="3"/>
      <c r="AO831" s="3"/>
      <c r="AP831" s="3"/>
      <c r="AQ831" s="3"/>
      <c r="AR831" s="3"/>
    </row>
    <row r="832" spans="1:44" ht="16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S832" s="3"/>
      <c r="T832" s="3"/>
      <c r="U832" s="3"/>
      <c r="V832" s="3"/>
      <c r="W832" s="3"/>
      <c r="X832" s="3"/>
      <c r="Y832" s="3"/>
      <c r="Z832" s="3"/>
      <c r="AB832" s="3"/>
      <c r="AC832" s="3"/>
      <c r="AD832" s="3"/>
      <c r="AE832" s="3"/>
      <c r="AF832" s="3"/>
      <c r="AG832" s="3"/>
      <c r="AH832" s="3"/>
      <c r="AI832" s="3"/>
      <c r="AK832" s="3"/>
      <c r="AL832" s="3"/>
      <c r="AM832" s="3"/>
      <c r="AN832" s="3"/>
      <c r="AO832" s="3"/>
      <c r="AP832" s="3"/>
      <c r="AQ832" s="3"/>
      <c r="AR832" s="3"/>
    </row>
    <row r="833" spans="1:44" ht="16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S833" s="3"/>
      <c r="T833" s="3"/>
      <c r="U833" s="3"/>
      <c r="V833" s="3"/>
      <c r="W833" s="3"/>
      <c r="X833" s="3"/>
      <c r="Y833" s="3"/>
      <c r="Z833" s="3"/>
      <c r="AB833" s="3"/>
      <c r="AC833" s="3"/>
      <c r="AD833" s="3"/>
      <c r="AE833" s="3"/>
      <c r="AF833" s="3"/>
      <c r="AG833" s="3"/>
      <c r="AH833" s="3"/>
      <c r="AI833" s="3"/>
      <c r="AK833" s="3"/>
      <c r="AL833" s="3"/>
      <c r="AM833" s="3"/>
      <c r="AN833" s="3"/>
      <c r="AO833" s="3"/>
      <c r="AP833" s="3"/>
      <c r="AQ833" s="3"/>
      <c r="AR833" s="3"/>
    </row>
    <row r="834" spans="1:44" ht="16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S834" s="3"/>
      <c r="T834" s="3"/>
      <c r="U834" s="3"/>
      <c r="V834" s="3"/>
      <c r="W834" s="3"/>
      <c r="X834" s="3"/>
      <c r="Y834" s="3"/>
      <c r="Z834" s="3"/>
      <c r="AB834" s="3"/>
      <c r="AC834" s="3"/>
      <c r="AD834" s="3"/>
      <c r="AE834" s="3"/>
      <c r="AF834" s="3"/>
      <c r="AG834" s="3"/>
      <c r="AH834" s="3"/>
      <c r="AI834" s="3"/>
      <c r="AK834" s="3"/>
      <c r="AL834" s="3"/>
      <c r="AM834" s="3"/>
      <c r="AN834" s="3"/>
      <c r="AO834" s="3"/>
      <c r="AP834" s="3"/>
      <c r="AQ834" s="3"/>
      <c r="AR834" s="3"/>
    </row>
    <row r="835" spans="1:44" ht="16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S835" s="3"/>
      <c r="T835" s="3"/>
      <c r="U835" s="3"/>
      <c r="V835" s="3"/>
      <c r="W835" s="3"/>
      <c r="X835" s="3"/>
      <c r="Y835" s="3"/>
      <c r="Z835" s="3"/>
      <c r="AB835" s="3"/>
      <c r="AC835" s="3"/>
      <c r="AD835" s="3"/>
      <c r="AE835" s="3"/>
      <c r="AF835" s="3"/>
      <c r="AG835" s="3"/>
      <c r="AH835" s="3"/>
      <c r="AI835" s="3"/>
      <c r="AK835" s="3"/>
      <c r="AL835" s="3"/>
      <c r="AM835" s="3"/>
      <c r="AN835" s="3"/>
      <c r="AO835" s="3"/>
      <c r="AP835" s="3"/>
      <c r="AQ835" s="3"/>
      <c r="AR835" s="3"/>
    </row>
    <row r="836" spans="1:44" ht="16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S836" s="3"/>
      <c r="T836" s="3"/>
      <c r="U836" s="3"/>
      <c r="V836" s="3"/>
      <c r="W836" s="3"/>
      <c r="X836" s="3"/>
      <c r="Y836" s="3"/>
      <c r="Z836" s="3"/>
      <c r="AB836" s="3"/>
      <c r="AC836" s="3"/>
      <c r="AD836" s="3"/>
      <c r="AE836" s="3"/>
      <c r="AF836" s="3"/>
      <c r="AG836" s="3"/>
      <c r="AH836" s="3"/>
      <c r="AI836" s="3"/>
      <c r="AK836" s="3"/>
      <c r="AL836" s="3"/>
      <c r="AM836" s="3"/>
      <c r="AN836" s="3"/>
      <c r="AO836" s="3"/>
      <c r="AP836" s="3"/>
      <c r="AQ836" s="3"/>
      <c r="AR836" s="3"/>
    </row>
    <row r="837" spans="1:44" ht="16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S837" s="3"/>
      <c r="T837" s="3"/>
      <c r="U837" s="3"/>
      <c r="V837" s="3"/>
      <c r="W837" s="3"/>
      <c r="X837" s="3"/>
      <c r="Y837" s="3"/>
      <c r="Z837" s="3"/>
      <c r="AB837" s="3"/>
      <c r="AC837" s="3"/>
      <c r="AD837" s="3"/>
      <c r="AE837" s="3"/>
      <c r="AF837" s="3"/>
      <c r="AG837" s="3"/>
      <c r="AH837" s="3"/>
      <c r="AI837" s="3"/>
      <c r="AK837" s="3"/>
      <c r="AL837" s="3"/>
      <c r="AM837" s="3"/>
      <c r="AN837" s="3"/>
      <c r="AO837" s="3"/>
      <c r="AP837" s="3"/>
      <c r="AQ837" s="3"/>
      <c r="AR837" s="3"/>
    </row>
    <row r="838" spans="1:44" ht="16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S838" s="3"/>
      <c r="T838" s="3"/>
      <c r="U838" s="3"/>
      <c r="V838" s="3"/>
      <c r="W838" s="3"/>
      <c r="X838" s="3"/>
      <c r="Y838" s="3"/>
      <c r="Z838" s="3"/>
      <c r="AB838" s="3"/>
      <c r="AC838" s="3"/>
      <c r="AD838" s="3"/>
      <c r="AE838" s="3"/>
      <c r="AF838" s="3"/>
      <c r="AG838" s="3"/>
      <c r="AH838" s="3"/>
      <c r="AI838" s="3"/>
      <c r="AK838" s="3"/>
      <c r="AL838" s="3"/>
      <c r="AM838" s="3"/>
      <c r="AN838" s="3"/>
      <c r="AO838" s="3"/>
      <c r="AP838" s="3"/>
      <c r="AQ838" s="3"/>
      <c r="AR838" s="3"/>
    </row>
    <row r="839" spans="1:44" ht="16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S839" s="3"/>
      <c r="T839" s="3"/>
      <c r="U839" s="3"/>
      <c r="V839" s="3"/>
      <c r="W839" s="3"/>
      <c r="X839" s="3"/>
      <c r="Y839" s="3"/>
      <c r="Z839" s="3"/>
      <c r="AB839" s="3"/>
      <c r="AC839" s="3"/>
      <c r="AD839" s="3"/>
      <c r="AE839" s="3"/>
      <c r="AF839" s="3"/>
      <c r="AG839" s="3"/>
      <c r="AH839" s="3"/>
      <c r="AI839" s="3"/>
      <c r="AK839" s="3"/>
      <c r="AL839" s="3"/>
      <c r="AM839" s="3"/>
      <c r="AN839" s="3"/>
      <c r="AO839" s="3"/>
      <c r="AP839" s="3"/>
      <c r="AQ839" s="3"/>
      <c r="AR839" s="3"/>
    </row>
    <row r="840" spans="1:44" ht="16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S840" s="3"/>
      <c r="T840" s="3"/>
      <c r="U840" s="3"/>
      <c r="V840" s="3"/>
      <c r="W840" s="3"/>
      <c r="X840" s="3"/>
      <c r="Y840" s="3"/>
      <c r="Z840" s="3"/>
      <c r="AB840" s="3"/>
      <c r="AC840" s="3"/>
      <c r="AD840" s="3"/>
      <c r="AE840" s="3"/>
      <c r="AF840" s="3"/>
      <c r="AG840" s="3"/>
      <c r="AH840" s="3"/>
      <c r="AI840" s="3"/>
      <c r="AK840" s="3"/>
      <c r="AL840" s="3"/>
      <c r="AM840" s="3"/>
      <c r="AN840" s="3"/>
      <c r="AO840" s="3"/>
      <c r="AP840" s="3"/>
      <c r="AQ840" s="3"/>
      <c r="AR840" s="3"/>
    </row>
    <row r="841" spans="1:44" ht="16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S841" s="3"/>
      <c r="T841" s="3"/>
      <c r="U841" s="3"/>
      <c r="V841" s="3"/>
      <c r="W841" s="3"/>
      <c r="X841" s="3"/>
      <c r="Y841" s="3"/>
      <c r="Z841" s="3"/>
      <c r="AB841" s="3"/>
      <c r="AC841" s="3"/>
      <c r="AD841" s="3"/>
      <c r="AE841" s="3"/>
      <c r="AF841" s="3"/>
      <c r="AG841" s="3"/>
      <c r="AH841" s="3"/>
      <c r="AI841" s="3"/>
      <c r="AK841" s="3"/>
      <c r="AL841" s="3"/>
      <c r="AM841" s="3"/>
      <c r="AN841" s="3"/>
      <c r="AO841" s="3"/>
      <c r="AP841" s="3"/>
      <c r="AQ841" s="3"/>
      <c r="AR841" s="3"/>
    </row>
    <row r="842" spans="1:44" ht="16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S842" s="3"/>
      <c r="T842" s="3"/>
      <c r="U842" s="3"/>
      <c r="V842" s="3"/>
      <c r="W842" s="3"/>
      <c r="X842" s="3"/>
      <c r="Y842" s="3"/>
      <c r="Z842" s="3"/>
      <c r="AB842" s="3"/>
      <c r="AC842" s="3"/>
      <c r="AD842" s="3"/>
      <c r="AE842" s="3"/>
      <c r="AF842" s="3"/>
      <c r="AG842" s="3"/>
      <c r="AH842" s="3"/>
      <c r="AI842" s="3"/>
      <c r="AK842" s="3"/>
      <c r="AL842" s="3"/>
      <c r="AM842" s="3"/>
      <c r="AN842" s="3"/>
      <c r="AO842" s="3"/>
      <c r="AP842" s="3"/>
      <c r="AQ842" s="3"/>
      <c r="AR842" s="3"/>
    </row>
    <row r="843" spans="1:44" ht="16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S843" s="3"/>
      <c r="T843" s="3"/>
      <c r="U843" s="3"/>
      <c r="V843" s="3"/>
      <c r="W843" s="3"/>
      <c r="X843" s="3"/>
      <c r="Y843" s="3"/>
      <c r="Z843" s="3"/>
      <c r="AB843" s="3"/>
      <c r="AC843" s="3"/>
      <c r="AD843" s="3"/>
      <c r="AE843" s="3"/>
      <c r="AF843" s="3"/>
      <c r="AG843" s="3"/>
      <c r="AH843" s="3"/>
      <c r="AI843" s="3"/>
      <c r="AK843" s="3"/>
      <c r="AL843" s="3"/>
      <c r="AM843" s="3"/>
      <c r="AN843" s="3"/>
      <c r="AO843" s="3"/>
      <c r="AP843" s="3"/>
      <c r="AQ843" s="3"/>
      <c r="AR843" s="3"/>
    </row>
    <row r="844" spans="1:44" ht="16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S844" s="3"/>
      <c r="T844" s="3"/>
      <c r="U844" s="3"/>
      <c r="V844" s="3"/>
      <c r="W844" s="3"/>
      <c r="X844" s="3"/>
      <c r="Y844" s="3"/>
      <c r="Z844" s="3"/>
      <c r="AB844" s="3"/>
      <c r="AC844" s="3"/>
      <c r="AD844" s="3"/>
      <c r="AE844" s="3"/>
      <c r="AF844" s="3"/>
      <c r="AG844" s="3"/>
      <c r="AH844" s="3"/>
      <c r="AI844" s="3"/>
      <c r="AK844" s="3"/>
      <c r="AL844" s="3"/>
      <c r="AM844" s="3"/>
      <c r="AN844" s="3"/>
      <c r="AO844" s="3"/>
      <c r="AP844" s="3"/>
      <c r="AQ844" s="3"/>
      <c r="AR844" s="3"/>
    </row>
    <row r="845" spans="1:44" ht="16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S845" s="3"/>
      <c r="T845" s="3"/>
      <c r="U845" s="3"/>
      <c r="V845" s="3"/>
      <c r="W845" s="3"/>
      <c r="X845" s="3"/>
      <c r="Y845" s="3"/>
      <c r="Z845" s="3"/>
      <c r="AB845" s="3"/>
      <c r="AC845" s="3"/>
      <c r="AD845" s="3"/>
      <c r="AE845" s="3"/>
      <c r="AF845" s="3"/>
      <c r="AG845" s="3"/>
      <c r="AH845" s="3"/>
      <c r="AI845" s="3"/>
      <c r="AK845" s="3"/>
      <c r="AL845" s="3"/>
      <c r="AM845" s="3"/>
      <c r="AN845" s="3"/>
      <c r="AO845" s="3"/>
      <c r="AP845" s="3"/>
      <c r="AQ845" s="3"/>
      <c r="AR845" s="3"/>
    </row>
    <row r="846" spans="1:44" ht="16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S846" s="3"/>
      <c r="T846" s="3"/>
      <c r="U846" s="3"/>
      <c r="V846" s="3"/>
      <c r="W846" s="3"/>
      <c r="X846" s="3"/>
      <c r="Y846" s="3"/>
      <c r="Z846" s="3"/>
      <c r="AB846" s="3"/>
      <c r="AC846" s="3"/>
      <c r="AD846" s="3"/>
      <c r="AE846" s="3"/>
      <c r="AF846" s="3"/>
      <c r="AG846" s="3"/>
      <c r="AH846" s="3"/>
      <c r="AI846" s="3"/>
      <c r="AK846" s="3"/>
      <c r="AL846" s="3"/>
      <c r="AM846" s="3"/>
      <c r="AN846" s="3"/>
      <c r="AO846" s="3"/>
      <c r="AP846" s="3"/>
      <c r="AQ846" s="3"/>
      <c r="AR846" s="3"/>
    </row>
    <row r="847" spans="1:44" ht="16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S847" s="3"/>
      <c r="T847" s="3"/>
      <c r="U847" s="3"/>
      <c r="V847" s="3"/>
      <c r="W847" s="3"/>
      <c r="X847" s="3"/>
      <c r="Y847" s="3"/>
      <c r="Z847" s="3"/>
      <c r="AB847" s="3"/>
      <c r="AC847" s="3"/>
      <c r="AD847" s="3"/>
      <c r="AE847" s="3"/>
      <c r="AF847" s="3"/>
      <c r="AG847" s="3"/>
      <c r="AH847" s="3"/>
      <c r="AI847" s="3"/>
      <c r="AK847" s="3"/>
      <c r="AL847" s="3"/>
      <c r="AM847" s="3"/>
      <c r="AN847" s="3"/>
      <c r="AO847" s="3"/>
      <c r="AP847" s="3"/>
      <c r="AQ847" s="3"/>
      <c r="AR847" s="3"/>
    </row>
    <row r="848" spans="1:44" ht="16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S848" s="3"/>
      <c r="T848" s="3"/>
      <c r="U848" s="3"/>
      <c r="V848" s="3"/>
      <c r="W848" s="3"/>
      <c r="X848" s="3"/>
      <c r="Y848" s="3"/>
      <c r="Z848" s="3"/>
      <c r="AB848" s="3"/>
      <c r="AC848" s="3"/>
      <c r="AD848" s="3"/>
      <c r="AE848" s="3"/>
      <c r="AF848" s="3"/>
      <c r="AG848" s="3"/>
      <c r="AH848" s="3"/>
      <c r="AI848" s="3"/>
      <c r="AK848" s="3"/>
      <c r="AL848" s="3"/>
      <c r="AM848" s="3"/>
      <c r="AN848" s="3"/>
      <c r="AO848" s="3"/>
      <c r="AP848" s="3"/>
      <c r="AQ848" s="3"/>
      <c r="AR848" s="3"/>
    </row>
    <row r="849" spans="1:44" ht="16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S849" s="3"/>
      <c r="T849" s="3"/>
      <c r="U849" s="3"/>
      <c r="V849" s="3"/>
      <c r="W849" s="3"/>
      <c r="X849" s="3"/>
      <c r="Y849" s="3"/>
      <c r="Z849" s="3"/>
      <c r="AB849" s="3"/>
      <c r="AC849" s="3"/>
      <c r="AD849" s="3"/>
      <c r="AE849" s="3"/>
      <c r="AF849" s="3"/>
      <c r="AG849" s="3"/>
      <c r="AH849" s="3"/>
      <c r="AI849" s="3"/>
      <c r="AK849" s="3"/>
      <c r="AL849" s="3"/>
      <c r="AM849" s="3"/>
      <c r="AN849" s="3"/>
      <c r="AO849" s="3"/>
      <c r="AP849" s="3"/>
      <c r="AQ849" s="3"/>
      <c r="AR849" s="3"/>
    </row>
    <row r="850" spans="1:44" ht="16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S850" s="3"/>
      <c r="T850" s="3"/>
      <c r="U850" s="3"/>
      <c r="V850" s="3"/>
      <c r="W850" s="3"/>
      <c r="X850" s="3"/>
      <c r="Y850" s="3"/>
      <c r="Z850" s="3"/>
      <c r="AB850" s="3"/>
      <c r="AC850" s="3"/>
      <c r="AD850" s="3"/>
      <c r="AE850" s="3"/>
      <c r="AF850" s="3"/>
      <c r="AG850" s="3"/>
      <c r="AH850" s="3"/>
      <c r="AI850" s="3"/>
      <c r="AK850" s="3"/>
      <c r="AL850" s="3"/>
      <c r="AM850" s="3"/>
      <c r="AN850" s="3"/>
      <c r="AO850" s="3"/>
      <c r="AP850" s="3"/>
      <c r="AQ850" s="3"/>
      <c r="AR850" s="3"/>
    </row>
    <row r="851" spans="1:44" ht="16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S851" s="3"/>
      <c r="T851" s="3"/>
      <c r="U851" s="3"/>
      <c r="V851" s="3"/>
      <c r="W851" s="3"/>
      <c r="X851" s="3"/>
      <c r="Y851" s="3"/>
      <c r="Z851" s="3"/>
      <c r="AB851" s="3"/>
      <c r="AC851" s="3"/>
      <c r="AD851" s="3"/>
      <c r="AE851" s="3"/>
      <c r="AF851" s="3"/>
      <c r="AG851" s="3"/>
      <c r="AH851" s="3"/>
      <c r="AI851" s="3"/>
      <c r="AK851" s="3"/>
      <c r="AL851" s="3"/>
      <c r="AM851" s="3"/>
      <c r="AN851" s="3"/>
      <c r="AO851" s="3"/>
      <c r="AP851" s="3"/>
      <c r="AQ851" s="3"/>
      <c r="AR851" s="3"/>
    </row>
    <row r="852" spans="1:44" ht="16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S852" s="3"/>
      <c r="T852" s="3"/>
      <c r="U852" s="3"/>
      <c r="V852" s="3"/>
      <c r="W852" s="3"/>
      <c r="X852" s="3"/>
      <c r="Y852" s="3"/>
      <c r="Z852" s="3"/>
      <c r="AB852" s="3"/>
      <c r="AC852" s="3"/>
      <c r="AD852" s="3"/>
      <c r="AE852" s="3"/>
      <c r="AF852" s="3"/>
      <c r="AG852" s="3"/>
      <c r="AH852" s="3"/>
      <c r="AI852" s="3"/>
      <c r="AK852" s="3"/>
      <c r="AL852" s="3"/>
      <c r="AM852" s="3"/>
      <c r="AN852" s="3"/>
      <c r="AO852" s="3"/>
      <c r="AP852" s="3"/>
      <c r="AQ852" s="3"/>
      <c r="AR852" s="3"/>
    </row>
    <row r="853" spans="1:44" ht="16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S853" s="3"/>
      <c r="T853" s="3"/>
      <c r="U853" s="3"/>
      <c r="V853" s="3"/>
      <c r="W853" s="3"/>
      <c r="X853" s="3"/>
      <c r="Y853" s="3"/>
      <c r="Z853" s="3"/>
      <c r="AB853" s="3"/>
      <c r="AC853" s="3"/>
      <c r="AD853" s="3"/>
      <c r="AE853" s="3"/>
      <c r="AF853" s="3"/>
      <c r="AG853" s="3"/>
      <c r="AH853" s="3"/>
      <c r="AI853" s="3"/>
      <c r="AK853" s="3"/>
      <c r="AL853" s="3"/>
      <c r="AM853" s="3"/>
      <c r="AN853" s="3"/>
      <c r="AO853" s="3"/>
      <c r="AP853" s="3"/>
      <c r="AQ853" s="3"/>
      <c r="AR853" s="3"/>
    </row>
    <row r="854" spans="1:44" ht="16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S854" s="3"/>
      <c r="T854" s="3"/>
      <c r="U854" s="3"/>
      <c r="V854" s="3"/>
      <c r="W854" s="3"/>
      <c r="X854" s="3"/>
      <c r="Y854" s="3"/>
      <c r="Z854" s="3"/>
      <c r="AB854" s="3"/>
      <c r="AC854" s="3"/>
      <c r="AD854" s="3"/>
      <c r="AE854" s="3"/>
      <c r="AF854" s="3"/>
      <c r="AG854" s="3"/>
      <c r="AH854" s="3"/>
      <c r="AI854" s="3"/>
      <c r="AK854" s="3"/>
      <c r="AL854" s="3"/>
      <c r="AM854" s="3"/>
      <c r="AN854" s="3"/>
      <c r="AO854" s="3"/>
      <c r="AP854" s="3"/>
      <c r="AQ854" s="3"/>
      <c r="AR854" s="3"/>
    </row>
    <row r="855" spans="1:44" ht="16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S855" s="3"/>
      <c r="T855" s="3"/>
      <c r="U855" s="3"/>
      <c r="V855" s="3"/>
      <c r="W855" s="3"/>
      <c r="X855" s="3"/>
      <c r="Y855" s="3"/>
      <c r="Z855" s="3"/>
      <c r="AB855" s="3"/>
      <c r="AC855" s="3"/>
      <c r="AD855" s="3"/>
      <c r="AE855" s="3"/>
      <c r="AF855" s="3"/>
      <c r="AG855" s="3"/>
      <c r="AH855" s="3"/>
      <c r="AI855" s="3"/>
      <c r="AK855" s="3"/>
      <c r="AL855" s="3"/>
      <c r="AM855" s="3"/>
      <c r="AN855" s="3"/>
      <c r="AO855" s="3"/>
      <c r="AP855" s="3"/>
      <c r="AQ855" s="3"/>
      <c r="AR855" s="3"/>
    </row>
    <row r="856" spans="1:44" ht="16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S856" s="3"/>
      <c r="T856" s="3"/>
      <c r="U856" s="3"/>
      <c r="V856" s="3"/>
      <c r="W856" s="3"/>
      <c r="X856" s="3"/>
      <c r="Y856" s="3"/>
      <c r="Z856" s="3"/>
      <c r="AB856" s="3"/>
      <c r="AC856" s="3"/>
      <c r="AD856" s="3"/>
      <c r="AE856" s="3"/>
      <c r="AF856" s="3"/>
      <c r="AG856" s="3"/>
      <c r="AH856" s="3"/>
      <c r="AI856" s="3"/>
      <c r="AK856" s="3"/>
      <c r="AL856" s="3"/>
      <c r="AM856" s="3"/>
      <c r="AN856" s="3"/>
      <c r="AO856" s="3"/>
      <c r="AP856" s="3"/>
      <c r="AQ856" s="3"/>
      <c r="AR856" s="3"/>
    </row>
    <row r="857" spans="1:44" ht="16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S857" s="3"/>
      <c r="T857" s="3"/>
      <c r="U857" s="3"/>
      <c r="V857" s="3"/>
      <c r="W857" s="3"/>
      <c r="X857" s="3"/>
      <c r="Y857" s="3"/>
      <c r="Z857" s="3"/>
      <c r="AB857" s="3"/>
      <c r="AC857" s="3"/>
      <c r="AD857" s="3"/>
      <c r="AE857" s="3"/>
      <c r="AF857" s="3"/>
      <c r="AG857" s="3"/>
      <c r="AH857" s="3"/>
      <c r="AI857" s="3"/>
      <c r="AK857" s="3"/>
      <c r="AL857" s="3"/>
      <c r="AM857" s="3"/>
      <c r="AN857" s="3"/>
      <c r="AO857" s="3"/>
      <c r="AP857" s="3"/>
      <c r="AQ857" s="3"/>
      <c r="AR857" s="3"/>
    </row>
    <row r="858" spans="1:44" ht="16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S858" s="3"/>
      <c r="T858" s="3"/>
      <c r="U858" s="3"/>
      <c r="V858" s="3"/>
      <c r="W858" s="3"/>
      <c r="X858" s="3"/>
      <c r="Y858" s="3"/>
      <c r="Z858" s="3"/>
      <c r="AB858" s="3"/>
      <c r="AC858" s="3"/>
      <c r="AD858" s="3"/>
      <c r="AE858" s="3"/>
      <c r="AF858" s="3"/>
      <c r="AG858" s="3"/>
      <c r="AH858" s="3"/>
      <c r="AI858" s="3"/>
      <c r="AK858" s="3"/>
      <c r="AL858" s="3"/>
      <c r="AM858" s="3"/>
      <c r="AN858" s="3"/>
      <c r="AO858" s="3"/>
      <c r="AP858" s="3"/>
      <c r="AQ858" s="3"/>
      <c r="AR858" s="3"/>
    </row>
    <row r="859" spans="1:44" ht="16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S859" s="3"/>
      <c r="T859" s="3"/>
      <c r="U859" s="3"/>
      <c r="V859" s="3"/>
      <c r="W859" s="3"/>
      <c r="X859" s="3"/>
      <c r="Y859" s="3"/>
      <c r="Z859" s="3"/>
      <c r="AB859" s="3"/>
      <c r="AC859" s="3"/>
      <c r="AD859" s="3"/>
      <c r="AE859" s="3"/>
      <c r="AF859" s="3"/>
      <c r="AG859" s="3"/>
      <c r="AH859" s="3"/>
      <c r="AI859" s="3"/>
      <c r="AK859" s="3"/>
      <c r="AL859" s="3"/>
      <c r="AM859" s="3"/>
      <c r="AN859" s="3"/>
      <c r="AO859" s="3"/>
      <c r="AP859" s="3"/>
      <c r="AQ859" s="3"/>
      <c r="AR859" s="3"/>
    </row>
    <row r="860" spans="1:44" ht="16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S860" s="3"/>
      <c r="T860" s="3"/>
      <c r="U860" s="3"/>
      <c r="V860" s="3"/>
      <c r="W860" s="3"/>
      <c r="X860" s="3"/>
      <c r="Y860" s="3"/>
      <c r="Z860" s="3"/>
      <c r="AB860" s="3"/>
      <c r="AC860" s="3"/>
      <c r="AD860" s="3"/>
      <c r="AE860" s="3"/>
      <c r="AF860" s="3"/>
      <c r="AG860" s="3"/>
      <c r="AH860" s="3"/>
      <c r="AI860" s="3"/>
      <c r="AK860" s="3"/>
      <c r="AL860" s="3"/>
      <c r="AM860" s="3"/>
      <c r="AN860" s="3"/>
      <c r="AO860" s="3"/>
      <c r="AP860" s="3"/>
      <c r="AQ860" s="3"/>
      <c r="AR860" s="3"/>
    </row>
    <row r="861" spans="1:44" ht="16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S861" s="3"/>
      <c r="T861" s="3"/>
      <c r="U861" s="3"/>
      <c r="V861" s="3"/>
      <c r="W861" s="3"/>
      <c r="X861" s="3"/>
      <c r="Y861" s="3"/>
      <c r="Z861" s="3"/>
      <c r="AB861" s="3"/>
      <c r="AC861" s="3"/>
      <c r="AD861" s="3"/>
      <c r="AE861" s="3"/>
      <c r="AF861" s="3"/>
      <c r="AG861" s="3"/>
      <c r="AH861" s="3"/>
      <c r="AI861" s="3"/>
      <c r="AK861" s="3"/>
      <c r="AL861" s="3"/>
      <c r="AM861" s="3"/>
      <c r="AN861" s="3"/>
      <c r="AO861" s="3"/>
      <c r="AP861" s="3"/>
      <c r="AQ861" s="3"/>
      <c r="AR861" s="3"/>
    </row>
    <row r="862" spans="1:44" ht="16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S862" s="3"/>
      <c r="T862" s="3"/>
      <c r="U862" s="3"/>
      <c r="V862" s="3"/>
      <c r="W862" s="3"/>
      <c r="X862" s="3"/>
      <c r="Y862" s="3"/>
      <c r="Z862" s="3"/>
      <c r="AB862" s="3"/>
      <c r="AC862" s="3"/>
      <c r="AD862" s="3"/>
      <c r="AE862" s="3"/>
      <c r="AF862" s="3"/>
      <c r="AG862" s="3"/>
      <c r="AH862" s="3"/>
      <c r="AI862" s="3"/>
      <c r="AK862" s="3"/>
      <c r="AL862" s="3"/>
      <c r="AM862" s="3"/>
      <c r="AN862" s="3"/>
      <c r="AO862" s="3"/>
      <c r="AP862" s="3"/>
      <c r="AQ862" s="3"/>
      <c r="AR862" s="3"/>
    </row>
    <row r="863" spans="1:44" ht="16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S863" s="3"/>
      <c r="T863" s="3"/>
      <c r="U863" s="3"/>
      <c r="V863" s="3"/>
      <c r="W863" s="3"/>
      <c r="X863" s="3"/>
      <c r="Y863" s="3"/>
      <c r="Z863" s="3"/>
      <c r="AB863" s="3"/>
      <c r="AC863" s="3"/>
      <c r="AD863" s="3"/>
      <c r="AE863" s="3"/>
      <c r="AF863" s="3"/>
      <c r="AG863" s="3"/>
      <c r="AH863" s="3"/>
      <c r="AI863" s="3"/>
      <c r="AK863" s="3"/>
      <c r="AL863" s="3"/>
      <c r="AM863" s="3"/>
      <c r="AN863" s="3"/>
      <c r="AO863" s="3"/>
      <c r="AP863" s="3"/>
      <c r="AQ863" s="3"/>
      <c r="AR863" s="3"/>
    </row>
    <row r="864" spans="1:44" ht="16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S864" s="3"/>
      <c r="T864" s="3"/>
      <c r="U864" s="3"/>
      <c r="V864" s="3"/>
      <c r="W864" s="3"/>
      <c r="X864" s="3"/>
      <c r="Y864" s="3"/>
      <c r="Z864" s="3"/>
      <c r="AB864" s="3"/>
      <c r="AC864" s="3"/>
      <c r="AD864" s="3"/>
      <c r="AE864" s="3"/>
      <c r="AF864" s="3"/>
      <c r="AG864" s="3"/>
      <c r="AH864" s="3"/>
      <c r="AI864" s="3"/>
      <c r="AK864" s="3"/>
      <c r="AL864" s="3"/>
      <c r="AM864" s="3"/>
      <c r="AN864" s="3"/>
      <c r="AO864" s="3"/>
      <c r="AP864" s="3"/>
      <c r="AQ864" s="3"/>
      <c r="AR864" s="3"/>
    </row>
    <row r="865" spans="1:44" ht="16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S865" s="3"/>
      <c r="T865" s="3"/>
      <c r="U865" s="3"/>
      <c r="V865" s="3"/>
      <c r="W865" s="3"/>
      <c r="X865" s="3"/>
      <c r="Y865" s="3"/>
      <c r="Z865" s="3"/>
      <c r="AB865" s="3"/>
      <c r="AC865" s="3"/>
      <c r="AD865" s="3"/>
      <c r="AE865" s="3"/>
      <c r="AF865" s="3"/>
      <c r="AG865" s="3"/>
      <c r="AH865" s="3"/>
      <c r="AI865" s="3"/>
      <c r="AK865" s="3"/>
      <c r="AL865" s="3"/>
      <c r="AM865" s="3"/>
      <c r="AN865" s="3"/>
      <c r="AO865" s="3"/>
      <c r="AP865" s="3"/>
      <c r="AQ865" s="3"/>
      <c r="AR865" s="3"/>
    </row>
    <row r="866" spans="1:44" ht="16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S866" s="3"/>
      <c r="T866" s="3"/>
      <c r="U866" s="3"/>
      <c r="V866" s="3"/>
      <c r="W866" s="3"/>
      <c r="X866" s="3"/>
      <c r="Y866" s="3"/>
      <c r="Z866" s="3"/>
      <c r="AB866" s="3"/>
      <c r="AC866" s="3"/>
      <c r="AD866" s="3"/>
      <c r="AE866" s="3"/>
      <c r="AF866" s="3"/>
      <c r="AG866" s="3"/>
      <c r="AH866" s="3"/>
      <c r="AI866" s="3"/>
      <c r="AK866" s="3"/>
      <c r="AL866" s="3"/>
      <c r="AM866" s="3"/>
      <c r="AN866" s="3"/>
      <c r="AO866" s="3"/>
      <c r="AP866" s="3"/>
      <c r="AQ866" s="3"/>
      <c r="AR866" s="3"/>
    </row>
    <row r="867" spans="1:44" ht="16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S867" s="3"/>
      <c r="T867" s="3"/>
      <c r="U867" s="3"/>
      <c r="V867" s="3"/>
      <c r="W867" s="3"/>
      <c r="X867" s="3"/>
      <c r="Y867" s="3"/>
      <c r="Z867" s="3"/>
      <c r="AB867" s="3"/>
      <c r="AC867" s="3"/>
      <c r="AD867" s="3"/>
      <c r="AE867" s="3"/>
      <c r="AF867" s="3"/>
      <c r="AG867" s="3"/>
      <c r="AH867" s="3"/>
      <c r="AI867" s="3"/>
      <c r="AK867" s="3"/>
      <c r="AL867" s="3"/>
      <c r="AM867" s="3"/>
      <c r="AN867" s="3"/>
      <c r="AO867" s="3"/>
      <c r="AP867" s="3"/>
      <c r="AQ867" s="3"/>
      <c r="AR867" s="3"/>
    </row>
    <row r="868" spans="1:44" ht="16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S868" s="3"/>
      <c r="T868" s="3"/>
      <c r="U868" s="3"/>
      <c r="V868" s="3"/>
      <c r="W868" s="3"/>
      <c r="X868" s="3"/>
      <c r="Y868" s="3"/>
      <c r="Z868" s="3"/>
      <c r="AB868" s="3"/>
      <c r="AC868" s="3"/>
      <c r="AD868" s="3"/>
      <c r="AE868" s="3"/>
      <c r="AF868" s="3"/>
      <c r="AG868" s="3"/>
      <c r="AH868" s="3"/>
      <c r="AI868" s="3"/>
      <c r="AK868" s="3"/>
      <c r="AL868" s="3"/>
      <c r="AM868" s="3"/>
      <c r="AN868" s="3"/>
      <c r="AO868" s="3"/>
      <c r="AP868" s="3"/>
      <c r="AQ868" s="3"/>
      <c r="AR868" s="3"/>
    </row>
    <row r="869" spans="1:44" ht="16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S869" s="3"/>
      <c r="T869" s="3"/>
      <c r="U869" s="3"/>
      <c r="V869" s="3"/>
      <c r="W869" s="3"/>
      <c r="X869" s="3"/>
      <c r="Y869" s="3"/>
      <c r="Z869" s="3"/>
      <c r="AB869" s="3"/>
      <c r="AC869" s="3"/>
      <c r="AD869" s="3"/>
      <c r="AE869" s="3"/>
      <c r="AF869" s="3"/>
      <c r="AG869" s="3"/>
      <c r="AH869" s="3"/>
      <c r="AI869" s="3"/>
      <c r="AK869" s="3"/>
      <c r="AL869" s="3"/>
      <c r="AM869" s="3"/>
      <c r="AN869" s="3"/>
      <c r="AO869" s="3"/>
      <c r="AP869" s="3"/>
      <c r="AQ869" s="3"/>
      <c r="AR869" s="3"/>
    </row>
    <row r="870" spans="1:44" ht="16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S870" s="3"/>
      <c r="T870" s="3"/>
      <c r="U870" s="3"/>
      <c r="V870" s="3"/>
      <c r="W870" s="3"/>
      <c r="X870" s="3"/>
      <c r="Y870" s="3"/>
      <c r="Z870" s="3"/>
      <c r="AB870" s="3"/>
      <c r="AC870" s="3"/>
      <c r="AD870" s="3"/>
      <c r="AE870" s="3"/>
      <c r="AF870" s="3"/>
      <c r="AG870" s="3"/>
      <c r="AH870" s="3"/>
      <c r="AI870" s="3"/>
      <c r="AK870" s="3"/>
      <c r="AL870" s="3"/>
      <c r="AM870" s="3"/>
      <c r="AN870" s="3"/>
      <c r="AO870" s="3"/>
      <c r="AP870" s="3"/>
      <c r="AQ870" s="3"/>
      <c r="AR870" s="3"/>
    </row>
    <row r="871" spans="1:44" ht="16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S871" s="3"/>
      <c r="T871" s="3"/>
      <c r="U871" s="3"/>
      <c r="V871" s="3"/>
      <c r="W871" s="3"/>
      <c r="X871" s="3"/>
      <c r="Y871" s="3"/>
      <c r="Z871" s="3"/>
      <c r="AB871" s="3"/>
      <c r="AC871" s="3"/>
      <c r="AD871" s="3"/>
      <c r="AE871" s="3"/>
      <c r="AF871" s="3"/>
      <c r="AG871" s="3"/>
      <c r="AH871" s="3"/>
      <c r="AI871" s="3"/>
      <c r="AK871" s="3"/>
      <c r="AL871" s="3"/>
      <c r="AM871" s="3"/>
      <c r="AN871" s="3"/>
      <c r="AO871" s="3"/>
      <c r="AP871" s="3"/>
      <c r="AQ871" s="3"/>
      <c r="AR871" s="3"/>
    </row>
    <row r="872" spans="1:44" ht="16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S872" s="3"/>
      <c r="T872" s="3"/>
      <c r="U872" s="3"/>
      <c r="V872" s="3"/>
      <c r="W872" s="3"/>
      <c r="X872" s="3"/>
      <c r="Y872" s="3"/>
      <c r="Z872" s="3"/>
      <c r="AB872" s="3"/>
      <c r="AC872" s="3"/>
      <c r="AD872" s="3"/>
      <c r="AE872" s="3"/>
      <c r="AF872" s="3"/>
      <c r="AG872" s="3"/>
      <c r="AH872" s="3"/>
      <c r="AI872" s="3"/>
      <c r="AK872" s="3"/>
      <c r="AL872" s="3"/>
      <c r="AM872" s="3"/>
      <c r="AN872" s="3"/>
      <c r="AO872" s="3"/>
      <c r="AP872" s="3"/>
      <c r="AQ872" s="3"/>
      <c r="AR872" s="3"/>
    </row>
    <row r="873" spans="1:44" ht="16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S873" s="3"/>
      <c r="T873" s="3"/>
      <c r="U873" s="3"/>
      <c r="V873" s="3"/>
      <c r="W873" s="3"/>
      <c r="X873" s="3"/>
      <c r="Y873" s="3"/>
      <c r="Z873" s="3"/>
      <c r="AB873" s="3"/>
      <c r="AC873" s="3"/>
      <c r="AD873" s="3"/>
      <c r="AE873" s="3"/>
      <c r="AF873" s="3"/>
      <c r="AG873" s="3"/>
      <c r="AH873" s="3"/>
      <c r="AI873" s="3"/>
      <c r="AK873" s="3"/>
      <c r="AL873" s="3"/>
      <c r="AM873" s="3"/>
      <c r="AN873" s="3"/>
      <c r="AO873" s="3"/>
      <c r="AP873" s="3"/>
      <c r="AQ873" s="3"/>
      <c r="AR873" s="3"/>
    </row>
    <row r="874" spans="1:44" ht="16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S874" s="3"/>
      <c r="T874" s="3"/>
      <c r="U874" s="3"/>
      <c r="V874" s="3"/>
      <c r="W874" s="3"/>
      <c r="X874" s="3"/>
      <c r="Y874" s="3"/>
      <c r="Z874" s="3"/>
      <c r="AB874" s="3"/>
      <c r="AC874" s="3"/>
      <c r="AD874" s="3"/>
      <c r="AE874" s="3"/>
      <c r="AF874" s="3"/>
      <c r="AG874" s="3"/>
      <c r="AH874" s="3"/>
      <c r="AI874" s="3"/>
      <c r="AK874" s="3"/>
      <c r="AL874" s="3"/>
      <c r="AM874" s="3"/>
      <c r="AN874" s="3"/>
      <c r="AO874" s="3"/>
      <c r="AP874" s="3"/>
      <c r="AQ874" s="3"/>
      <c r="AR874" s="3"/>
    </row>
    <row r="875" spans="1:44" ht="16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S875" s="3"/>
      <c r="T875" s="3"/>
      <c r="U875" s="3"/>
      <c r="V875" s="3"/>
      <c r="W875" s="3"/>
      <c r="X875" s="3"/>
      <c r="Y875" s="3"/>
      <c r="Z875" s="3"/>
      <c r="AB875" s="3"/>
      <c r="AC875" s="3"/>
      <c r="AD875" s="3"/>
      <c r="AE875" s="3"/>
      <c r="AF875" s="3"/>
      <c r="AG875" s="3"/>
      <c r="AH875" s="3"/>
      <c r="AI875" s="3"/>
      <c r="AK875" s="3"/>
      <c r="AL875" s="3"/>
      <c r="AM875" s="3"/>
      <c r="AN875" s="3"/>
      <c r="AO875" s="3"/>
      <c r="AP875" s="3"/>
      <c r="AQ875" s="3"/>
      <c r="AR875" s="3"/>
    </row>
    <row r="876" spans="1:44" ht="16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S876" s="3"/>
      <c r="T876" s="3"/>
      <c r="U876" s="3"/>
      <c r="V876" s="3"/>
      <c r="W876" s="3"/>
      <c r="X876" s="3"/>
      <c r="Y876" s="3"/>
      <c r="Z876" s="3"/>
      <c r="AB876" s="3"/>
      <c r="AC876" s="3"/>
      <c r="AD876" s="3"/>
      <c r="AE876" s="3"/>
      <c r="AF876" s="3"/>
      <c r="AG876" s="3"/>
      <c r="AH876" s="3"/>
      <c r="AI876" s="3"/>
      <c r="AK876" s="3"/>
      <c r="AL876" s="3"/>
      <c r="AM876" s="3"/>
      <c r="AN876" s="3"/>
      <c r="AO876" s="3"/>
      <c r="AP876" s="3"/>
      <c r="AQ876" s="3"/>
      <c r="AR876" s="3"/>
    </row>
    <row r="877" spans="1:44" ht="16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S877" s="3"/>
      <c r="T877" s="3"/>
      <c r="U877" s="3"/>
      <c r="V877" s="3"/>
      <c r="W877" s="3"/>
      <c r="X877" s="3"/>
      <c r="Y877" s="3"/>
      <c r="Z877" s="3"/>
      <c r="AB877" s="3"/>
      <c r="AC877" s="3"/>
      <c r="AD877" s="3"/>
      <c r="AE877" s="3"/>
      <c r="AF877" s="3"/>
      <c r="AG877" s="3"/>
      <c r="AH877" s="3"/>
      <c r="AI877" s="3"/>
      <c r="AK877" s="3"/>
      <c r="AL877" s="3"/>
      <c r="AM877" s="3"/>
      <c r="AN877" s="3"/>
      <c r="AO877" s="3"/>
      <c r="AP877" s="3"/>
      <c r="AQ877" s="3"/>
      <c r="AR877" s="3"/>
    </row>
    <row r="878" spans="1:44" ht="16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S878" s="3"/>
      <c r="T878" s="3"/>
      <c r="U878" s="3"/>
      <c r="V878" s="3"/>
      <c r="W878" s="3"/>
      <c r="X878" s="3"/>
      <c r="Y878" s="3"/>
      <c r="Z878" s="3"/>
      <c r="AB878" s="3"/>
      <c r="AC878" s="3"/>
      <c r="AD878" s="3"/>
      <c r="AE878" s="3"/>
      <c r="AF878" s="3"/>
      <c r="AG878" s="3"/>
      <c r="AH878" s="3"/>
      <c r="AI878" s="3"/>
      <c r="AK878" s="3"/>
      <c r="AL878" s="3"/>
      <c r="AM878" s="3"/>
      <c r="AN878" s="3"/>
      <c r="AO878" s="3"/>
      <c r="AP878" s="3"/>
      <c r="AQ878" s="3"/>
      <c r="AR878" s="3"/>
    </row>
    <row r="879" spans="1:44" ht="16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S879" s="3"/>
      <c r="T879" s="3"/>
      <c r="U879" s="3"/>
      <c r="V879" s="3"/>
      <c r="W879" s="3"/>
      <c r="X879" s="3"/>
      <c r="Y879" s="3"/>
      <c r="Z879" s="3"/>
      <c r="AB879" s="3"/>
      <c r="AC879" s="3"/>
      <c r="AD879" s="3"/>
      <c r="AE879" s="3"/>
      <c r="AF879" s="3"/>
      <c r="AG879" s="3"/>
      <c r="AH879" s="3"/>
      <c r="AI879" s="3"/>
      <c r="AK879" s="3"/>
      <c r="AL879" s="3"/>
      <c r="AM879" s="3"/>
      <c r="AN879" s="3"/>
      <c r="AO879" s="3"/>
      <c r="AP879" s="3"/>
      <c r="AQ879" s="3"/>
      <c r="AR879" s="3"/>
    </row>
    <row r="880" spans="1:44" ht="16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S880" s="3"/>
      <c r="T880" s="3"/>
      <c r="U880" s="3"/>
      <c r="V880" s="3"/>
      <c r="W880" s="3"/>
      <c r="X880" s="3"/>
      <c r="Y880" s="3"/>
      <c r="Z880" s="3"/>
      <c r="AB880" s="3"/>
      <c r="AC880" s="3"/>
      <c r="AD880" s="3"/>
      <c r="AE880" s="3"/>
      <c r="AF880" s="3"/>
      <c r="AG880" s="3"/>
      <c r="AH880" s="3"/>
      <c r="AI880" s="3"/>
      <c r="AK880" s="3"/>
      <c r="AL880" s="3"/>
      <c r="AM880" s="3"/>
      <c r="AN880" s="3"/>
      <c r="AO880" s="3"/>
      <c r="AP880" s="3"/>
      <c r="AQ880" s="3"/>
      <c r="AR880" s="3"/>
    </row>
    <row r="881" spans="1:44" ht="16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S881" s="3"/>
      <c r="T881" s="3"/>
      <c r="U881" s="3"/>
      <c r="V881" s="3"/>
      <c r="W881" s="3"/>
      <c r="X881" s="3"/>
      <c r="Y881" s="3"/>
      <c r="Z881" s="3"/>
      <c r="AB881" s="3"/>
      <c r="AC881" s="3"/>
      <c r="AD881" s="3"/>
      <c r="AE881" s="3"/>
      <c r="AF881" s="3"/>
      <c r="AG881" s="3"/>
      <c r="AH881" s="3"/>
      <c r="AI881" s="3"/>
      <c r="AK881" s="3"/>
      <c r="AL881" s="3"/>
      <c r="AM881" s="3"/>
      <c r="AN881" s="3"/>
      <c r="AO881" s="3"/>
      <c r="AP881" s="3"/>
      <c r="AQ881" s="3"/>
      <c r="AR881" s="3"/>
    </row>
    <row r="882" spans="1:44" ht="16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S882" s="3"/>
      <c r="T882" s="3"/>
      <c r="U882" s="3"/>
      <c r="V882" s="3"/>
      <c r="W882" s="3"/>
      <c r="X882" s="3"/>
      <c r="Y882" s="3"/>
      <c r="Z882" s="3"/>
      <c r="AB882" s="3"/>
      <c r="AC882" s="3"/>
      <c r="AD882" s="3"/>
      <c r="AE882" s="3"/>
      <c r="AF882" s="3"/>
      <c r="AG882" s="3"/>
      <c r="AH882" s="3"/>
      <c r="AI882" s="3"/>
      <c r="AK882" s="3"/>
      <c r="AL882" s="3"/>
      <c r="AM882" s="3"/>
      <c r="AN882" s="3"/>
      <c r="AO882" s="3"/>
      <c r="AP882" s="3"/>
      <c r="AQ882" s="3"/>
      <c r="AR882" s="3"/>
    </row>
    <row r="883" spans="1:44" ht="16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S883" s="3"/>
      <c r="T883" s="3"/>
      <c r="U883" s="3"/>
      <c r="V883" s="3"/>
      <c r="W883" s="3"/>
      <c r="X883" s="3"/>
      <c r="Y883" s="3"/>
      <c r="Z883" s="3"/>
      <c r="AB883" s="3"/>
      <c r="AC883" s="3"/>
      <c r="AD883" s="3"/>
      <c r="AE883" s="3"/>
      <c r="AF883" s="3"/>
      <c r="AG883" s="3"/>
      <c r="AH883" s="3"/>
      <c r="AI883" s="3"/>
      <c r="AK883" s="3"/>
      <c r="AL883" s="3"/>
      <c r="AM883" s="3"/>
      <c r="AN883" s="3"/>
      <c r="AO883" s="3"/>
      <c r="AP883" s="3"/>
      <c r="AQ883" s="3"/>
      <c r="AR883" s="3"/>
    </row>
    <row r="884" spans="1:44" ht="16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S884" s="3"/>
      <c r="T884" s="3"/>
      <c r="U884" s="3"/>
      <c r="V884" s="3"/>
      <c r="W884" s="3"/>
      <c r="X884" s="3"/>
      <c r="Y884" s="3"/>
      <c r="Z884" s="3"/>
      <c r="AB884" s="3"/>
      <c r="AC884" s="3"/>
      <c r="AD884" s="3"/>
      <c r="AE884" s="3"/>
      <c r="AF884" s="3"/>
      <c r="AG884" s="3"/>
      <c r="AH884" s="3"/>
      <c r="AI884" s="3"/>
      <c r="AK884" s="3"/>
      <c r="AL884" s="3"/>
      <c r="AM884" s="3"/>
      <c r="AN884" s="3"/>
      <c r="AO884" s="3"/>
      <c r="AP884" s="3"/>
      <c r="AQ884" s="3"/>
      <c r="AR884" s="3"/>
    </row>
    <row r="885" spans="1:44" ht="16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S885" s="3"/>
      <c r="T885" s="3"/>
      <c r="U885" s="3"/>
      <c r="V885" s="3"/>
      <c r="W885" s="3"/>
      <c r="X885" s="3"/>
      <c r="Y885" s="3"/>
      <c r="Z885" s="3"/>
      <c r="AB885" s="3"/>
      <c r="AC885" s="3"/>
      <c r="AD885" s="3"/>
      <c r="AE885" s="3"/>
      <c r="AF885" s="3"/>
      <c r="AG885" s="3"/>
      <c r="AH885" s="3"/>
      <c r="AI885" s="3"/>
      <c r="AK885" s="3"/>
      <c r="AL885" s="3"/>
      <c r="AM885" s="3"/>
      <c r="AN885" s="3"/>
      <c r="AO885" s="3"/>
      <c r="AP885" s="3"/>
      <c r="AQ885" s="3"/>
      <c r="AR885" s="3"/>
    </row>
    <row r="886" spans="1:44" ht="16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S886" s="3"/>
      <c r="T886" s="3"/>
      <c r="U886" s="3"/>
      <c r="V886" s="3"/>
      <c r="W886" s="3"/>
      <c r="X886" s="3"/>
      <c r="Y886" s="3"/>
      <c r="Z886" s="3"/>
      <c r="AB886" s="3"/>
      <c r="AC886" s="3"/>
      <c r="AD886" s="3"/>
      <c r="AE886" s="3"/>
      <c r="AF886" s="3"/>
      <c r="AG886" s="3"/>
      <c r="AH886" s="3"/>
      <c r="AI886" s="3"/>
      <c r="AK886" s="3"/>
      <c r="AL886" s="3"/>
      <c r="AM886" s="3"/>
      <c r="AN886" s="3"/>
      <c r="AO886" s="3"/>
      <c r="AP886" s="3"/>
      <c r="AQ886" s="3"/>
      <c r="AR886" s="3"/>
    </row>
    <row r="887" spans="1:44" ht="16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S887" s="3"/>
      <c r="T887" s="3"/>
      <c r="U887" s="3"/>
      <c r="V887" s="3"/>
      <c r="W887" s="3"/>
      <c r="X887" s="3"/>
      <c r="Y887" s="3"/>
      <c r="Z887" s="3"/>
      <c r="AB887" s="3"/>
      <c r="AC887" s="3"/>
      <c r="AD887" s="3"/>
      <c r="AE887" s="3"/>
      <c r="AF887" s="3"/>
      <c r="AG887" s="3"/>
      <c r="AH887" s="3"/>
      <c r="AI887" s="3"/>
      <c r="AK887" s="3"/>
      <c r="AL887" s="3"/>
      <c r="AM887" s="3"/>
      <c r="AN887" s="3"/>
      <c r="AO887" s="3"/>
      <c r="AP887" s="3"/>
      <c r="AQ887" s="3"/>
      <c r="AR887" s="3"/>
    </row>
    <row r="888" spans="1:44" ht="16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S888" s="3"/>
      <c r="T888" s="3"/>
      <c r="U888" s="3"/>
      <c r="V888" s="3"/>
      <c r="W888" s="3"/>
      <c r="X888" s="3"/>
      <c r="Y888" s="3"/>
      <c r="Z888" s="3"/>
      <c r="AB888" s="3"/>
      <c r="AC888" s="3"/>
      <c r="AD888" s="3"/>
      <c r="AE888" s="3"/>
      <c r="AF888" s="3"/>
      <c r="AG888" s="3"/>
      <c r="AH888" s="3"/>
      <c r="AI888" s="3"/>
      <c r="AK888" s="3"/>
      <c r="AL888" s="3"/>
      <c r="AM888" s="3"/>
      <c r="AN888" s="3"/>
      <c r="AO888" s="3"/>
      <c r="AP888" s="3"/>
      <c r="AQ888" s="3"/>
      <c r="AR888" s="3"/>
    </row>
    <row r="889" spans="1:44" ht="16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S889" s="3"/>
      <c r="T889" s="3"/>
      <c r="U889" s="3"/>
      <c r="V889" s="3"/>
      <c r="W889" s="3"/>
      <c r="X889" s="3"/>
      <c r="Y889" s="3"/>
      <c r="Z889" s="3"/>
      <c r="AB889" s="3"/>
      <c r="AC889" s="3"/>
      <c r="AD889" s="3"/>
      <c r="AE889" s="3"/>
      <c r="AF889" s="3"/>
      <c r="AG889" s="3"/>
      <c r="AH889" s="3"/>
      <c r="AI889" s="3"/>
      <c r="AK889" s="3"/>
      <c r="AL889" s="3"/>
      <c r="AM889" s="3"/>
      <c r="AN889" s="3"/>
      <c r="AO889" s="3"/>
      <c r="AP889" s="3"/>
      <c r="AQ889" s="3"/>
      <c r="AR889" s="3"/>
    </row>
    <row r="890" spans="1:44" ht="16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S890" s="3"/>
      <c r="T890" s="3"/>
      <c r="U890" s="3"/>
      <c r="V890" s="3"/>
      <c r="W890" s="3"/>
      <c r="X890" s="3"/>
      <c r="Y890" s="3"/>
      <c r="Z890" s="3"/>
      <c r="AB890" s="3"/>
      <c r="AC890" s="3"/>
      <c r="AD890" s="3"/>
      <c r="AE890" s="3"/>
      <c r="AF890" s="3"/>
      <c r="AG890" s="3"/>
      <c r="AH890" s="3"/>
      <c r="AI890" s="3"/>
      <c r="AK890" s="3"/>
      <c r="AL890" s="3"/>
      <c r="AM890" s="3"/>
      <c r="AN890" s="3"/>
      <c r="AO890" s="3"/>
      <c r="AP890" s="3"/>
      <c r="AQ890" s="3"/>
      <c r="AR890" s="3"/>
    </row>
    <row r="891" spans="1:44" ht="16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S891" s="3"/>
      <c r="T891" s="3"/>
      <c r="U891" s="3"/>
      <c r="V891" s="3"/>
      <c r="W891" s="3"/>
      <c r="X891" s="3"/>
      <c r="Y891" s="3"/>
      <c r="Z891" s="3"/>
      <c r="AB891" s="3"/>
      <c r="AC891" s="3"/>
      <c r="AD891" s="3"/>
      <c r="AE891" s="3"/>
      <c r="AF891" s="3"/>
      <c r="AG891" s="3"/>
      <c r="AH891" s="3"/>
      <c r="AI891" s="3"/>
      <c r="AK891" s="3"/>
      <c r="AL891" s="3"/>
      <c r="AM891" s="3"/>
      <c r="AN891" s="3"/>
      <c r="AO891" s="3"/>
      <c r="AP891" s="3"/>
      <c r="AQ891" s="3"/>
      <c r="AR891" s="3"/>
    </row>
    <row r="892" spans="1:44" ht="16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S892" s="3"/>
      <c r="T892" s="3"/>
      <c r="U892" s="3"/>
      <c r="V892" s="3"/>
      <c r="W892" s="3"/>
      <c r="X892" s="3"/>
      <c r="Y892" s="3"/>
      <c r="Z892" s="3"/>
      <c r="AB892" s="3"/>
      <c r="AC892" s="3"/>
      <c r="AD892" s="3"/>
      <c r="AE892" s="3"/>
      <c r="AF892" s="3"/>
      <c r="AG892" s="3"/>
      <c r="AH892" s="3"/>
      <c r="AI892" s="3"/>
      <c r="AK892" s="3"/>
      <c r="AL892" s="3"/>
      <c r="AM892" s="3"/>
      <c r="AN892" s="3"/>
      <c r="AO892" s="3"/>
      <c r="AP892" s="3"/>
      <c r="AQ892" s="3"/>
      <c r="AR892" s="3"/>
    </row>
    <row r="893" spans="1:44" ht="16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S893" s="3"/>
      <c r="T893" s="3"/>
      <c r="U893" s="3"/>
      <c r="V893" s="3"/>
      <c r="W893" s="3"/>
      <c r="X893" s="3"/>
      <c r="Y893" s="3"/>
      <c r="Z893" s="3"/>
      <c r="AB893" s="3"/>
      <c r="AC893" s="3"/>
      <c r="AD893" s="3"/>
      <c r="AE893" s="3"/>
      <c r="AF893" s="3"/>
      <c r="AG893" s="3"/>
      <c r="AH893" s="3"/>
      <c r="AI893" s="3"/>
      <c r="AK893" s="3"/>
      <c r="AL893" s="3"/>
      <c r="AM893" s="3"/>
      <c r="AN893" s="3"/>
      <c r="AO893" s="3"/>
      <c r="AP893" s="3"/>
      <c r="AQ893" s="3"/>
      <c r="AR893" s="3"/>
    </row>
    <row r="894" spans="1:44" ht="16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S894" s="3"/>
      <c r="T894" s="3"/>
      <c r="U894" s="3"/>
      <c r="V894" s="3"/>
      <c r="W894" s="3"/>
      <c r="X894" s="3"/>
      <c r="Y894" s="3"/>
      <c r="Z894" s="3"/>
      <c r="AB894" s="3"/>
      <c r="AC894" s="3"/>
      <c r="AD894" s="3"/>
      <c r="AE894" s="3"/>
      <c r="AF894" s="3"/>
      <c r="AG894" s="3"/>
      <c r="AH894" s="3"/>
      <c r="AI894" s="3"/>
      <c r="AK894" s="3"/>
      <c r="AL894" s="3"/>
      <c r="AM894" s="3"/>
      <c r="AN894" s="3"/>
      <c r="AO894" s="3"/>
      <c r="AP894" s="3"/>
      <c r="AQ894" s="3"/>
      <c r="AR894" s="3"/>
    </row>
    <row r="895" spans="1:44" ht="16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S895" s="3"/>
      <c r="T895" s="3"/>
      <c r="U895" s="3"/>
      <c r="V895" s="3"/>
      <c r="W895" s="3"/>
      <c r="X895" s="3"/>
      <c r="Y895" s="3"/>
      <c r="Z895" s="3"/>
      <c r="AB895" s="3"/>
      <c r="AC895" s="3"/>
      <c r="AD895" s="3"/>
      <c r="AE895" s="3"/>
      <c r="AF895" s="3"/>
      <c r="AG895" s="3"/>
      <c r="AH895" s="3"/>
      <c r="AI895" s="3"/>
      <c r="AK895" s="3"/>
      <c r="AL895" s="3"/>
      <c r="AM895" s="3"/>
      <c r="AN895" s="3"/>
      <c r="AO895" s="3"/>
      <c r="AP895" s="3"/>
      <c r="AQ895" s="3"/>
      <c r="AR895" s="3"/>
    </row>
    <row r="896" spans="1:44" ht="16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S896" s="3"/>
      <c r="T896" s="3"/>
      <c r="U896" s="3"/>
      <c r="V896" s="3"/>
      <c r="W896" s="3"/>
      <c r="X896" s="3"/>
      <c r="Y896" s="3"/>
      <c r="Z896" s="3"/>
      <c r="AB896" s="3"/>
      <c r="AC896" s="3"/>
      <c r="AD896" s="3"/>
      <c r="AE896" s="3"/>
      <c r="AF896" s="3"/>
      <c r="AG896" s="3"/>
      <c r="AH896" s="3"/>
      <c r="AI896" s="3"/>
      <c r="AK896" s="3"/>
      <c r="AL896" s="3"/>
      <c r="AM896" s="3"/>
      <c r="AN896" s="3"/>
      <c r="AO896" s="3"/>
      <c r="AP896" s="3"/>
      <c r="AQ896" s="3"/>
      <c r="AR896" s="3"/>
    </row>
    <row r="897" spans="1:44" ht="16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S897" s="3"/>
      <c r="T897" s="3"/>
      <c r="U897" s="3"/>
      <c r="V897" s="3"/>
      <c r="W897" s="3"/>
      <c r="X897" s="3"/>
      <c r="Y897" s="3"/>
      <c r="Z897" s="3"/>
      <c r="AB897" s="3"/>
      <c r="AC897" s="3"/>
      <c r="AD897" s="3"/>
      <c r="AE897" s="3"/>
      <c r="AF897" s="3"/>
      <c r="AG897" s="3"/>
      <c r="AH897" s="3"/>
      <c r="AI897" s="3"/>
      <c r="AK897" s="3"/>
      <c r="AL897" s="3"/>
      <c r="AM897" s="3"/>
      <c r="AN897" s="3"/>
      <c r="AO897" s="3"/>
      <c r="AP897" s="3"/>
      <c r="AQ897" s="3"/>
      <c r="AR897" s="3"/>
    </row>
    <row r="898" spans="1:44" ht="16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S898" s="3"/>
      <c r="T898" s="3"/>
      <c r="U898" s="3"/>
      <c r="V898" s="3"/>
      <c r="W898" s="3"/>
      <c r="X898" s="3"/>
      <c r="Y898" s="3"/>
      <c r="Z898" s="3"/>
      <c r="AB898" s="3"/>
      <c r="AC898" s="3"/>
      <c r="AD898" s="3"/>
      <c r="AE898" s="3"/>
      <c r="AF898" s="3"/>
      <c r="AG898" s="3"/>
      <c r="AH898" s="3"/>
      <c r="AI898" s="3"/>
      <c r="AK898" s="3"/>
      <c r="AL898" s="3"/>
      <c r="AM898" s="3"/>
      <c r="AN898" s="3"/>
      <c r="AO898" s="3"/>
      <c r="AP898" s="3"/>
      <c r="AQ898" s="3"/>
      <c r="AR898" s="3"/>
    </row>
    <row r="899" spans="1:44" ht="16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S899" s="3"/>
      <c r="T899" s="3"/>
      <c r="U899" s="3"/>
      <c r="V899" s="3"/>
      <c r="W899" s="3"/>
      <c r="X899" s="3"/>
      <c r="Y899" s="3"/>
      <c r="Z899" s="3"/>
      <c r="AB899" s="3"/>
      <c r="AC899" s="3"/>
      <c r="AD899" s="3"/>
      <c r="AE899" s="3"/>
      <c r="AF899" s="3"/>
      <c r="AG899" s="3"/>
      <c r="AH899" s="3"/>
      <c r="AI899" s="3"/>
      <c r="AK899" s="3"/>
      <c r="AL899" s="3"/>
      <c r="AM899" s="3"/>
      <c r="AN899" s="3"/>
      <c r="AO899" s="3"/>
      <c r="AP899" s="3"/>
      <c r="AQ899" s="3"/>
      <c r="AR899" s="3"/>
    </row>
    <row r="900" spans="1:44" ht="16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S900" s="3"/>
      <c r="T900" s="3"/>
      <c r="U900" s="3"/>
      <c r="V900" s="3"/>
      <c r="W900" s="3"/>
      <c r="X900" s="3"/>
      <c r="Y900" s="3"/>
      <c r="Z900" s="3"/>
      <c r="AB900" s="3"/>
      <c r="AC900" s="3"/>
      <c r="AD900" s="3"/>
      <c r="AE900" s="3"/>
      <c r="AF900" s="3"/>
      <c r="AG900" s="3"/>
      <c r="AH900" s="3"/>
      <c r="AI900" s="3"/>
      <c r="AK900" s="3"/>
      <c r="AL900" s="3"/>
      <c r="AM900" s="3"/>
      <c r="AN900" s="3"/>
      <c r="AO900" s="3"/>
      <c r="AP900" s="3"/>
      <c r="AQ900" s="3"/>
      <c r="AR900" s="3"/>
    </row>
    <row r="901" spans="1:44" ht="16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S901" s="3"/>
      <c r="T901" s="3"/>
      <c r="U901" s="3"/>
      <c r="V901" s="3"/>
      <c r="W901" s="3"/>
      <c r="X901" s="3"/>
      <c r="Y901" s="3"/>
      <c r="Z901" s="3"/>
      <c r="AB901" s="3"/>
      <c r="AC901" s="3"/>
      <c r="AD901" s="3"/>
      <c r="AE901" s="3"/>
      <c r="AF901" s="3"/>
      <c r="AG901" s="3"/>
      <c r="AH901" s="3"/>
      <c r="AI901" s="3"/>
      <c r="AK901" s="3"/>
      <c r="AL901" s="3"/>
      <c r="AM901" s="3"/>
      <c r="AN901" s="3"/>
      <c r="AO901" s="3"/>
      <c r="AP901" s="3"/>
      <c r="AQ901" s="3"/>
      <c r="AR901" s="3"/>
    </row>
    <row r="902" spans="1:44" ht="16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S902" s="3"/>
      <c r="T902" s="3"/>
      <c r="U902" s="3"/>
      <c r="V902" s="3"/>
      <c r="W902" s="3"/>
      <c r="X902" s="3"/>
      <c r="Y902" s="3"/>
      <c r="Z902" s="3"/>
      <c r="AB902" s="3"/>
      <c r="AC902" s="3"/>
      <c r="AD902" s="3"/>
      <c r="AE902" s="3"/>
      <c r="AF902" s="3"/>
      <c r="AG902" s="3"/>
      <c r="AH902" s="3"/>
      <c r="AI902" s="3"/>
      <c r="AK902" s="3"/>
      <c r="AL902" s="3"/>
      <c r="AM902" s="3"/>
      <c r="AN902" s="3"/>
      <c r="AO902" s="3"/>
      <c r="AP902" s="3"/>
      <c r="AQ902" s="3"/>
      <c r="AR902" s="3"/>
    </row>
    <row r="903" spans="1:44" ht="16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S903" s="3"/>
      <c r="T903" s="3"/>
      <c r="U903" s="3"/>
      <c r="V903" s="3"/>
      <c r="W903" s="3"/>
      <c r="X903" s="3"/>
      <c r="Y903" s="3"/>
      <c r="Z903" s="3"/>
      <c r="AB903" s="3"/>
      <c r="AC903" s="3"/>
      <c r="AD903" s="3"/>
      <c r="AE903" s="3"/>
      <c r="AF903" s="3"/>
      <c r="AG903" s="3"/>
      <c r="AH903" s="3"/>
      <c r="AI903" s="3"/>
      <c r="AK903" s="3"/>
      <c r="AL903" s="3"/>
      <c r="AM903" s="3"/>
      <c r="AN903" s="3"/>
      <c r="AO903" s="3"/>
      <c r="AP903" s="3"/>
      <c r="AQ903" s="3"/>
      <c r="AR903" s="3"/>
    </row>
    <row r="904" spans="1:44" ht="16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S904" s="3"/>
      <c r="T904" s="3"/>
      <c r="U904" s="3"/>
      <c r="V904" s="3"/>
      <c r="W904" s="3"/>
      <c r="X904" s="3"/>
      <c r="Y904" s="3"/>
      <c r="Z904" s="3"/>
      <c r="AB904" s="3"/>
      <c r="AC904" s="3"/>
      <c r="AD904" s="3"/>
      <c r="AE904" s="3"/>
      <c r="AF904" s="3"/>
      <c r="AG904" s="3"/>
      <c r="AH904" s="3"/>
      <c r="AI904" s="3"/>
      <c r="AK904" s="3"/>
      <c r="AL904" s="3"/>
      <c r="AM904" s="3"/>
      <c r="AN904" s="3"/>
      <c r="AO904" s="3"/>
      <c r="AP904" s="3"/>
      <c r="AQ904" s="3"/>
      <c r="AR904" s="3"/>
    </row>
    <row r="905" spans="1:44" ht="16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S905" s="3"/>
      <c r="T905" s="3"/>
      <c r="U905" s="3"/>
      <c r="V905" s="3"/>
      <c r="W905" s="3"/>
      <c r="X905" s="3"/>
      <c r="Y905" s="3"/>
      <c r="Z905" s="3"/>
      <c r="AB905" s="3"/>
      <c r="AC905" s="3"/>
      <c r="AD905" s="3"/>
      <c r="AE905" s="3"/>
      <c r="AF905" s="3"/>
      <c r="AG905" s="3"/>
      <c r="AH905" s="3"/>
      <c r="AI905" s="3"/>
      <c r="AK905" s="3"/>
      <c r="AL905" s="3"/>
      <c r="AM905" s="3"/>
      <c r="AN905" s="3"/>
      <c r="AO905" s="3"/>
      <c r="AP905" s="3"/>
      <c r="AQ905" s="3"/>
      <c r="AR905" s="3"/>
    </row>
    <row r="906" spans="1:44" ht="16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S906" s="3"/>
      <c r="T906" s="3"/>
      <c r="U906" s="3"/>
      <c r="V906" s="3"/>
      <c r="W906" s="3"/>
      <c r="X906" s="3"/>
      <c r="Y906" s="3"/>
      <c r="Z906" s="3"/>
      <c r="AB906" s="3"/>
      <c r="AC906" s="3"/>
      <c r="AD906" s="3"/>
      <c r="AE906" s="3"/>
      <c r="AF906" s="3"/>
      <c r="AG906" s="3"/>
      <c r="AH906" s="3"/>
      <c r="AI906" s="3"/>
      <c r="AK906" s="3"/>
      <c r="AL906" s="3"/>
      <c r="AM906" s="3"/>
      <c r="AN906" s="3"/>
      <c r="AO906" s="3"/>
      <c r="AP906" s="3"/>
      <c r="AQ906" s="3"/>
      <c r="AR906" s="3"/>
    </row>
    <row r="907" spans="1:44" ht="16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S907" s="3"/>
      <c r="T907" s="3"/>
      <c r="U907" s="3"/>
      <c r="V907" s="3"/>
      <c r="W907" s="3"/>
      <c r="X907" s="3"/>
      <c r="Y907" s="3"/>
      <c r="Z907" s="3"/>
      <c r="AB907" s="3"/>
      <c r="AC907" s="3"/>
      <c r="AD907" s="3"/>
      <c r="AE907" s="3"/>
      <c r="AF907" s="3"/>
      <c r="AG907" s="3"/>
      <c r="AH907" s="3"/>
      <c r="AI907" s="3"/>
      <c r="AK907" s="3"/>
      <c r="AL907" s="3"/>
      <c r="AM907" s="3"/>
      <c r="AN907" s="3"/>
      <c r="AO907" s="3"/>
      <c r="AP907" s="3"/>
      <c r="AQ907" s="3"/>
      <c r="AR907" s="3"/>
    </row>
    <row r="908" spans="1:44" ht="16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S908" s="3"/>
      <c r="T908" s="3"/>
      <c r="U908" s="3"/>
      <c r="V908" s="3"/>
      <c r="W908" s="3"/>
      <c r="X908" s="3"/>
      <c r="Y908" s="3"/>
      <c r="Z908" s="3"/>
      <c r="AB908" s="3"/>
      <c r="AC908" s="3"/>
      <c r="AD908" s="3"/>
      <c r="AE908" s="3"/>
      <c r="AF908" s="3"/>
      <c r="AG908" s="3"/>
      <c r="AH908" s="3"/>
      <c r="AI908" s="3"/>
      <c r="AK908" s="3"/>
      <c r="AL908" s="3"/>
      <c r="AM908" s="3"/>
      <c r="AN908" s="3"/>
      <c r="AO908" s="3"/>
      <c r="AP908" s="3"/>
      <c r="AQ908" s="3"/>
      <c r="AR908" s="3"/>
    </row>
    <row r="909" spans="1:44" ht="16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S909" s="3"/>
      <c r="T909" s="3"/>
      <c r="U909" s="3"/>
      <c r="V909" s="3"/>
      <c r="W909" s="3"/>
      <c r="X909" s="3"/>
      <c r="Y909" s="3"/>
      <c r="Z909" s="3"/>
      <c r="AB909" s="3"/>
      <c r="AC909" s="3"/>
      <c r="AD909" s="3"/>
      <c r="AE909" s="3"/>
      <c r="AF909" s="3"/>
      <c r="AG909" s="3"/>
      <c r="AH909" s="3"/>
      <c r="AI909" s="3"/>
      <c r="AK909" s="3"/>
      <c r="AL909" s="3"/>
      <c r="AM909" s="3"/>
      <c r="AN909" s="3"/>
      <c r="AO909" s="3"/>
      <c r="AP909" s="3"/>
      <c r="AQ909" s="3"/>
      <c r="AR909" s="3"/>
    </row>
    <row r="910" spans="1:44" ht="16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S910" s="3"/>
      <c r="T910" s="3"/>
      <c r="U910" s="3"/>
      <c r="V910" s="3"/>
      <c r="W910" s="3"/>
      <c r="X910" s="3"/>
      <c r="Y910" s="3"/>
      <c r="Z910" s="3"/>
      <c r="AB910" s="3"/>
      <c r="AC910" s="3"/>
      <c r="AD910" s="3"/>
      <c r="AE910" s="3"/>
      <c r="AF910" s="3"/>
      <c r="AG910" s="3"/>
      <c r="AH910" s="3"/>
      <c r="AI910" s="3"/>
      <c r="AK910" s="3"/>
      <c r="AL910" s="3"/>
      <c r="AM910" s="3"/>
      <c r="AN910" s="3"/>
      <c r="AO910" s="3"/>
      <c r="AP910" s="3"/>
      <c r="AQ910" s="3"/>
      <c r="AR910" s="3"/>
    </row>
    <row r="911" spans="1:44" ht="16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S911" s="3"/>
      <c r="T911" s="3"/>
      <c r="U911" s="3"/>
      <c r="V911" s="3"/>
      <c r="W911" s="3"/>
      <c r="X911" s="3"/>
      <c r="Y911" s="3"/>
      <c r="Z911" s="3"/>
      <c r="AB911" s="3"/>
      <c r="AC911" s="3"/>
      <c r="AD911" s="3"/>
      <c r="AE911" s="3"/>
      <c r="AF911" s="3"/>
      <c r="AG911" s="3"/>
      <c r="AH911" s="3"/>
      <c r="AI911" s="3"/>
      <c r="AK911" s="3"/>
      <c r="AL911" s="3"/>
      <c r="AM911" s="3"/>
      <c r="AN911" s="3"/>
      <c r="AO911" s="3"/>
      <c r="AP911" s="3"/>
      <c r="AQ911" s="3"/>
      <c r="AR911" s="3"/>
    </row>
    <row r="912" spans="1:44" ht="16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S912" s="3"/>
      <c r="T912" s="3"/>
      <c r="U912" s="3"/>
      <c r="V912" s="3"/>
      <c r="W912" s="3"/>
      <c r="X912" s="3"/>
      <c r="Y912" s="3"/>
      <c r="Z912" s="3"/>
      <c r="AB912" s="3"/>
      <c r="AC912" s="3"/>
      <c r="AD912" s="3"/>
      <c r="AE912" s="3"/>
      <c r="AF912" s="3"/>
      <c r="AG912" s="3"/>
      <c r="AH912" s="3"/>
      <c r="AI912" s="3"/>
      <c r="AK912" s="3"/>
      <c r="AL912" s="3"/>
      <c r="AM912" s="3"/>
      <c r="AN912" s="3"/>
      <c r="AO912" s="3"/>
      <c r="AP912" s="3"/>
      <c r="AQ912" s="3"/>
      <c r="AR912" s="3"/>
    </row>
    <row r="913" spans="1:44" ht="16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S913" s="3"/>
      <c r="T913" s="3"/>
      <c r="U913" s="3"/>
      <c r="V913" s="3"/>
      <c r="W913" s="3"/>
      <c r="X913" s="3"/>
      <c r="Y913" s="3"/>
      <c r="Z913" s="3"/>
      <c r="AB913" s="3"/>
      <c r="AC913" s="3"/>
      <c r="AD913" s="3"/>
      <c r="AE913" s="3"/>
      <c r="AF913" s="3"/>
      <c r="AG913" s="3"/>
      <c r="AH913" s="3"/>
      <c r="AI913" s="3"/>
      <c r="AK913" s="3"/>
      <c r="AL913" s="3"/>
      <c r="AM913" s="3"/>
      <c r="AN913" s="3"/>
      <c r="AO913" s="3"/>
      <c r="AP913" s="3"/>
      <c r="AQ913" s="3"/>
      <c r="AR913" s="3"/>
    </row>
    <row r="914" spans="1:44" ht="16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S914" s="3"/>
      <c r="T914" s="3"/>
      <c r="U914" s="3"/>
      <c r="V914" s="3"/>
      <c r="W914" s="3"/>
      <c r="X914" s="3"/>
      <c r="Y914" s="3"/>
      <c r="Z914" s="3"/>
      <c r="AB914" s="3"/>
      <c r="AC914" s="3"/>
      <c r="AD914" s="3"/>
      <c r="AE914" s="3"/>
      <c r="AF914" s="3"/>
      <c r="AG914" s="3"/>
      <c r="AH914" s="3"/>
      <c r="AI914" s="3"/>
      <c r="AK914" s="3"/>
      <c r="AL914" s="3"/>
      <c r="AM914" s="3"/>
      <c r="AN914" s="3"/>
      <c r="AO914" s="3"/>
      <c r="AP914" s="3"/>
      <c r="AQ914" s="3"/>
      <c r="AR914" s="3"/>
    </row>
    <row r="915" spans="1:44" ht="16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S915" s="3"/>
      <c r="T915" s="3"/>
      <c r="U915" s="3"/>
      <c r="V915" s="3"/>
      <c r="W915" s="3"/>
      <c r="X915" s="3"/>
      <c r="Y915" s="3"/>
      <c r="Z915" s="3"/>
      <c r="AB915" s="3"/>
      <c r="AC915" s="3"/>
      <c r="AD915" s="3"/>
      <c r="AE915" s="3"/>
      <c r="AF915" s="3"/>
      <c r="AG915" s="3"/>
      <c r="AH915" s="3"/>
      <c r="AI915" s="3"/>
      <c r="AK915" s="3"/>
      <c r="AL915" s="3"/>
      <c r="AM915" s="3"/>
      <c r="AN915" s="3"/>
      <c r="AO915" s="3"/>
      <c r="AP915" s="3"/>
      <c r="AQ915" s="3"/>
      <c r="AR915" s="3"/>
    </row>
    <row r="916" spans="1:44" ht="16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S916" s="3"/>
      <c r="T916" s="3"/>
      <c r="U916" s="3"/>
      <c r="V916" s="3"/>
      <c r="W916" s="3"/>
      <c r="X916" s="3"/>
      <c r="Y916" s="3"/>
      <c r="Z916" s="3"/>
      <c r="AB916" s="3"/>
      <c r="AC916" s="3"/>
      <c r="AD916" s="3"/>
      <c r="AE916" s="3"/>
      <c r="AF916" s="3"/>
      <c r="AG916" s="3"/>
      <c r="AH916" s="3"/>
      <c r="AI916" s="3"/>
      <c r="AK916" s="3"/>
      <c r="AL916" s="3"/>
      <c r="AM916" s="3"/>
      <c r="AN916" s="3"/>
      <c r="AO916" s="3"/>
      <c r="AP916" s="3"/>
      <c r="AQ916" s="3"/>
      <c r="AR916" s="3"/>
    </row>
    <row r="917" spans="1:44" ht="16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S917" s="3"/>
      <c r="T917" s="3"/>
      <c r="U917" s="3"/>
      <c r="V917" s="3"/>
      <c r="W917" s="3"/>
      <c r="X917" s="3"/>
      <c r="Y917" s="3"/>
      <c r="Z917" s="3"/>
      <c r="AB917" s="3"/>
      <c r="AC917" s="3"/>
      <c r="AD917" s="3"/>
      <c r="AE917" s="3"/>
      <c r="AF917" s="3"/>
      <c r="AG917" s="3"/>
      <c r="AH917" s="3"/>
      <c r="AI917" s="3"/>
      <c r="AK917" s="3"/>
      <c r="AL917" s="3"/>
      <c r="AM917" s="3"/>
      <c r="AN917" s="3"/>
      <c r="AO917" s="3"/>
      <c r="AP917" s="3"/>
      <c r="AQ917" s="3"/>
      <c r="AR917" s="3"/>
    </row>
    <row r="918" spans="1:44" ht="16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S918" s="3"/>
      <c r="T918" s="3"/>
      <c r="U918" s="3"/>
      <c r="V918" s="3"/>
      <c r="W918" s="3"/>
      <c r="X918" s="3"/>
      <c r="Y918" s="3"/>
      <c r="Z918" s="3"/>
      <c r="AB918" s="3"/>
      <c r="AC918" s="3"/>
      <c r="AD918" s="3"/>
      <c r="AE918" s="3"/>
      <c r="AF918" s="3"/>
      <c r="AG918" s="3"/>
      <c r="AH918" s="3"/>
      <c r="AI918" s="3"/>
      <c r="AK918" s="3"/>
      <c r="AL918" s="3"/>
      <c r="AM918" s="3"/>
      <c r="AN918" s="3"/>
      <c r="AO918" s="3"/>
      <c r="AP918" s="3"/>
      <c r="AQ918" s="3"/>
      <c r="AR918" s="3"/>
    </row>
    <row r="919" spans="1:44" ht="16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S919" s="3"/>
      <c r="T919" s="3"/>
      <c r="U919" s="3"/>
      <c r="V919" s="3"/>
      <c r="W919" s="3"/>
      <c r="X919" s="3"/>
      <c r="Y919" s="3"/>
      <c r="Z919" s="3"/>
      <c r="AB919" s="3"/>
      <c r="AC919" s="3"/>
      <c r="AD919" s="3"/>
      <c r="AE919" s="3"/>
      <c r="AF919" s="3"/>
      <c r="AG919" s="3"/>
      <c r="AH919" s="3"/>
      <c r="AI919" s="3"/>
      <c r="AK919" s="3"/>
      <c r="AL919" s="3"/>
      <c r="AM919" s="3"/>
      <c r="AN919" s="3"/>
      <c r="AO919" s="3"/>
      <c r="AP919" s="3"/>
      <c r="AQ919" s="3"/>
      <c r="AR919" s="3"/>
    </row>
    <row r="920" spans="1:44" ht="16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S920" s="3"/>
      <c r="T920" s="3"/>
      <c r="U920" s="3"/>
      <c r="V920" s="3"/>
      <c r="W920" s="3"/>
      <c r="X920" s="3"/>
      <c r="Y920" s="3"/>
      <c r="Z920" s="3"/>
      <c r="AB920" s="3"/>
      <c r="AC920" s="3"/>
      <c r="AD920" s="3"/>
      <c r="AE920" s="3"/>
      <c r="AF920" s="3"/>
      <c r="AG920" s="3"/>
      <c r="AH920" s="3"/>
      <c r="AI920" s="3"/>
      <c r="AK920" s="3"/>
      <c r="AL920" s="3"/>
      <c r="AM920" s="3"/>
      <c r="AN920" s="3"/>
      <c r="AO920" s="3"/>
      <c r="AP920" s="3"/>
      <c r="AQ920" s="3"/>
      <c r="AR920" s="3"/>
    </row>
    <row r="921" spans="1:44" ht="16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S921" s="3"/>
      <c r="T921" s="3"/>
      <c r="U921" s="3"/>
      <c r="V921" s="3"/>
      <c r="W921" s="3"/>
      <c r="X921" s="3"/>
      <c r="Y921" s="3"/>
      <c r="Z921" s="3"/>
      <c r="AB921" s="3"/>
      <c r="AC921" s="3"/>
      <c r="AD921" s="3"/>
      <c r="AE921" s="3"/>
      <c r="AF921" s="3"/>
      <c r="AG921" s="3"/>
      <c r="AH921" s="3"/>
      <c r="AI921" s="3"/>
      <c r="AK921" s="3"/>
      <c r="AL921" s="3"/>
      <c r="AM921" s="3"/>
      <c r="AN921" s="3"/>
      <c r="AO921" s="3"/>
      <c r="AP921" s="3"/>
      <c r="AQ921" s="3"/>
      <c r="AR921" s="3"/>
    </row>
    <row r="922" spans="1:44" ht="16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S922" s="3"/>
      <c r="T922" s="3"/>
      <c r="U922" s="3"/>
      <c r="V922" s="3"/>
      <c r="W922" s="3"/>
      <c r="X922" s="3"/>
      <c r="Y922" s="3"/>
      <c r="Z922" s="3"/>
      <c r="AB922" s="3"/>
      <c r="AC922" s="3"/>
      <c r="AD922" s="3"/>
      <c r="AE922" s="3"/>
      <c r="AF922" s="3"/>
      <c r="AG922" s="3"/>
      <c r="AH922" s="3"/>
      <c r="AI922" s="3"/>
      <c r="AK922" s="3"/>
      <c r="AL922" s="3"/>
      <c r="AM922" s="3"/>
      <c r="AN922" s="3"/>
      <c r="AO922" s="3"/>
      <c r="AP922" s="3"/>
      <c r="AQ922" s="3"/>
      <c r="AR922" s="3"/>
    </row>
    <row r="923" spans="1:44" ht="16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S923" s="3"/>
      <c r="T923" s="3"/>
      <c r="U923" s="3"/>
      <c r="V923" s="3"/>
      <c r="W923" s="3"/>
      <c r="X923" s="3"/>
      <c r="Y923" s="3"/>
      <c r="Z923" s="3"/>
      <c r="AB923" s="3"/>
      <c r="AC923" s="3"/>
      <c r="AD923" s="3"/>
      <c r="AE923" s="3"/>
      <c r="AF923" s="3"/>
      <c r="AG923" s="3"/>
      <c r="AH923" s="3"/>
      <c r="AI923" s="3"/>
      <c r="AK923" s="3"/>
      <c r="AL923" s="3"/>
      <c r="AM923" s="3"/>
      <c r="AN923" s="3"/>
      <c r="AO923" s="3"/>
      <c r="AP923" s="3"/>
      <c r="AQ923" s="3"/>
      <c r="AR923" s="3"/>
    </row>
    <row r="924" spans="1:44" ht="16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S924" s="3"/>
      <c r="T924" s="3"/>
      <c r="U924" s="3"/>
      <c r="V924" s="3"/>
      <c r="W924" s="3"/>
      <c r="X924" s="3"/>
      <c r="Y924" s="3"/>
      <c r="Z924" s="3"/>
      <c r="AB924" s="3"/>
      <c r="AC924" s="3"/>
      <c r="AD924" s="3"/>
      <c r="AE924" s="3"/>
      <c r="AF924" s="3"/>
      <c r="AG924" s="3"/>
      <c r="AH924" s="3"/>
      <c r="AI924" s="3"/>
      <c r="AK924" s="3"/>
      <c r="AL924" s="3"/>
      <c r="AM924" s="3"/>
      <c r="AN924" s="3"/>
      <c r="AO924" s="3"/>
      <c r="AP924" s="3"/>
      <c r="AQ924" s="3"/>
      <c r="AR924" s="3"/>
    </row>
    <row r="925" spans="1:44" ht="16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S925" s="3"/>
      <c r="T925" s="3"/>
      <c r="U925" s="3"/>
      <c r="V925" s="3"/>
      <c r="W925" s="3"/>
      <c r="X925" s="3"/>
      <c r="Y925" s="3"/>
      <c r="Z925" s="3"/>
      <c r="AB925" s="3"/>
      <c r="AC925" s="3"/>
      <c r="AD925" s="3"/>
      <c r="AE925" s="3"/>
      <c r="AF925" s="3"/>
      <c r="AG925" s="3"/>
      <c r="AH925" s="3"/>
      <c r="AI925" s="3"/>
      <c r="AK925" s="3"/>
      <c r="AL925" s="3"/>
      <c r="AM925" s="3"/>
      <c r="AN925" s="3"/>
      <c r="AO925" s="3"/>
      <c r="AP925" s="3"/>
      <c r="AQ925" s="3"/>
      <c r="AR925" s="3"/>
    </row>
    <row r="926" spans="1:44" ht="16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S926" s="3"/>
      <c r="T926" s="3"/>
      <c r="U926" s="3"/>
      <c r="V926" s="3"/>
      <c r="W926" s="3"/>
      <c r="X926" s="3"/>
      <c r="Y926" s="3"/>
      <c r="Z926" s="3"/>
      <c r="AB926" s="3"/>
      <c r="AC926" s="3"/>
      <c r="AD926" s="3"/>
      <c r="AE926" s="3"/>
      <c r="AF926" s="3"/>
      <c r="AG926" s="3"/>
      <c r="AH926" s="3"/>
      <c r="AI926" s="3"/>
      <c r="AK926" s="3"/>
      <c r="AL926" s="3"/>
      <c r="AM926" s="3"/>
      <c r="AN926" s="3"/>
      <c r="AO926" s="3"/>
      <c r="AP926" s="3"/>
      <c r="AQ926" s="3"/>
      <c r="AR926" s="3"/>
    </row>
    <row r="927" spans="1:44" ht="16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S927" s="3"/>
      <c r="T927" s="3"/>
      <c r="U927" s="3"/>
      <c r="V927" s="3"/>
      <c r="W927" s="3"/>
      <c r="X927" s="3"/>
      <c r="Y927" s="3"/>
      <c r="Z927" s="3"/>
      <c r="AB927" s="3"/>
      <c r="AC927" s="3"/>
      <c r="AD927" s="3"/>
      <c r="AE927" s="3"/>
      <c r="AF927" s="3"/>
      <c r="AG927" s="3"/>
      <c r="AH927" s="3"/>
      <c r="AI927" s="3"/>
      <c r="AK927" s="3"/>
      <c r="AL927" s="3"/>
      <c r="AM927" s="3"/>
      <c r="AN927" s="3"/>
      <c r="AO927" s="3"/>
      <c r="AP927" s="3"/>
      <c r="AQ927" s="3"/>
      <c r="AR927" s="3"/>
    </row>
    <row r="928" spans="1:44" ht="16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S928" s="3"/>
      <c r="T928" s="3"/>
      <c r="U928" s="3"/>
      <c r="V928" s="3"/>
      <c r="W928" s="3"/>
      <c r="X928" s="3"/>
      <c r="Y928" s="3"/>
      <c r="Z928" s="3"/>
      <c r="AB928" s="3"/>
      <c r="AC928" s="3"/>
      <c r="AD928" s="3"/>
      <c r="AE928" s="3"/>
      <c r="AF928" s="3"/>
      <c r="AG928" s="3"/>
      <c r="AH928" s="3"/>
      <c r="AI928" s="3"/>
      <c r="AK928" s="3"/>
      <c r="AL928" s="3"/>
      <c r="AM928" s="3"/>
      <c r="AN928" s="3"/>
      <c r="AO928" s="3"/>
      <c r="AP928" s="3"/>
      <c r="AQ928" s="3"/>
      <c r="AR928" s="3"/>
    </row>
    <row r="929" spans="1:44" ht="16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S929" s="3"/>
      <c r="T929" s="3"/>
      <c r="U929" s="3"/>
      <c r="V929" s="3"/>
      <c r="W929" s="3"/>
      <c r="X929" s="3"/>
      <c r="Y929" s="3"/>
      <c r="Z929" s="3"/>
      <c r="AB929" s="3"/>
      <c r="AC929" s="3"/>
      <c r="AD929" s="3"/>
      <c r="AE929" s="3"/>
      <c r="AF929" s="3"/>
      <c r="AG929" s="3"/>
      <c r="AH929" s="3"/>
      <c r="AI929" s="3"/>
      <c r="AK929" s="3"/>
      <c r="AL929" s="3"/>
      <c r="AM929" s="3"/>
      <c r="AN929" s="3"/>
      <c r="AO929" s="3"/>
      <c r="AP929" s="3"/>
      <c r="AQ929" s="3"/>
      <c r="AR929" s="3"/>
    </row>
    <row r="930" spans="1:44" ht="16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S930" s="3"/>
      <c r="T930" s="3"/>
      <c r="U930" s="3"/>
      <c r="V930" s="3"/>
      <c r="W930" s="3"/>
      <c r="X930" s="3"/>
      <c r="Y930" s="3"/>
      <c r="Z930" s="3"/>
      <c r="AB930" s="3"/>
      <c r="AC930" s="3"/>
      <c r="AD930" s="3"/>
      <c r="AE930" s="3"/>
      <c r="AF930" s="3"/>
      <c r="AG930" s="3"/>
      <c r="AH930" s="3"/>
      <c r="AI930" s="3"/>
      <c r="AK930" s="3"/>
      <c r="AL930" s="3"/>
      <c r="AM930" s="3"/>
      <c r="AN930" s="3"/>
      <c r="AO930" s="3"/>
      <c r="AP930" s="3"/>
      <c r="AQ930" s="3"/>
      <c r="AR930" s="3"/>
    </row>
    <row r="931" spans="1:44" ht="16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S931" s="3"/>
      <c r="T931" s="3"/>
      <c r="U931" s="3"/>
      <c r="V931" s="3"/>
      <c r="W931" s="3"/>
      <c r="X931" s="3"/>
      <c r="Y931" s="3"/>
      <c r="Z931" s="3"/>
      <c r="AB931" s="3"/>
      <c r="AC931" s="3"/>
      <c r="AD931" s="3"/>
      <c r="AE931" s="3"/>
      <c r="AF931" s="3"/>
      <c r="AG931" s="3"/>
      <c r="AH931" s="3"/>
      <c r="AI931" s="3"/>
      <c r="AK931" s="3"/>
      <c r="AL931" s="3"/>
      <c r="AM931" s="3"/>
      <c r="AN931" s="3"/>
      <c r="AO931" s="3"/>
      <c r="AP931" s="3"/>
      <c r="AQ931" s="3"/>
      <c r="AR931" s="3"/>
    </row>
    <row r="932" spans="1:44" ht="16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S932" s="3"/>
      <c r="T932" s="3"/>
      <c r="U932" s="3"/>
      <c r="V932" s="3"/>
      <c r="W932" s="3"/>
      <c r="X932" s="3"/>
      <c r="Y932" s="3"/>
      <c r="Z932" s="3"/>
      <c r="AB932" s="3"/>
      <c r="AC932" s="3"/>
      <c r="AD932" s="3"/>
      <c r="AE932" s="3"/>
      <c r="AF932" s="3"/>
      <c r="AG932" s="3"/>
      <c r="AH932" s="3"/>
      <c r="AI932" s="3"/>
      <c r="AK932" s="3"/>
      <c r="AL932" s="3"/>
      <c r="AM932" s="3"/>
      <c r="AN932" s="3"/>
      <c r="AO932" s="3"/>
      <c r="AP932" s="3"/>
      <c r="AQ932" s="3"/>
      <c r="AR932" s="3"/>
    </row>
    <row r="933" spans="1:44" ht="16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S933" s="3"/>
      <c r="T933" s="3"/>
      <c r="U933" s="3"/>
      <c r="V933" s="3"/>
      <c r="W933" s="3"/>
      <c r="X933" s="3"/>
      <c r="Y933" s="3"/>
      <c r="Z933" s="3"/>
      <c r="AB933" s="3"/>
      <c r="AC933" s="3"/>
      <c r="AD933" s="3"/>
      <c r="AE933" s="3"/>
      <c r="AF933" s="3"/>
      <c r="AG933" s="3"/>
      <c r="AH933" s="3"/>
      <c r="AI933" s="3"/>
      <c r="AK933" s="3"/>
      <c r="AL933" s="3"/>
      <c r="AM933" s="3"/>
      <c r="AN933" s="3"/>
      <c r="AO933" s="3"/>
      <c r="AP933" s="3"/>
      <c r="AQ933" s="3"/>
      <c r="AR933" s="3"/>
    </row>
    <row r="934" spans="1:44" ht="16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S934" s="3"/>
      <c r="T934" s="3"/>
      <c r="U934" s="3"/>
      <c r="V934" s="3"/>
      <c r="W934" s="3"/>
      <c r="X934" s="3"/>
      <c r="Y934" s="3"/>
      <c r="Z934" s="3"/>
      <c r="AB934" s="3"/>
      <c r="AC934" s="3"/>
      <c r="AD934" s="3"/>
      <c r="AE934" s="3"/>
      <c r="AF934" s="3"/>
      <c r="AG934" s="3"/>
      <c r="AH934" s="3"/>
      <c r="AI934" s="3"/>
      <c r="AK934" s="3"/>
      <c r="AL934" s="3"/>
      <c r="AM934" s="3"/>
      <c r="AN934" s="3"/>
      <c r="AO934" s="3"/>
      <c r="AP934" s="3"/>
      <c r="AQ934" s="3"/>
      <c r="AR934" s="3"/>
    </row>
    <row r="935" spans="1:44" ht="16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S935" s="3"/>
      <c r="T935" s="3"/>
      <c r="U935" s="3"/>
      <c r="V935" s="3"/>
      <c r="W935" s="3"/>
      <c r="X935" s="3"/>
      <c r="Y935" s="3"/>
      <c r="Z935" s="3"/>
      <c r="AB935" s="3"/>
      <c r="AC935" s="3"/>
      <c r="AD935" s="3"/>
      <c r="AE935" s="3"/>
      <c r="AF935" s="3"/>
      <c r="AG935" s="3"/>
      <c r="AH935" s="3"/>
      <c r="AI935" s="3"/>
      <c r="AK935" s="3"/>
      <c r="AL935" s="3"/>
      <c r="AM935" s="3"/>
      <c r="AN935" s="3"/>
      <c r="AO935" s="3"/>
      <c r="AP935" s="3"/>
      <c r="AQ935" s="3"/>
      <c r="AR935" s="3"/>
    </row>
    <row r="936" spans="1:44" ht="16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S936" s="3"/>
      <c r="T936" s="3"/>
      <c r="U936" s="3"/>
      <c r="V936" s="3"/>
      <c r="W936" s="3"/>
      <c r="X936" s="3"/>
      <c r="Y936" s="3"/>
      <c r="Z936" s="3"/>
      <c r="AB936" s="3"/>
      <c r="AC936" s="3"/>
      <c r="AD936" s="3"/>
      <c r="AE936" s="3"/>
      <c r="AF936" s="3"/>
      <c r="AG936" s="3"/>
      <c r="AH936" s="3"/>
      <c r="AI936" s="3"/>
      <c r="AK936" s="3"/>
      <c r="AL936" s="3"/>
      <c r="AM936" s="3"/>
      <c r="AN936" s="3"/>
      <c r="AO936" s="3"/>
      <c r="AP936" s="3"/>
      <c r="AQ936" s="3"/>
      <c r="AR936" s="3"/>
    </row>
    <row r="937" spans="1:44" ht="16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S937" s="3"/>
      <c r="T937" s="3"/>
      <c r="U937" s="3"/>
      <c r="V937" s="3"/>
      <c r="W937" s="3"/>
      <c r="X937" s="3"/>
      <c r="Y937" s="3"/>
      <c r="Z937" s="3"/>
      <c r="AB937" s="3"/>
      <c r="AC937" s="3"/>
      <c r="AD937" s="3"/>
      <c r="AE937" s="3"/>
      <c r="AF937" s="3"/>
      <c r="AG937" s="3"/>
      <c r="AH937" s="3"/>
      <c r="AI937" s="3"/>
      <c r="AK937" s="3"/>
      <c r="AL937" s="3"/>
      <c r="AM937" s="3"/>
      <c r="AN937" s="3"/>
      <c r="AO937" s="3"/>
      <c r="AP937" s="3"/>
      <c r="AQ937" s="3"/>
      <c r="AR937" s="3"/>
    </row>
    <row r="938" spans="1:44" ht="16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S938" s="3"/>
      <c r="T938" s="3"/>
      <c r="U938" s="3"/>
      <c r="V938" s="3"/>
      <c r="W938" s="3"/>
      <c r="X938" s="3"/>
      <c r="Y938" s="3"/>
      <c r="Z938" s="3"/>
      <c r="AB938" s="3"/>
      <c r="AC938" s="3"/>
      <c r="AD938" s="3"/>
      <c r="AE938" s="3"/>
      <c r="AF938" s="3"/>
      <c r="AG938" s="3"/>
      <c r="AH938" s="3"/>
      <c r="AI938" s="3"/>
      <c r="AK938" s="3"/>
      <c r="AL938" s="3"/>
      <c r="AM938" s="3"/>
      <c r="AN938" s="3"/>
      <c r="AO938" s="3"/>
      <c r="AP938" s="3"/>
      <c r="AQ938" s="3"/>
      <c r="AR938" s="3"/>
    </row>
    <row r="939" spans="1:44" ht="16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S939" s="3"/>
      <c r="T939" s="3"/>
      <c r="U939" s="3"/>
      <c r="V939" s="3"/>
      <c r="W939" s="3"/>
      <c r="X939" s="3"/>
      <c r="Y939" s="3"/>
      <c r="Z939" s="3"/>
      <c r="AB939" s="3"/>
      <c r="AC939" s="3"/>
      <c r="AD939" s="3"/>
      <c r="AE939" s="3"/>
      <c r="AF939" s="3"/>
      <c r="AG939" s="3"/>
      <c r="AH939" s="3"/>
      <c r="AI939" s="3"/>
      <c r="AK939" s="3"/>
      <c r="AL939" s="3"/>
      <c r="AM939" s="3"/>
      <c r="AN939" s="3"/>
      <c r="AO939" s="3"/>
      <c r="AP939" s="3"/>
      <c r="AQ939" s="3"/>
      <c r="AR939" s="3"/>
    </row>
    <row r="940" spans="1:44" ht="16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S940" s="3"/>
      <c r="T940" s="3"/>
      <c r="U940" s="3"/>
      <c r="V940" s="3"/>
      <c r="W940" s="3"/>
      <c r="X940" s="3"/>
      <c r="Y940" s="3"/>
      <c r="Z940" s="3"/>
      <c r="AB940" s="3"/>
      <c r="AC940" s="3"/>
      <c r="AD940" s="3"/>
      <c r="AE940" s="3"/>
      <c r="AF940" s="3"/>
      <c r="AG940" s="3"/>
      <c r="AH940" s="3"/>
      <c r="AI940" s="3"/>
      <c r="AK940" s="3"/>
      <c r="AL940" s="3"/>
      <c r="AM940" s="3"/>
      <c r="AN940" s="3"/>
      <c r="AO940" s="3"/>
      <c r="AP940" s="3"/>
      <c r="AQ940" s="3"/>
      <c r="AR940" s="3"/>
    </row>
    <row r="941" spans="1:44" ht="16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S941" s="3"/>
      <c r="T941" s="3"/>
      <c r="U941" s="3"/>
      <c r="V941" s="3"/>
      <c r="W941" s="3"/>
      <c r="X941" s="3"/>
      <c r="Y941" s="3"/>
      <c r="Z941" s="3"/>
      <c r="AB941" s="3"/>
      <c r="AC941" s="3"/>
      <c r="AD941" s="3"/>
      <c r="AE941" s="3"/>
      <c r="AF941" s="3"/>
      <c r="AG941" s="3"/>
      <c r="AH941" s="3"/>
      <c r="AI941" s="3"/>
      <c r="AK941" s="3"/>
      <c r="AL941" s="3"/>
      <c r="AM941" s="3"/>
      <c r="AN941" s="3"/>
      <c r="AO941" s="3"/>
      <c r="AP941" s="3"/>
      <c r="AQ941" s="3"/>
      <c r="AR941" s="3"/>
    </row>
    <row r="942" spans="1:44" ht="16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S942" s="3"/>
      <c r="T942" s="3"/>
      <c r="U942" s="3"/>
      <c r="V942" s="3"/>
      <c r="W942" s="3"/>
      <c r="X942" s="3"/>
      <c r="Y942" s="3"/>
      <c r="Z942" s="3"/>
      <c r="AB942" s="3"/>
      <c r="AC942" s="3"/>
      <c r="AD942" s="3"/>
      <c r="AE942" s="3"/>
      <c r="AF942" s="3"/>
      <c r="AG942" s="3"/>
      <c r="AH942" s="3"/>
      <c r="AI942" s="3"/>
      <c r="AK942" s="3"/>
      <c r="AL942" s="3"/>
      <c r="AM942" s="3"/>
      <c r="AN942" s="3"/>
      <c r="AO942" s="3"/>
      <c r="AP942" s="3"/>
      <c r="AQ942" s="3"/>
      <c r="AR942" s="3"/>
    </row>
    <row r="943" spans="1:44" ht="16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S943" s="3"/>
      <c r="T943" s="3"/>
      <c r="U943" s="3"/>
      <c r="V943" s="3"/>
      <c r="W943" s="3"/>
      <c r="X943" s="3"/>
      <c r="Y943" s="3"/>
      <c r="Z943" s="3"/>
      <c r="AB943" s="3"/>
      <c r="AC943" s="3"/>
      <c r="AD943" s="3"/>
      <c r="AE943" s="3"/>
      <c r="AF943" s="3"/>
      <c r="AG943" s="3"/>
      <c r="AH943" s="3"/>
      <c r="AI943" s="3"/>
      <c r="AK943" s="3"/>
      <c r="AL943" s="3"/>
      <c r="AM943" s="3"/>
      <c r="AN943" s="3"/>
      <c r="AO943" s="3"/>
      <c r="AP943" s="3"/>
      <c r="AQ943" s="3"/>
      <c r="AR943" s="3"/>
    </row>
    <row r="944" spans="1:44" ht="16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S944" s="3"/>
      <c r="T944" s="3"/>
      <c r="U944" s="3"/>
      <c r="V944" s="3"/>
      <c r="W944" s="3"/>
      <c r="X944" s="3"/>
      <c r="Y944" s="3"/>
      <c r="Z944" s="3"/>
      <c r="AB944" s="3"/>
      <c r="AC944" s="3"/>
      <c r="AD944" s="3"/>
      <c r="AE944" s="3"/>
      <c r="AF944" s="3"/>
      <c r="AG944" s="3"/>
      <c r="AH944" s="3"/>
      <c r="AI944" s="3"/>
      <c r="AK944" s="3"/>
      <c r="AL944" s="3"/>
      <c r="AM944" s="3"/>
      <c r="AN944" s="3"/>
      <c r="AO944" s="3"/>
      <c r="AP944" s="3"/>
      <c r="AQ944" s="3"/>
      <c r="AR944" s="3"/>
    </row>
    <row r="945" spans="1:44" ht="16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S945" s="3"/>
      <c r="T945" s="3"/>
      <c r="U945" s="3"/>
      <c r="V945" s="3"/>
      <c r="W945" s="3"/>
      <c r="X945" s="3"/>
      <c r="Y945" s="3"/>
      <c r="Z945" s="3"/>
      <c r="AB945" s="3"/>
      <c r="AC945" s="3"/>
      <c r="AD945" s="3"/>
      <c r="AE945" s="3"/>
      <c r="AF945" s="3"/>
      <c r="AG945" s="3"/>
      <c r="AH945" s="3"/>
      <c r="AI945" s="3"/>
      <c r="AK945" s="3"/>
      <c r="AL945" s="3"/>
      <c r="AM945" s="3"/>
      <c r="AN945" s="3"/>
      <c r="AO945" s="3"/>
      <c r="AP945" s="3"/>
      <c r="AQ945" s="3"/>
      <c r="AR945" s="3"/>
    </row>
    <row r="946" spans="1:44" ht="16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S946" s="3"/>
      <c r="T946" s="3"/>
      <c r="U946" s="3"/>
      <c r="V946" s="3"/>
      <c r="W946" s="3"/>
      <c r="X946" s="3"/>
      <c r="Y946" s="3"/>
      <c r="Z946" s="3"/>
      <c r="AB946" s="3"/>
      <c r="AC946" s="3"/>
      <c r="AD946" s="3"/>
      <c r="AE946" s="3"/>
      <c r="AF946" s="3"/>
      <c r="AG946" s="3"/>
      <c r="AH946" s="3"/>
      <c r="AI946" s="3"/>
      <c r="AK946" s="3"/>
      <c r="AL946" s="3"/>
      <c r="AM946" s="3"/>
      <c r="AN946" s="3"/>
      <c r="AO946" s="3"/>
      <c r="AP946" s="3"/>
      <c r="AQ946" s="3"/>
      <c r="AR946" s="3"/>
    </row>
    <row r="947" spans="1:44" ht="16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S947" s="3"/>
      <c r="T947" s="3"/>
      <c r="U947" s="3"/>
      <c r="V947" s="3"/>
      <c r="W947" s="3"/>
      <c r="X947" s="3"/>
      <c r="Y947" s="3"/>
      <c r="Z947" s="3"/>
      <c r="AB947" s="3"/>
      <c r="AC947" s="3"/>
      <c r="AD947" s="3"/>
      <c r="AE947" s="3"/>
      <c r="AF947" s="3"/>
      <c r="AG947" s="3"/>
      <c r="AH947" s="3"/>
      <c r="AI947" s="3"/>
      <c r="AK947" s="3"/>
      <c r="AL947" s="3"/>
      <c r="AM947" s="3"/>
      <c r="AN947" s="3"/>
      <c r="AO947" s="3"/>
      <c r="AP947" s="3"/>
      <c r="AQ947" s="3"/>
      <c r="AR947" s="3"/>
    </row>
    <row r="948" spans="1:44" ht="16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S948" s="3"/>
      <c r="T948" s="3"/>
      <c r="U948" s="3"/>
      <c r="V948" s="3"/>
      <c r="W948" s="3"/>
      <c r="X948" s="3"/>
      <c r="Y948" s="3"/>
      <c r="Z948" s="3"/>
      <c r="AB948" s="3"/>
      <c r="AC948" s="3"/>
      <c r="AD948" s="3"/>
      <c r="AE948" s="3"/>
      <c r="AF948" s="3"/>
      <c r="AG948" s="3"/>
      <c r="AH948" s="3"/>
      <c r="AI948" s="3"/>
      <c r="AK948" s="3"/>
      <c r="AL948" s="3"/>
      <c r="AM948" s="3"/>
      <c r="AN948" s="3"/>
      <c r="AO948" s="3"/>
      <c r="AP948" s="3"/>
      <c r="AQ948" s="3"/>
      <c r="AR948" s="3"/>
    </row>
    <row r="949" spans="1:44" ht="16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S949" s="3"/>
      <c r="T949" s="3"/>
      <c r="U949" s="3"/>
      <c r="V949" s="3"/>
      <c r="W949" s="3"/>
      <c r="X949" s="3"/>
      <c r="Y949" s="3"/>
      <c r="Z949" s="3"/>
      <c r="AB949" s="3"/>
      <c r="AC949" s="3"/>
      <c r="AD949" s="3"/>
      <c r="AE949" s="3"/>
      <c r="AF949" s="3"/>
      <c r="AG949" s="3"/>
      <c r="AH949" s="3"/>
      <c r="AI949" s="3"/>
      <c r="AK949" s="3"/>
      <c r="AL949" s="3"/>
      <c r="AM949" s="3"/>
      <c r="AN949" s="3"/>
      <c r="AO949" s="3"/>
      <c r="AP949" s="3"/>
      <c r="AQ949" s="3"/>
      <c r="AR949" s="3"/>
    </row>
    <row r="950" spans="1:44" ht="16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S950" s="3"/>
      <c r="T950" s="3"/>
      <c r="U950" s="3"/>
      <c r="V950" s="3"/>
      <c r="W950" s="3"/>
      <c r="X950" s="3"/>
      <c r="Y950" s="3"/>
      <c r="Z950" s="3"/>
      <c r="AB950" s="3"/>
      <c r="AC950" s="3"/>
      <c r="AD950" s="3"/>
      <c r="AE950" s="3"/>
      <c r="AF950" s="3"/>
      <c r="AG950" s="3"/>
      <c r="AH950" s="3"/>
      <c r="AI950" s="3"/>
      <c r="AK950" s="3"/>
      <c r="AL950" s="3"/>
      <c r="AM950" s="3"/>
      <c r="AN950" s="3"/>
      <c r="AO950" s="3"/>
      <c r="AP950" s="3"/>
      <c r="AQ950" s="3"/>
      <c r="AR950" s="3"/>
    </row>
    <row r="951" spans="1:44" ht="16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S951" s="3"/>
      <c r="T951" s="3"/>
      <c r="U951" s="3"/>
      <c r="V951" s="3"/>
      <c r="W951" s="3"/>
      <c r="X951" s="3"/>
      <c r="Y951" s="3"/>
      <c r="Z951" s="3"/>
      <c r="AB951" s="3"/>
      <c r="AC951" s="3"/>
      <c r="AD951" s="3"/>
      <c r="AE951" s="3"/>
      <c r="AF951" s="3"/>
      <c r="AG951" s="3"/>
      <c r="AH951" s="3"/>
      <c r="AI951" s="3"/>
      <c r="AK951" s="3"/>
      <c r="AL951" s="3"/>
      <c r="AM951" s="3"/>
      <c r="AN951" s="3"/>
      <c r="AO951" s="3"/>
      <c r="AP951" s="3"/>
      <c r="AQ951" s="3"/>
      <c r="AR951" s="3"/>
    </row>
    <row r="952" spans="1:44" ht="16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S952" s="3"/>
      <c r="T952" s="3"/>
      <c r="U952" s="3"/>
      <c r="V952" s="3"/>
      <c r="W952" s="3"/>
      <c r="X952" s="3"/>
      <c r="Y952" s="3"/>
      <c r="Z952" s="3"/>
      <c r="AB952" s="3"/>
      <c r="AC952" s="3"/>
      <c r="AD952" s="3"/>
      <c r="AE952" s="3"/>
      <c r="AF952" s="3"/>
      <c r="AG952" s="3"/>
      <c r="AH952" s="3"/>
      <c r="AI952" s="3"/>
      <c r="AK952" s="3"/>
      <c r="AL952" s="3"/>
      <c r="AM952" s="3"/>
      <c r="AN952" s="3"/>
      <c r="AO952" s="3"/>
      <c r="AP952" s="3"/>
      <c r="AQ952" s="3"/>
      <c r="AR952" s="3"/>
    </row>
    <row r="953" spans="1:44" ht="16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S953" s="3"/>
      <c r="T953" s="3"/>
      <c r="U953" s="3"/>
      <c r="V953" s="3"/>
      <c r="W953" s="3"/>
      <c r="X953" s="3"/>
      <c r="Y953" s="3"/>
      <c r="Z953" s="3"/>
      <c r="AB953" s="3"/>
      <c r="AC953" s="3"/>
      <c r="AD953" s="3"/>
      <c r="AE953" s="3"/>
      <c r="AF953" s="3"/>
      <c r="AG953" s="3"/>
      <c r="AH953" s="3"/>
      <c r="AI953" s="3"/>
      <c r="AK953" s="3"/>
      <c r="AL953" s="3"/>
      <c r="AM953" s="3"/>
      <c r="AN953" s="3"/>
      <c r="AO953" s="3"/>
      <c r="AP953" s="3"/>
      <c r="AQ953" s="3"/>
      <c r="AR953" s="3"/>
    </row>
    <row r="954" spans="1:44" ht="16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S954" s="3"/>
      <c r="T954" s="3"/>
      <c r="U954" s="3"/>
      <c r="V954" s="3"/>
      <c r="W954" s="3"/>
      <c r="X954" s="3"/>
      <c r="Y954" s="3"/>
      <c r="Z954" s="3"/>
      <c r="AB954" s="3"/>
      <c r="AC954" s="3"/>
      <c r="AD954" s="3"/>
      <c r="AE954" s="3"/>
      <c r="AF954" s="3"/>
      <c r="AG954" s="3"/>
      <c r="AH954" s="3"/>
      <c r="AI954" s="3"/>
      <c r="AK954" s="3"/>
      <c r="AL954" s="3"/>
      <c r="AM954" s="3"/>
      <c r="AN954" s="3"/>
      <c r="AO954" s="3"/>
      <c r="AP954" s="3"/>
      <c r="AQ954" s="3"/>
      <c r="AR954" s="3"/>
    </row>
    <row r="955" spans="1:44" ht="16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S955" s="3"/>
      <c r="T955" s="3"/>
      <c r="U955" s="3"/>
      <c r="V955" s="3"/>
      <c r="W955" s="3"/>
      <c r="X955" s="3"/>
      <c r="Y955" s="3"/>
      <c r="Z955" s="3"/>
      <c r="AB955" s="3"/>
      <c r="AC955" s="3"/>
      <c r="AD955" s="3"/>
      <c r="AE955" s="3"/>
      <c r="AF955" s="3"/>
      <c r="AG955" s="3"/>
      <c r="AH955" s="3"/>
      <c r="AI955" s="3"/>
      <c r="AK955" s="3"/>
      <c r="AL955" s="3"/>
      <c r="AM955" s="3"/>
      <c r="AN955" s="3"/>
      <c r="AO955" s="3"/>
      <c r="AP955" s="3"/>
      <c r="AQ955" s="3"/>
      <c r="AR955" s="3"/>
    </row>
    <row r="956" spans="1:44" ht="16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S956" s="3"/>
      <c r="T956" s="3"/>
      <c r="U956" s="3"/>
      <c r="V956" s="3"/>
      <c r="W956" s="3"/>
      <c r="X956" s="3"/>
      <c r="Y956" s="3"/>
      <c r="Z956" s="3"/>
      <c r="AB956" s="3"/>
      <c r="AC956" s="3"/>
      <c r="AD956" s="3"/>
      <c r="AE956" s="3"/>
      <c r="AF956" s="3"/>
      <c r="AG956" s="3"/>
      <c r="AH956" s="3"/>
      <c r="AI956" s="3"/>
      <c r="AK956" s="3"/>
      <c r="AL956" s="3"/>
      <c r="AM956" s="3"/>
      <c r="AN956" s="3"/>
      <c r="AO956" s="3"/>
      <c r="AP956" s="3"/>
      <c r="AQ956" s="3"/>
      <c r="AR956" s="3"/>
    </row>
    <row r="957" spans="1:44" ht="16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S957" s="3"/>
      <c r="T957" s="3"/>
      <c r="U957" s="3"/>
      <c r="V957" s="3"/>
      <c r="W957" s="3"/>
      <c r="X957" s="3"/>
      <c r="Y957" s="3"/>
      <c r="Z957" s="3"/>
      <c r="AB957" s="3"/>
      <c r="AC957" s="3"/>
      <c r="AD957" s="3"/>
      <c r="AE957" s="3"/>
      <c r="AF957" s="3"/>
      <c r="AG957" s="3"/>
      <c r="AH957" s="3"/>
      <c r="AI957" s="3"/>
      <c r="AK957" s="3"/>
      <c r="AL957" s="3"/>
      <c r="AM957" s="3"/>
      <c r="AN957" s="3"/>
      <c r="AO957" s="3"/>
      <c r="AP957" s="3"/>
      <c r="AQ957" s="3"/>
      <c r="AR957" s="3"/>
    </row>
    <row r="958" spans="1:44" ht="16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S958" s="3"/>
      <c r="T958" s="3"/>
      <c r="U958" s="3"/>
      <c r="V958" s="3"/>
      <c r="W958" s="3"/>
      <c r="X958" s="3"/>
      <c r="Y958" s="3"/>
      <c r="Z958" s="3"/>
      <c r="AB958" s="3"/>
      <c r="AC958" s="3"/>
      <c r="AD958" s="3"/>
      <c r="AE958" s="3"/>
      <c r="AF958" s="3"/>
      <c r="AG958" s="3"/>
      <c r="AH958" s="3"/>
      <c r="AI958" s="3"/>
      <c r="AK958" s="3"/>
      <c r="AL958" s="3"/>
      <c r="AM958" s="3"/>
      <c r="AN958" s="3"/>
      <c r="AO958" s="3"/>
      <c r="AP958" s="3"/>
      <c r="AQ958" s="3"/>
      <c r="AR958" s="3"/>
    </row>
    <row r="959" spans="1:44" ht="16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S959" s="3"/>
      <c r="T959" s="3"/>
      <c r="U959" s="3"/>
      <c r="V959" s="3"/>
      <c r="W959" s="3"/>
      <c r="X959" s="3"/>
      <c r="Y959" s="3"/>
      <c r="Z959" s="3"/>
      <c r="AB959" s="3"/>
      <c r="AC959" s="3"/>
      <c r="AD959" s="3"/>
      <c r="AE959" s="3"/>
      <c r="AF959" s="3"/>
      <c r="AG959" s="3"/>
      <c r="AH959" s="3"/>
      <c r="AI959" s="3"/>
      <c r="AK959" s="3"/>
      <c r="AL959" s="3"/>
      <c r="AM959" s="3"/>
      <c r="AN959" s="3"/>
      <c r="AO959" s="3"/>
      <c r="AP959" s="3"/>
      <c r="AQ959" s="3"/>
      <c r="AR959" s="3"/>
    </row>
    <row r="960" spans="1:44" ht="16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S960" s="3"/>
      <c r="T960" s="3"/>
      <c r="U960" s="3"/>
      <c r="V960" s="3"/>
      <c r="W960" s="3"/>
      <c r="X960" s="3"/>
      <c r="Y960" s="3"/>
      <c r="Z960" s="3"/>
      <c r="AB960" s="3"/>
      <c r="AC960" s="3"/>
      <c r="AD960" s="3"/>
      <c r="AE960" s="3"/>
      <c r="AF960" s="3"/>
      <c r="AG960" s="3"/>
      <c r="AH960" s="3"/>
      <c r="AI960" s="3"/>
      <c r="AK960" s="3"/>
      <c r="AL960" s="3"/>
      <c r="AM960" s="3"/>
      <c r="AN960" s="3"/>
      <c r="AO960" s="3"/>
      <c r="AP960" s="3"/>
      <c r="AQ960" s="3"/>
      <c r="AR960" s="3"/>
    </row>
    <row r="961" spans="1:44" ht="16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S961" s="3"/>
      <c r="T961" s="3"/>
      <c r="U961" s="3"/>
      <c r="V961" s="3"/>
      <c r="W961" s="3"/>
      <c r="X961" s="3"/>
      <c r="Y961" s="3"/>
      <c r="Z961" s="3"/>
      <c r="AB961" s="3"/>
      <c r="AC961" s="3"/>
      <c r="AD961" s="3"/>
      <c r="AE961" s="3"/>
      <c r="AF961" s="3"/>
      <c r="AG961" s="3"/>
      <c r="AH961" s="3"/>
      <c r="AI961" s="3"/>
      <c r="AK961" s="3"/>
      <c r="AL961" s="3"/>
      <c r="AM961" s="3"/>
      <c r="AN961" s="3"/>
      <c r="AO961" s="3"/>
      <c r="AP961" s="3"/>
      <c r="AQ961" s="3"/>
      <c r="AR961" s="3"/>
    </row>
    <row r="962" spans="1:44" ht="16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S962" s="3"/>
      <c r="T962" s="3"/>
      <c r="U962" s="3"/>
      <c r="V962" s="3"/>
      <c r="W962" s="3"/>
      <c r="X962" s="3"/>
      <c r="Y962" s="3"/>
      <c r="Z962" s="3"/>
      <c r="AB962" s="3"/>
      <c r="AC962" s="3"/>
      <c r="AD962" s="3"/>
      <c r="AE962" s="3"/>
      <c r="AF962" s="3"/>
      <c r="AG962" s="3"/>
      <c r="AH962" s="3"/>
      <c r="AI962" s="3"/>
      <c r="AK962" s="3"/>
      <c r="AL962" s="3"/>
      <c r="AM962" s="3"/>
      <c r="AN962" s="3"/>
      <c r="AO962" s="3"/>
      <c r="AP962" s="3"/>
      <c r="AQ962" s="3"/>
      <c r="AR962" s="3"/>
    </row>
    <row r="963" spans="1:44" ht="16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S963" s="3"/>
      <c r="T963" s="3"/>
      <c r="U963" s="3"/>
      <c r="V963" s="3"/>
      <c r="W963" s="3"/>
      <c r="X963" s="3"/>
      <c r="Y963" s="3"/>
      <c r="Z963" s="3"/>
      <c r="AB963" s="3"/>
      <c r="AC963" s="3"/>
      <c r="AD963" s="3"/>
      <c r="AE963" s="3"/>
      <c r="AF963" s="3"/>
      <c r="AG963" s="3"/>
      <c r="AH963" s="3"/>
      <c r="AI963" s="3"/>
      <c r="AK963" s="3"/>
      <c r="AL963" s="3"/>
      <c r="AM963" s="3"/>
      <c r="AN963" s="3"/>
      <c r="AO963" s="3"/>
      <c r="AP963" s="3"/>
      <c r="AQ963" s="3"/>
      <c r="AR963" s="3"/>
    </row>
    <row r="964" spans="1:44" ht="16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S964" s="3"/>
      <c r="T964" s="3"/>
      <c r="U964" s="3"/>
      <c r="V964" s="3"/>
      <c r="W964" s="3"/>
      <c r="X964" s="3"/>
      <c r="Y964" s="3"/>
      <c r="Z964" s="3"/>
      <c r="AB964" s="3"/>
      <c r="AC964" s="3"/>
      <c r="AD964" s="3"/>
      <c r="AE964" s="3"/>
      <c r="AF964" s="3"/>
      <c r="AG964" s="3"/>
      <c r="AH964" s="3"/>
      <c r="AI964" s="3"/>
      <c r="AK964" s="3"/>
      <c r="AL964" s="3"/>
      <c r="AM964" s="3"/>
      <c r="AN964" s="3"/>
      <c r="AO964" s="3"/>
      <c r="AP964" s="3"/>
      <c r="AQ964" s="3"/>
      <c r="AR964" s="3"/>
    </row>
    <row r="965" spans="1:44" ht="16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S965" s="3"/>
      <c r="T965" s="3"/>
      <c r="U965" s="3"/>
      <c r="V965" s="3"/>
      <c r="W965" s="3"/>
      <c r="X965" s="3"/>
      <c r="Y965" s="3"/>
      <c r="Z965" s="3"/>
      <c r="AB965" s="3"/>
      <c r="AC965" s="3"/>
      <c r="AD965" s="3"/>
      <c r="AE965" s="3"/>
      <c r="AF965" s="3"/>
      <c r="AG965" s="3"/>
      <c r="AH965" s="3"/>
      <c r="AI965" s="3"/>
      <c r="AK965" s="3"/>
      <c r="AL965" s="3"/>
      <c r="AM965" s="3"/>
      <c r="AN965" s="3"/>
      <c r="AO965" s="3"/>
      <c r="AP965" s="3"/>
      <c r="AQ965" s="3"/>
      <c r="AR965" s="3"/>
    </row>
    <row r="966" spans="1:44" ht="16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S966" s="3"/>
      <c r="T966" s="3"/>
      <c r="U966" s="3"/>
      <c r="V966" s="3"/>
      <c r="W966" s="3"/>
      <c r="X966" s="3"/>
      <c r="Y966" s="3"/>
      <c r="Z966" s="3"/>
      <c r="AB966" s="3"/>
      <c r="AC966" s="3"/>
      <c r="AD966" s="3"/>
      <c r="AE966" s="3"/>
      <c r="AF966" s="3"/>
      <c r="AG966" s="3"/>
      <c r="AH966" s="3"/>
      <c r="AI966" s="3"/>
      <c r="AK966" s="3"/>
      <c r="AL966" s="3"/>
      <c r="AM966" s="3"/>
      <c r="AN966" s="3"/>
      <c r="AO966" s="3"/>
      <c r="AP966" s="3"/>
      <c r="AQ966" s="3"/>
      <c r="AR966" s="3"/>
    </row>
    <row r="967" spans="1:44" ht="16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S967" s="3"/>
      <c r="T967" s="3"/>
      <c r="U967" s="3"/>
      <c r="V967" s="3"/>
      <c r="W967" s="3"/>
      <c r="X967" s="3"/>
      <c r="Y967" s="3"/>
      <c r="Z967" s="3"/>
      <c r="AB967" s="3"/>
      <c r="AC967" s="3"/>
      <c r="AD967" s="3"/>
      <c r="AE967" s="3"/>
      <c r="AF967" s="3"/>
      <c r="AG967" s="3"/>
      <c r="AH967" s="3"/>
      <c r="AI967" s="3"/>
      <c r="AK967" s="3"/>
      <c r="AL967" s="3"/>
      <c r="AM967" s="3"/>
      <c r="AN967" s="3"/>
      <c r="AO967" s="3"/>
      <c r="AP967" s="3"/>
      <c r="AQ967" s="3"/>
      <c r="AR967" s="3"/>
    </row>
    <row r="968" spans="1:44" ht="16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S968" s="3"/>
      <c r="T968" s="3"/>
      <c r="U968" s="3"/>
      <c r="V968" s="3"/>
      <c r="W968" s="3"/>
      <c r="X968" s="3"/>
      <c r="Y968" s="3"/>
      <c r="Z968" s="3"/>
      <c r="AB968" s="3"/>
      <c r="AC968" s="3"/>
      <c r="AD968" s="3"/>
      <c r="AE968" s="3"/>
      <c r="AF968" s="3"/>
      <c r="AG968" s="3"/>
      <c r="AH968" s="3"/>
      <c r="AI968" s="3"/>
      <c r="AK968" s="3"/>
      <c r="AL968" s="3"/>
      <c r="AM968" s="3"/>
      <c r="AN968" s="3"/>
      <c r="AO968" s="3"/>
      <c r="AP968" s="3"/>
      <c r="AQ968" s="3"/>
      <c r="AR968" s="3"/>
    </row>
    <row r="969" spans="1:44" ht="16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S969" s="3"/>
      <c r="T969" s="3"/>
      <c r="U969" s="3"/>
      <c r="V969" s="3"/>
      <c r="W969" s="3"/>
      <c r="X969" s="3"/>
      <c r="Y969" s="3"/>
      <c r="Z969" s="3"/>
      <c r="AB969" s="3"/>
      <c r="AC969" s="3"/>
      <c r="AD969" s="3"/>
      <c r="AE969" s="3"/>
      <c r="AF969" s="3"/>
      <c r="AG969" s="3"/>
      <c r="AH969" s="3"/>
      <c r="AI969" s="3"/>
      <c r="AK969" s="3"/>
      <c r="AL969" s="3"/>
      <c r="AM969" s="3"/>
      <c r="AN969" s="3"/>
      <c r="AO969" s="3"/>
      <c r="AP969" s="3"/>
      <c r="AQ969" s="3"/>
      <c r="AR969" s="3"/>
    </row>
    <row r="970" spans="1:44" ht="16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S970" s="3"/>
      <c r="T970" s="3"/>
      <c r="U970" s="3"/>
      <c r="V970" s="3"/>
      <c r="W970" s="3"/>
      <c r="X970" s="3"/>
      <c r="Y970" s="3"/>
      <c r="Z970" s="3"/>
      <c r="AB970" s="3"/>
      <c r="AC970" s="3"/>
      <c r="AD970" s="3"/>
      <c r="AE970" s="3"/>
      <c r="AF970" s="3"/>
      <c r="AG970" s="3"/>
      <c r="AH970" s="3"/>
      <c r="AI970" s="3"/>
      <c r="AK970" s="3"/>
      <c r="AL970" s="3"/>
      <c r="AM970" s="3"/>
      <c r="AN970" s="3"/>
      <c r="AO970" s="3"/>
      <c r="AP970" s="3"/>
      <c r="AQ970" s="3"/>
      <c r="AR970" s="3"/>
    </row>
    <row r="971" spans="1:44" ht="16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S971" s="3"/>
      <c r="T971" s="3"/>
      <c r="U971" s="3"/>
      <c r="V971" s="3"/>
      <c r="W971" s="3"/>
      <c r="X971" s="3"/>
      <c r="Y971" s="3"/>
      <c r="Z971" s="3"/>
      <c r="AB971" s="3"/>
      <c r="AC971" s="3"/>
      <c r="AD971" s="3"/>
      <c r="AE971" s="3"/>
      <c r="AF971" s="3"/>
      <c r="AG971" s="3"/>
      <c r="AH971" s="3"/>
      <c r="AI971" s="3"/>
      <c r="AK971" s="3"/>
      <c r="AL971" s="3"/>
      <c r="AM971" s="3"/>
      <c r="AN971" s="3"/>
      <c r="AO971" s="3"/>
      <c r="AP971" s="3"/>
      <c r="AQ971" s="3"/>
      <c r="AR971" s="3"/>
    </row>
    <row r="972" spans="1:44" ht="16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S972" s="3"/>
      <c r="T972" s="3"/>
      <c r="U972" s="3"/>
      <c r="V972" s="3"/>
      <c r="W972" s="3"/>
      <c r="X972" s="3"/>
      <c r="Y972" s="3"/>
      <c r="Z972" s="3"/>
      <c r="AB972" s="3"/>
      <c r="AC972" s="3"/>
      <c r="AD972" s="3"/>
      <c r="AE972" s="3"/>
      <c r="AF972" s="3"/>
      <c r="AG972" s="3"/>
      <c r="AH972" s="3"/>
      <c r="AI972" s="3"/>
      <c r="AK972" s="3"/>
      <c r="AL972" s="3"/>
      <c r="AM972" s="3"/>
      <c r="AN972" s="3"/>
      <c r="AO972" s="3"/>
      <c r="AP972" s="3"/>
      <c r="AQ972" s="3"/>
      <c r="AR972" s="3"/>
    </row>
    <row r="973" spans="1:44" ht="16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S973" s="3"/>
      <c r="T973" s="3"/>
      <c r="U973" s="3"/>
      <c r="V973" s="3"/>
      <c r="W973" s="3"/>
      <c r="X973" s="3"/>
      <c r="Y973" s="3"/>
      <c r="Z973" s="3"/>
      <c r="AB973" s="3"/>
      <c r="AC973" s="3"/>
      <c r="AD973" s="3"/>
      <c r="AE973" s="3"/>
      <c r="AF973" s="3"/>
      <c r="AG973" s="3"/>
      <c r="AH973" s="3"/>
      <c r="AI973" s="3"/>
      <c r="AK973" s="3"/>
      <c r="AL973" s="3"/>
      <c r="AM973" s="3"/>
      <c r="AN973" s="3"/>
      <c r="AO973" s="3"/>
      <c r="AP973" s="3"/>
      <c r="AQ973" s="3"/>
      <c r="AR973" s="3"/>
    </row>
    <row r="974" spans="1:44" ht="16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S974" s="3"/>
      <c r="T974" s="3"/>
      <c r="U974" s="3"/>
      <c r="V974" s="3"/>
      <c r="W974" s="3"/>
      <c r="X974" s="3"/>
      <c r="Y974" s="3"/>
      <c r="Z974" s="3"/>
      <c r="AB974" s="3"/>
      <c r="AC974" s="3"/>
      <c r="AD974" s="3"/>
      <c r="AE974" s="3"/>
      <c r="AF974" s="3"/>
      <c r="AG974" s="3"/>
      <c r="AH974" s="3"/>
      <c r="AI974" s="3"/>
      <c r="AK974" s="3"/>
      <c r="AL974" s="3"/>
      <c r="AM974" s="3"/>
      <c r="AN974" s="3"/>
      <c r="AO974" s="3"/>
      <c r="AP974" s="3"/>
      <c r="AQ974" s="3"/>
      <c r="AR974" s="3"/>
    </row>
    <row r="975" spans="1:44" ht="16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S975" s="3"/>
      <c r="T975" s="3"/>
      <c r="U975" s="3"/>
      <c r="V975" s="3"/>
      <c r="W975" s="3"/>
      <c r="X975" s="3"/>
      <c r="Y975" s="3"/>
      <c r="Z975" s="3"/>
      <c r="AB975" s="3"/>
      <c r="AC975" s="3"/>
      <c r="AD975" s="3"/>
      <c r="AE975" s="3"/>
      <c r="AF975" s="3"/>
      <c r="AG975" s="3"/>
      <c r="AH975" s="3"/>
      <c r="AI975" s="3"/>
      <c r="AK975" s="3"/>
      <c r="AL975" s="3"/>
      <c r="AM975" s="3"/>
      <c r="AN975" s="3"/>
      <c r="AO975" s="3"/>
      <c r="AP975" s="3"/>
      <c r="AQ975" s="3"/>
      <c r="AR975" s="3"/>
    </row>
    <row r="976" spans="1:44" ht="16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S976" s="3"/>
      <c r="T976" s="3"/>
      <c r="U976" s="3"/>
      <c r="V976" s="3"/>
      <c r="W976" s="3"/>
      <c r="X976" s="3"/>
      <c r="Y976" s="3"/>
      <c r="Z976" s="3"/>
      <c r="AB976" s="3"/>
      <c r="AC976" s="3"/>
      <c r="AD976" s="3"/>
      <c r="AE976" s="3"/>
      <c r="AF976" s="3"/>
      <c r="AG976" s="3"/>
      <c r="AH976" s="3"/>
      <c r="AI976" s="3"/>
      <c r="AK976" s="3"/>
      <c r="AL976" s="3"/>
      <c r="AM976" s="3"/>
      <c r="AN976" s="3"/>
      <c r="AO976" s="3"/>
      <c r="AP976" s="3"/>
      <c r="AQ976" s="3"/>
      <c r="AR976" s="3"/>
    </row>
    <row r="977" spans="1:44" ht="16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S977" s="3"/>
      <c r="T977" s="3"/>
      <c r="U977" s="3"/>
      <c r="V977" s="3"/>
      <c r="W977" s="3"/>
      <c r="X977" s="3"/>
      <c r="Y977" s="3"/>
      <c r="Z977" s="3"/>
      <c r="AB977" s="3"/>
      <c r="AC977" s="3"/>
      <c r="AD977" s="3"/>
      <c r="AE977" s="3"/>
      <c r="AF977" s="3"/>
      <c r="AG977" s="3"/>
      <c r="AH977" s="3"/>
      <c r="AI977" s="3"/>
      <c r="AK977" s="3"/>
      <c r="AL977" s="3"/>
      <c r="AM977" s="3"/>
      <c r="AN977" s="3"/>
      <c r="AO977" s="3"/>
      <c r="AP977" s="3"/>
      <c r="AQ977" s="3"/>
      <c r="AR977" s="3"/>
    </row>
  </sheetData>
  <phoneticPr fontId="15" type="noConversion"/>
  <conditionalFormatting sqref="B35:E35">
    <cfRule type="cellIs" dxfId="47" priority="1" operator="lessThan">
      <formula>1</formula>
    </cfRule>
    <cfRule type="cellIs" dxfId="46" priority="2" operator="lessThan">
      <formula>2</formula>
    </cfRule>
  </conditionalFormatting>
  <dataValidations count="3">
    <dataValidation type="list" allowBlank="1" showErrorMessage="1" sqref="AL58:AO58 G10:H10 K10:Q10 B10:E10 AL28:AO28 AC10:AI10 T10:Z10 AC28:AF28 K28:N28 T28:W28 B28 AC58:AF58 K58:N58 B58 T58:W58 AL10:AR10" xr:uid="{E36EDFF7-C1F4-461B-AF7E-A0EC692CDA06}">
      <formula1>"1세대1주택,주택,건물,종합합산토지,별도합산토지"</formula1>
    </dataValidation>
    <dataValidation type="list" allowBlank="1" showErrorMessage="1" sqref="K29:N29 K59:N59 AL59:AO59 T29:W29 AC59:AF59 AC29:AF29 T59:W59 AL29:AO29" xr:uid="{1C7AF85F-0364-4C39-958E-0674B1A0BE2D}">
      <formula1>"거주"</formula1>
    </dataValidation>
    <dataValidation type="list" allowBlank="1" showErrorMessage="1" sqref="B4:C4" xr:uid="{3609FDA0-45C7-4E19-A3F6-9422AA5651A9}">
      <formula1>"거주용1주택,비거주1주택,3주택,4주택"</formula1>
    </dataValidation>
  </dataValidations>
  <pageMargins left="0.25" right="0.25" top="0.75" bottom="0.75" header="0" footer="0"/>
  <pageSetup paperSize="9" orientation="landscape" r:id="rId1"/>
  <headerFooter>
    <oddFooter>&amp;C&amp;P/</oddFooter>
  </headerFooter>
  <colBreaks count="2" manualBreakCount="2">
    <brk id="19" man="1"/>
    <brk id="9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Q982"/>
  <sheetViews>
    <sheetView workbookViewId="0"/>
  </sheetViews>
  <sheetFormatPr defaultColWidth="14.42578125" defaultRowHeight="15" customHeight="1"/>
  <cols>
    <col min="1" max="1" width="21.7109375" bestFit="1" customWidth="1"/>
    <col min="2" max="2" width="15.42578125" bestFit="1" customWidth="1"/>
    <col min="3" max="3" width="13.7109375" bestFit="1" customWidth="1"/>
    <col min="4" max="4" width="12.5703125" bestFit="1" customWidth="1"/>
    <col min="5" max="6" width="14.140625" bestFit="1" customWidth="1"/>
    <col min="7" max="7" width="12.5703125" bestFit="1" customWidth="1"/>
    <col min="8" max="8" width="16.85546875" bestFit="1" customWidth="1"/>
    <col min="9" max="10" width="15.140625" bestFit="1" customWidth="1"/>
    <col min="11" max="11" width="10.5703125" bestFit="1" customWidth="1"/>
    <col min="12" max="12" width="15.140625" bestFit="1" customWidth="1"/>
    <col min="13" max="14" width="22.85546875" bestFit="1" customWidth="1"/>
    <col min="15" max="16" width="6.28515625" bestFit="1" customWidth="1"/>
    <col min="17" max="17" width="10.28515625" bestFit="1" customWidth="1"/>
    <col min="18" max="18" width="22.85546875" bestFit="1" customWidth="1"/>
    <col min="19" max="19" width="8.7109375" customWidth="1"/>
  </cols>
  <sheetData>
    <row r="1" spans="1:17" ht="16.5" customHeight="1">
      <c r="A1" s="3"/>
      <c r="B1" s="3"/>
      <c r="C1" s="3"/>
      <c r="I1" s="122" t="s">
        <v>1</v>
      </c>
      <c r="J1" s="123" t="s">
        <v>216</v>
      </c>
      <c r="K1" s="125" t="s">
        <v>217</v>
      </c>
      <c r="L1" s="122" t="s">
        <v>213</v>
      </c>
      <c r="M1" s="122" t="s">
        <v>203</v>
      </c>
      <c r="N1" s="3"/>
      <c r="O1" s="3"/>
      <c r="P1" s="3"/>
      <c r="Q1" s="3"/>
    </row>
    <row r="2" spans="1:17" ht="16.5" customHeight="1">
      <c r="A2" s="144" t="s">
        <v>259</v>
      </c>
      <c r="B2" s="188">
        <v>1200000000</v>
      </c>
      <c r="I2" s="119" t="s">
        <v>19</v>
      </c>
      <c r="J2" s="119" t="s">
        <v>209</v>
      </c>
      <c r="K2" s="119" t="s">
        <v>212</v>
      </c>
      <c r="L2" s="120">
        <v>2E-3</v>
      </c>
      <c r="M2" s="119" t="s">
        <v>214</v>
      </c>
      <c r="N2" s="3"/>
      <c r="O2" s="3"/>
      <c r="P2" s="3"/>
      <c r="Q2" s="3"/>
    </row>
    <row r="3" spans="1:17" ht="16.5" customHeight="1">
      <c r="I3" s="119" t="s">
        <v>19</v>
      </c>
      <c r="J3" s="119" t="s">
        <v>210</v>
      </c>
      <c r="K3" s="120">
        <v>8.4000000000000005E-2</v>
      </c>
      <c r="L3" s="120">
        <v>6.0000000000000001E-3</v>
      </c>
      <c r="M3" s="121">
        <v>0.09</v>
      </c>
      <c r="N3" s="3"/>
      <c r="O3" s="3"/>
      <c r="P3" s="3"/>
      <c r="Q3" s="3"/>
    </row>
    <row r="4" spans="1:17" ht="16.5" customHeight="1">
      <c r="A4" s="382" t="s">
        <v>245</v>
      </c>
      <c r="B4" s="382" t="s">
        <v>246</v>
      </c>
      <c r="C4" s="382"/>
      <c r="D4" s="382"/>
      <c r="E4" s="382" t="s">
        <v>247</v>
      </c>
      <c r="F4" s="382"/>
      <c r="G4" s="382" t="s">
        <v>248</v>
      </c>
      <c r="I4" s="119" t="s">
        <v>19</v>
      </c>
      <c r="J4" s="119" t="s">
        <v>211</v>
      </c>
      <c r="K4" s="120">
        <v>0.124</v>
      </c>
      <c r="L4" s="121">
        <v>0.01</v>
      </c>
      <c r="M4" s="120">
        <v>0.13400000000000001</v>
      </c>
      <c r="N4" s="3"/>
      <c r="O4" s="3"/>
      <c r="P4" s="3"/>
      <c r="Q4" s="3"/>
    </row>
    <row r="5" spans="1:17" ht="16.5" customHeight="1">
      <c r="A5" s="382"/>
      <c r="B5" s="175" t="s">
        <v>249</v>
      </c>
      <c r="C5" s="175" t="s">
        <v>250</v>
      </c>
      <c r="D5" s="175" t="s">
        <v>251</v>
      </c>
      <c r="E5" s="175" t="s">
        <v>252</v>
      </c>
      <c r="F5" s="175" t="s">
        <v>253</v>
      </c>
      <c r="G5" s="382"/>
      <c r="I5" s="119" t="s">
        <v>38</v>
      </c>
      <c r="J5" s="119" t="s">
        <v>209</v>
      </c>
      <c r="K5" s="119" t="s">
        <v>212</v>
      </c>
      <c r="L5" s="120">
        <v>2E-3</v>
      </c>
      <c r="M5" s="119" t="s">
        <v>214</v>
      </c>
      <c r="N5" s="3"/>
      <c r="O5" s="3"/>
      <c r="P5" s="3"/>
      <c r="Q5" s="3"/>
    </row>
    <row r="6" spans="1:17" ht="16.5" customHeight="1">
      <c r="A6" s="176" t="s">
        <v>254</v>
      </c>
      <c r="B6" s="177">
        <v>0.01</v>
      </c>
      <c r="C6" s="177">
        <f>MAX(MIN((B2*2/300000000-3)/100,3%),1%)</f>
        <v>0.03</v>
      </c>
      <c r="D6" s="165">
        <v>0.03</v>
      </c>
      <c r="E6" s="165">
        <v>0.08</v>
      </c>
      <c r="F6" s="165">
        <v>0.12</v>
      </c>
      <c r="G6" s="165">
        <v>0.04</v>
      </c>
      <c r="I6" s="119" t="s">
        <v>38</v>
      </c>
      <c r="J6" s="119" t="s">
        <v>210</v>
      </c>
      <c r="K6" s="119" t="s">
        <v>212</v>
      </c>
      <c r="L6" s="120">
        <v>2E-3</v>
      </c>
      <c r="M6" s="119" t="s">
        <v>214</v>
      </c>
      <c r="N6" s="3"/>
      <c r="O6" s="3"/>
      <c r="P6" s="3"/>
      <c r="Q6" s="3"/>
    </row>
    <row r="7" spans="1:17" ht="16.5" customHeight="1">
      <c r="A7" s="176" t="s">
        <v>255</v>
      </c>
      <c r="B7" s="177">
        <f>B6*0.5*0.2</f>
        <v>1E-3</v>
      </c>
      <c r="C7" s="177">
        <f>C6*0.5*0.2</f>
        <v>3.0000000000000001E-3</v>
      </c>
      <c r="D7" s="177">
        <f>D6*0.5*0.2</f>
        <v>3.0000000000000001E-3</v>
      </c>
      <c r="E7" s="165">
        <v>4.0000000000000001E-3</v>
      </c>
      <c r="F7" s="165">
        <v>4.0000000000000001E-3</v>
      </c>
      <c r="G7" s="165">
        <f>(G6-2%)*0.2</f>
        <v>4.0000000000000001E-3</v>
      </c>
      <c r="I7" s="119" t="s">
        <v>38</v>
      </c>
      <c r="J7" s="119" t="s">
        <v>211</v>
      </c>
      <c r="K7" s="120">
        <v>8.4000000000000005E-2</v>
      </c>
      <c r="L7" s="120">
        <v>6.0000000000000001E-3</v>
      </c>
      <c r="M7" s="121">
        <v>0.09</v>
      </c>
      <c r="N7" s="3"/>
      <c r="O7" s="3"/>
      <c r="P7" s="3"/>
      <c r="Q7" s="3"/>
    </row>
    <row r="8" spans="1:17" ht="16.5" customHeight="1">
      <c r="A8" s="176" t="s">
        <v>256</v>
      </c>
      <c r="B8" s="177">
        <v>2E-3</v>
      </c>
      <c r="C8" s="177">
        <v>2E-3</v>
      </c>
      <c r="D8" s="165">
        <v>2E-3</v>
      </c>
      <c r="E8" s="165">
        <v>6.0000000000000001E-3</v>
      </c>
      <c r="F8" s="165">
        <v>0.01</v>
      </c>
      <c r="G8" s="165">
        <v>2E-3</v>
      </c>
      <c r="I8" s="119" t="s">
        <v>38</v>
      </c>
      <c r="J8" s="119" t="s">
        <v>215</v>
      </c>
      <c r="K8" s="120">
        <v>0.124</v>
      </c>
      <c r="L8" s="121">
        <v>0.01</v>
      </c>
      <c r="M8" s="120">
        <v>0.13400000000000001</v>
      </c>
      <c r="N8" s="3"/>
      <c r="O8" s="3"/>
      <c r="P8" s="3"/>
      <c r="Q8" s="3"/>
    </row>
    <row r="9" spans="1:17" ht="16.5" customHeight="1">
      <c r="A9" s="178"/>
      <c r="B9" s="179"/>
      <c r="C9" s="179"/>
      <c r="D9" s="179"/>
      <c r="E9" s="179"/>
      <c r="F9" s="179"/>
      <c r="G9" s="178"/>
      <c r="I9" s="3"/>
      <c r="J9" s="3"/>
      <c r="K9" s="3"/>
      <c r="L9" s="3"/>
      <c r="M9" s="3"/>
      <c r="N9" s="3"/>
      <c r="O9" s="3"/>
      <c r="P9" s="3"/>
      <c r="Q9" s="3"/>
    </row>
    <row r="10" spans="1:17" ht="16.5" customHeight="1" thickBot="1">
      <c r="A10" s="180" t="s">
        <v>257</v>
      </c>
      <c r="B10" s="181">
        <f>$B$2*SUM(B6:B7)</f>
        <v>13200000</v>
      </c>
      <c r="C10" s="181">
        <f t="shared" ref="C10:G10" si="0">$B$2*SUM(C6:C7)</f>
        <v>39600000</v>
      </c>
      <c r="D10" s="181">
        <f t="shared" si="0"/>
        <v>39600000</v>
      </c>
      <c r="E10" s="181">
        <f t="shared" si="0"/>
        <v>100800000</v>
      </c>
      <c r="F10" s="181">
        <f t="shared" si="0"/>
        <v>148800000</v>
      </c>
      <c r="G10" s="181">
        <f t="shared" si="0"/>
        <v>52800000</v>
      </c>
      <c r="I10" s="124" t="s">
        <v>216</v>
      </c>
      <c r="J10" s="124" t="s">
        <v>216</v>
      </c>
      <c r="K10" s="125" t="s">
        <v>219</v>
      </c>
      <c r="L10" s="122" t="s">
        <v>213</v>
      </c>
      <c r="M10" s="3"/>
      <c r="N10" s="3"/>
      <c r="O10" s="3"/>
      <c r="P10" s="3"/>
      <c r="Q10" s="3"/>
    </row>
    <row r="11" spans="1:17" ht="16.5" customHeight="1" thickTop="1" thickBot="1">
      <c r="A11" s="182" t="s">
        <v>258</v>
      </c>
      <c r="B11" s="183">
        <f>$B$2*SUM(B6:B8)</f>
        <v>15600000</v>
      </c>
      <c r="C11" s="183">
        <f t="shared" ref="C11:G11" si="1">$B$2*SUM(C6:C8)</f>
        <v>42000000.000000007</v>
      </c>
      <c r="D11" s="183">
        <f t="shared" si="1"/>
        <v>42000000.000000007</v>
      </c>
      <c r="E11" s="183">
        <f t="shared" si="1"/>
        <v>108000000.00000001</v>
      </c>
      <c r="F11" s="183">
        <f t="shared" si="1"/>
        <v>160800000</v>
      </c>
      <c r="G11" s="183">
        <f t="shared" si="1"/>
        <v>55200000</v>
      </c>
      <c r="I11" s="119"/>
      <c r="J11" s="119" t="s">
        <v>218</v>
      </c>
      <c r="K11" s="120">
        <v>9.5999999999999992E-3</v>
      </c>
      <c r="L11" s="120"/>
      <c r="M11" s="3"/>
      <c r="N11" s="3"/>
      <c r="O11" s="3"/>
      <c r="P11" s="3"/>
      <c r="Q11" s="3"/>
    </row>
    <row r="12" spans="1:17" ht="16.5" customHeight="1" thickTop="1">
      <c r="A12" s="3"/>
      <c r="B12" s="3"/>
      <c r="C12" s="3"/>
      <c r="I12" s="119"/>
      <c r="J12" s="119"/>
      <c r="K12" s="120">
        <v>2.9600000000000001E-2</v>
      </c>
      <c r="L12" s="120">
        <v>3.1600000000000003E-2</v>
      </c>
      <c r="M12" s="3"/>
      <c r="N12" s="3"/>
      <c r="O12" s="3"/>
      <c r="P12" s="3"/>
      <c r="Q12" s="3"/>
    </row>
    <row r="13" spans="1:17" ht="16.5" customHeight="1">
      <c r="A13" s="3"/>
      <c r="B13" s="3"/>
      <c r="C13" s="3"/>
      <c r="I13" s="146" t="s">
        <v>243</v>
      </c>
      <c r="J13" s="166"/>
      <c r="K13" s="167">
        <v>2.5600000000000001E-2</v>
      </c>
      <c r="L13" s="166"/>
      <c r="N13" s="3"/>
      <c r="O13" s="3"/>
      <c r="P13" s="3"/>
      <c r="Q13" s="3"/>
    </row>
    <row r="14" spans="1:17" ht="16.5" customHeight="1">
      <c r="A14" s="3"/>
      <c r="B14" s="3"/>
      <c r="C14" s="3"/>
      <c r="N14" s="3"/>
      <c r="O14" s="3"/>
      <c r="P14" s="3"/>
      <c r="Q14" s="3"/>
    </row>
    <row r="15" spans="1:17" ht="16.5" customHeight="1">
      <c r="A15" s="3"/>
      <c r="B15" s="3"/>
      <c r="C15" s="3"/>
      <c r="I15" s="3"/>
      <c r="J15" s="122" t="s">
        <v>1</v>
      </c>
      <c r="K15" s="125" t="s">
        <v>223</v>
      </c>
      <c r="L15" s="122" t="s">
        <v>213</v>
      </c>
      <c r="M15" s="3"/>
      <c r="N15" s="3"/>
      <c r="O15" s="3"/>
      <c r="P15" s="3"/>
      <c r="Q15" s="3"/>
    </row>
    <row r="16" spans="1:17" ht="16.5" customHeight="1">
      <c r="A16" s="3"/>
      <c r="B16" s="3"/>
      <c r="C16" s="3"/>
      <c r="I16" s="125" t="s">
        <v>222</v>
      </c>
      <c r="J16" s="119" t="s">
        <v>220</v>
      </c>
      <c r="K16" s="120">
        <v>3.7999999999999999E-2</v>
      </c>
      <c r="L16" s="120">
        <v>0.04</v>
      </c>
      <c r="M16" s="3"/>
      <c r="N16" s="3"/>
      <c r="O16" s="3"/>
      <c r="P16" s="3"/>
      <c r="Q16" s="3"/>
    </row>
    <row r="17" spans="1:17" ht="16.5" customHeight="1">
      <c r="A17" s="3"/>
      <c r="B17" s="3"/>
      <c r="C17" s="3"/>
      <c r="I17" s="125" t="s">
        <v>222</v>
      </c>
      <c r="J17" s="119" t="s">
        <v>221</v>
      </c>
      <c r="K17" s="120">
        <v>0.124</v>
      </c>
      <c r="L17" s="120">
        <v>0.13400000000000001</v>
      </c>
      <c r="M17" s="3"/>
      <c r="N17" s="3"/>
      <c r="O17" s="3"/>
      <c r="P17" s="3"/>
      <c r="Q17" s="3"/>
    </row>
    <row r="18" spans="1:17" ht="16.5" customHeight="1">
      <c r="A18" s="3"/>
      <c r="B18" s="3"/>
      <c r="C18" s="3"/>
      <c r="I18" s="3"/>
      <c r="J18" s="3"/>
      <c r="K18" s="3"/>
      <c r="L18" s="3"/>
      <c r="M18" s="3"/>
      <c r="N18" s="3"/>
      <c r="O18" s="3"/>
      <c r="P18" s="3"/>
      <c r="Q18" s="3"/>
    </row>
    <row r="19" spans="1:17" ht="16.5" customHeight="1">
      <c r="A19" s="3"/>
      <c r="B19" s="3"/>
      <c r="C19" s="3"/>
      <c r="I19" s="3"/>
      <c r="J19" s="3"/>
      <c r="K19" s="3"/>
      <c r="L19" s="3"/>
      <c r="M19" s="3"/>
      <c r="N19" s="3"/>
      <c r="O19" s="3"/>
      <c r="P19" s="3"/>
      <c r="Q19" s="3"/>
    </row>
    <row r="20" spans="1:17" ht="16.5" customHeight="1">
      <c r="A20" s="3"/>
      <c r="B20" s="3"/>
      <c r="C20" s="3"/>
      <c r="I20" s="3"/>
      <c r="J20" s="3"/>
      <c r="K20" s="3"/>
      <c r="L20" s="3"/>
      <c r="M20" s="3"/>
      <c r="N20" s="3"/>
      <c r="O20" s="3"/>
      <c r="P20" s="3"/>
      <c r="Q20" s="3"/>
    </row>
    <row r="21" spans="1:17" ht="16.5" customHeight="1">
      <c r="A21" s="3"/>
      <c r="B21" s="3"/>
      <c r="C21" s="3"/>
      <c r="I21" s="3"/>
      <c r="J21" s="3"/>
      <c r="K21" s="3"/>
      <c r="L21" s="3"/>
      <c r="M21" s="3"/>
      <c r="N21" s="3"/>
      <c r="O21" s="3"/>
      <c r="P21" s="3"/>
      <c r="Q21" s="3"/>
    </row>
    <row r="22" spans="1:17" ht="16.5" customHeight="1">
      <c r="A22" s="3"/>
      <c r="B22" s="3"/>
      <c r="C22" s="3"/>
      <c r="I22" s="3"/>
      <c r="J22" s="3"/>
      <c r="K22" s="3"/>
      <c r="L22" s="3"/>
      <c r="M22" s="3"/>
      <c r="N22" s="3"/>
      <c r="O22" s="3"/>
      <c r="P22" s="3"/>
      <c r="Q22" s="3"/>
    </row>
    <row r="23" spans="1:17" ht="16.5" customHeight="1">
      <c r="A23" s="3"/>
      <c r="B23" s="3"/>
      <c r="C23" s="3"/>
      <c r="I23" s="3"/>
      <c r="J23" s="3"/>
      <c r="K23" s="3"/>
      <c r="L23" s="3"/>
      <c r="M23" s="3"/>
      <c r="N23" s="3"/>
      <c r="O23" s="3"/>
      <c r="P23" s="3"/>
      <c r="Q23" s="3"/>
    </row>
    <row r="24" spans="1:17" ht="16.5" customHeight="1">
      <c r="A24" s="3"/>
      <c r="B24" s="3"/>
      <c r="C24" s="3"/>
      <c r="I24" s="3"/>
      <c r="J24" s="3"/>
      <c r="K24" s="3"/>
      <c r="L24" s="3"/>
      <c r="M24" s="3"/>
      <c r="N24" s="3"/>
      <c r="O24" s="3"/>
      <c r="P24" s="3"/>
      <c r="Q24" s="3"/>
    </row>
    <row r="25" spans="1:17" ht="16.5" customHeight="1">
      <c r="A25" s="3"/>
      <c r="B25" s="3"/>
      <c r="C25" s="3"/>
      <c r="I25" s="3"/>
      <c r="J25" s="3"/>
      <c r="K25" s="3"/>
      <c r="L25" s="3"/>
      <c r="M25" s="3"/>
      <c r="N25" s="3"/>
      <c r="O25" s="3"/>
      <c r="P25" s="3"/>
      <c r="Q25" s="3"/>
    </row>
    <row r="26" spans="1:17" ht="16.5" customHeight="1">
      <c r="A26" s="3"/>
      <c r="B26" s="3"/>
      <c r="C26" s="3"/>
      <c r="I26" s="3"/>
      <c r="J26" s="3"/>
      <c r="K26" s="3"/>
      <c r="L26" s="3"/>
      <c r="M26" s="3"/>
      <c r="N26" s="3"/>
      <c r="O26" s="3"/>
      <c r="P26" s="3"/>
      <c r="Q26" s="3"/>
    </row>
    <row r="27" spans="1:17" ht="16.5" customHeight="1">
      <c r="A27" s="3"/>
      <c r="B27" s="3"/>
      <c r="C27" s="3"/>
      <c r="I27" s="3"/>
      <c r="J27" s="3"/>
      <c r="K27" s="3"/>
      <c r="L27" s="3"/>
      <c r="M27" s="3"/>
      <c r="N27" s="3"/>
      <c r="O27" s="3"/>
      <c r="P27" s="3"/>
      <c r="Q27" s="3"/>
    </row>
    <row r="28" spans="1:17" ht="16.5" customHeight="1">
      <c r="A28" s="3"/>
      <c r="B28" s="3"/>
      <c r="C28" s="3"/>
      <c r="I28" s="3"/>
      <c r="J28" s="3"/>
      <c r="K28" s="3"/>
      <c r="L28" s="3"/>
      <c r="M28" s="3"/>
      <c r="N28" s="3"/>
      <c r="O28" s="3"/>
      <c r="P28" s="3"/>
      <c r="Q28" s="3"/>
    </row>
    <row r="29" spans="1:17" ht="16.5" customHeight="1">
      <c r="A29" s="3"/>
      <c r="B29" s="3"/>
      <c r="C29" s="3"/>
      <c r="I29" s="3"/>
      <c r="J29" s="3"/>
      <c r="K29" s="3"/>
      <c r="L29" s="3"/>
      <c r="M29" s="3"/>
      <c r="N29" s="3"/>
      <c r="O29" s="3"/>
      <c r="P29" s="3"/>
      <c r="Q29" s="3"/>
    </row>
    <row r="30" spans="1:17" ht="16.5" customHeight="1">
      <c r="A30" s="3"/>
      <c r="B30" s="3"/>
      <c r="C30" s="3"/>
      <c r="I30" s="3"/>
      <c r="J30" s="3"/>
      <c r="K30" s="3"/>
      <c r="L30" s="3"/>
      <c r="M30" s="3"/>
      <c r="N30" s="3"/>
      <c r="O30" s="3"/>
      <c r="P30" s="3"/>
      <c r="Q30" s="3"/>
    </row>
    <row r="31" spans="1:17" ht="16.5" customHeight="1">
      <c r="A31" s="3"/>
      <c r="B31" s="3"/>
      <c r="C31" s="3"/>
      <c r="I31" s="3"/>
      <c r="J31" s="3"/>
      <c r="K31" s="3"/>
      <c r="L31" s="3"/>
      <c r="M31" s="3"/>
      <c r="N31" s="3"/>
      <c r="O31" s="3"/>
      <c r="P31" s="3"/>
      <c r="Q31" s="3"/>
    </row>
    <row r="32" spans="1:17" ht="16.5" customHeight="1">
      <c r="A32" s="3"/>
      <c r="B32" s="3"/>
      <c r="C32" s="3"/>
      <c r="I32" s="3"/>
      <c r="J32" s="3"/>
      <c r="K32" s="3"/>
      <c r="L32" s="3"/>
      <c r="M32" s="3"/>
      <c r="N32" s="3"/>
      <c r="O32" s="3"/>
      <c r="P32" s="3"/>
      <c r="Q32" s="3"/>
    </row>
    <row r="33" spans="1:17" ht="16.5" customHeight="1">
      <c r="A33" s="3"/>
      <c r="B33" s="3"/>
      <c r="C33" s="3"/>
      <c r="I33" s="3"/>
      <c r="J33" s="3"/>
      <c r="K33" s="3"/>
      <c r="L33" s="3"/>
      <c r="M33" s="3"/>
      <c r="N33" s="3"/>
      <c r="O33" s="3"/>
      <c r="P33" s="3"/>
      <c r="Q33" s="3"/>
    </row>
    <row r="34" spans="1:17" ht="16.5" customHeight="1">
      <c r="A34" s="3"/>
      <c r="B34" s="3"/>
      <c r="C34" s="3"/>
      <c r="I34" s="3"/>
      <c r="J34" s="3"/>
      <c r="K34" s="3"/>
      <c r="L34" s="3"/>
      <c r="M34" s="3"/>
      <c r="N34" s="3"/>
      <c r="O34" s="3"/>
      <c r="P34" s="3"/>
      <c r="Q34" s="3"/>
    </row>
    <row r="35" spans="1:17" ht="16.5" customHeight="1">
      <c r="A35" s="3"/>
      <c r="B35" s="3"/>
      <c r="C35" s="3"/>
      <c r="I35" s="3"/>
      <c r="J35" s="3"/>
      <c r="K35" s="3"/>
      <c r="L35" s="3"/>
      <c r="M35" s="3"/>
      <c r="N35" s="3"/>
      <c r="O35" s="3"/>
      <c r="P35" s="3"/>
      <c r="Q35" s="3"/>
    </row>
    <row r="36" spans="1:17" ht="16.5" customHeight="1">
      <c r="A36" s="3"/>
      <c r="B36" s="3"/>
      <c r="C36" s="3"/>
      <c r="I36" s="3"/>
      <c r="J36" s="3"/>
      <c r="K36" s="3"/>
      <c r="L36" s="3"/>
      <c r="M36" s="3"/>
      <c r="N36" s="3"/>
      <c r="O36" s="3"/>
      <c r="P36" s="3"/>
      <c r="Q36" s="3"/>
    </row>
    <row r="37" spans="1:17" ht="16.5" customHeight="1">
      <c r="A37" s="3"/>
      <c r="B37" s="3"/>
      <c r="C37" s="3"/>
      <c r="I37" s="3"/>
      <c r="J37" s="3"/>
      <c r="K37" s="3"/>
      <c r="L37" s="3"/>
      <c r="M37" s="3"/>
      <c r="N37" s="3"/>
      <c r="O37" s="3"/>
      <c r="P37" s="3"/>
      <c r="Q37" s="3"/>
    </row>
    <row r="38" spans="1:17" ht="16.5" customHeight="1">
      <c r="A38" s="3"/>
      <c r="B38" s="3"/>
      <c r="C38" s="3"/>
      <c r="I38" s="3"/>
      <c r="J38" s="3"/>
      <c r="K38" s="3"/>
      <c r="L38" s="3"/>
      <c r="M38" s="3"/>
      <c r="N38" s="3"/>
      <c r="O38" s="3"/>
      <c r="P38" s="3"/>
      <c r="Q38" s="3"/>
    </row>
    <row r="39" spans="1:17" ht="16.5" customHeight="1">
      <c r="A39" s="3"/>
      <c r="B39" s="3"/>
      <c r="C39" s="3"/>
      <c r="I39" s="3"/>
      <c r="J39" s="3"/>
      <c r="K39" s="3"/>
      <c r="L39" s="3"/>
      <c r="M39" s="3"/>
      <c r="N39" s="3"/>
      <c r="O39" s="3"/>
      <c r="P39" s="3"/>
      <c r="Q39" s="3"/>
    </row>
    <row r="40" spans="1:17" ht="16.5" customHeight="1">
      <c r="A40" s="3"/>
      <c r="B40" s="3"/>
      <c r="C40" s="3"/>
      <c r="I40" s="3"/>
      <c r="J40" s="3"/>
      <c r="K40" s="3"/>
      <c r="L40" s="3"/>
      <c r="M40" s="3"/>
      <c r="N40" s="3"/>
      <c r="O40" s="3"/>
      <c r="P40" s="3"/>
      <c r="Q40" s="3"/>
    </row>
    <row r="41" spans="1:17" ht="16.5" customHeight="1">
      <c r="A41" s="3"/>
      <c r="B41" s="3"/>
      <c r="C41" s="3"/>
      <c r="I41" s="3"/>
      <c r="J41" s="3"/>
      <c r="K41" s="3"/>
      <c r="L41" s="3"/>
      <c r="M41" s="3"/>
      <c r="N41" s="3"/>
      <c r="O41" s="3"/>
      <c r="P41" s="3"/>
      <c r="Q41" s="3"/>
    </row>
    <row r="42" spans="1:17" ht="16.5" customHeight="1">
      <c r="A42" s="3"/>
      <c r="B42" s="3"/>
      <c r="C42" s="3"/>
      <c r="I42" s="3"/>
      <c r="J42" s="3"/>
      <c r="K42" s="3"/>
      <c r="L42" s="3"/>
      <c r="M42" s="3"/>
      <c r="N42" s="3"/>
      <c r="O42" s="3"/>
      <c r="P42" s="3"/>
      <c r="Q42" s="3"/>
    </row>
    <row r="43" spans="1:17" ht="16.5" customHeight="1">
      <c r="A43" s="3"/>
      <c r="B43" s="3"/>
      <c r="C43" s="3"/>
      <c r="I43" s="3"/>
      <c r="J43" s="3"/>
      <c r="K43" s="3"/>
      <c r="L43" s="3"/>
      <c r="M43" s="3"/>
      <c r="N43" s="3"/>
      <c r="O43" s="3"/>
      <c r="P43" s="3"/>
      <c r="Q43" s="3"/>
    </row>
    <row r="44" spans="1:17" ht="16.5" customHeight="1">
      <c r="A44" s="3"/>
      <c r="B44" s="3"/>
      <c r="C44" s="3"/>
      <c r="I44" s="3"/>
      <c r="J44" s="3"/>
      <c r="K44" s="3"/>
      <c r="L44" s="3"/>
      <c r="M44" s="3"/>
      <c r="N44" s="3"/>
      <c r="O44" s="3"/>
      <c r="P44" s="3"/>
      <c r="Q44" s="3"/>
    </row>
    <row r="45" spans="1:17" ht="16.5" customHeight="1">
      <c r="A45" s="3"/>
      <c r="B45" s="3"/>
      <c r="C45" s="3"/>
      <c r="I45" s="3"/>
      <c r="J45" s="3"/>
      <c r="K45" s="3"/>
      <c r="L45" s="3"/>
      <c r="M45" s="3"/>
      <c r="N45" s="3"/>
      <c r="O45" s="3"/>
      <c r="P45" s="3"/>
      <c r="Q45" s="3"/>
    </row>
    <row r="46" spans="1:17" ht="16.5" customHeight="1">
      <c r="A46" s="3"/>
      <c r="B46" s="3"/>
      <c r="C46" s="3"/>
      <c r="I46" s="3"/>
      <c r="J46" s="3"/>
      <c r="K46" s="3"/>
      <c r="L46" s="3"/>
      <c r="M46" s="3"/>
      <c r="N46" s="3"/>
      <c r="O46" s="3"/>
      <c r="P46" s="3"/>
      <c r="Q46" s="3"/>
    </row>
    <row r="47" spans="1:17" ht="16.5" customHeight="1">
      <c r="A47" s="3"/>
      <c r="B47" s="3"/>
      <c r="C47" s="3"/>
      <c r="I47" s="3"/>
      <c r="J47" s="3"/>
      <c r="K47" s="3"/>
      <c r="L47" s="3"/>
      <c r="M47" s="3"/>
      <c r="N47" s="3"/>
      <c r="O47" s="3"/>
      <c r="P47" s="3"/>
      <c r="Q47" s="3"/>
    </row>
    <row r="48" spans="1:17" ht="16.5" customHeight="1">
      <c r="A48" s="3"/>
      <c r="B48" s="3"/>
      <c r="C48" s="3"/>
      <c r="I48" s="3"/>
      <c r="J48" s="3"/>
      <c r="K48" s="3"/>
      <c r="L48" s="3"/>
      <c r="M48" s="3"/>
      <c r="N48" s="3"/>
      <c r="O48" s="3"/>
      <c r="P48" s="3"/>
      <c r="Q48" s="3"/>
    </row>
    <row r="49" spans="1:17" ht="16.5" customHeight="1">
      <c r="A49" s="3"/>
      <c r="B49" s="3"/>
      <c r="C49" s="3"/>
      <c r="I49" s="3"/>
      <c r="J49" s="3"/>
      <c r="K49" s="3"/>
      <c r="L49" s="3"/>
      <c r="M49" s="3"/>
      <c r="N49" s="3"/>
      <c r="O49" s="3"/>
      <c r="P49" s="3"/>
      <c r="Q49" s="3"/>
    </row>
    <row r="50" spans="1:17" ht="16.5" customHeight="1">
      <c r="A50" s="3"/>
      <c r="B50" s="3"/>
      <c r="C50" s="3"/>
      <c r="I50" s="3"/>
      <c r="J50" s="3"/>
      <c r="K50" s="3"/>
      <c r="L50" s="3"/>
      <c r="M50" s="3"/>
      <c r="N50" s="3"/>
      <c r="O50" s="3"/>
      <c r="P50" s="3"/>
      <c r="Q50" s="3"/>
    </row>
    <row r="51" spans="1:17" ht="16.5" customHeight="1">
      <c r="A51" s="3"/>
      <c r="B51" s="3"/>
      <c r="C51" s="3"/>
      <c r="I51" s="3"/>
      <c r="J51" s="3"/>
      <c r="K51" s="3"/>
      <c r="L51" s="3"/>
      <c r="M51" s="3"/>
      <c r="N51" s="3"/>
      <c r="O51" s="3"/>
      <c r="P51" s="3"/>
      <c r="Q51" s="3"/>
    </row>
    <row r="52" spans="1:17" ht="16.5" customHeight="1">
      <c r="A52" s="3"/>
      <c r="B52" s="3"/>
      <c r="C52" s="3"/>
      <c r="I52" s="3"/>
      <c r="J52" s="3"/>
      <c r="K52" s="3"/>
      <c r="L52" s="3"/>
      <c r="M52" s="3"/>
      <c r="N52" s="3"/>
      <c r="O52" s="3"/>
      <c r="P52" s="3"/>
      <c r="Q52" s="3"/>
    </row>
    <row r="53" spans="1:17" ht="16.5" customHeight="1">
      <c r="A53" s="3"/>
      <c r="B53" s="3"/>
      <c r="C53" s="3"/>
      <c r="I53" s="3"/>
      <c r="J53" s="3"/>
      <c r="K53" s="3"/>
      <c r="L53" s="3"/>
      <c r="M53" s="3"/>
      <c r="N53" s="3"/>
      <c r="O53" s="3"/>
      <c r="P53" s="3"/>
      <c r="Q53" s="3"/>
    </row>
    <row r="54" spans="1:17" ht="16.5" customHeight="1">
      <c r="A54" s="3"/>
      <c r="B54" s="3"/>
      <c r="C54" s="3"/>
      <c r="I54" s="3"/>
      <c r="J54" s="3"/>
      <c r="K54" s="3"/>
      <c r="L54" s="3"/>
      <c r="M54" s="3"/>
      <c r="N54" s="3"/>
      <c r="O54" s="3"/>
      <c r="P54" s="3"/>
      <c r="Q54" s="3"/>
    </row>
    <row r="55" spans="1:17" ht="16.5" customHeight="1">
      <c r="A55" s="3"/>
      <c r="B55" s="3"/>
      <c r="C55" s="3"/>
      <c r="I55" s="3"/>
      <c r="J55" s="3"/>
      <c r="K55" s="3"/>
      <c r="L55" s="3"/>
      <c r="M55" s="3"/>
      <c r="N55" s="3"/>
      <c r="O55" s="3"/>
      <c r="P55" s="3"/>
      <c r="Q55" s="3"/>
    </row>
    <row r="56" spans="1:17" ht="16.5" customHeight="1">
      <c r="A56" s="3"/>
      <c r="B56" s="3"/>
      <c r="C56" s="3"/>
      <c r="I56" s="3"/>
      <c r="J56" s="3"/>
      <c r="K56" s="3"/>
      <c r="L56" s="3"/>
      <c r="M56" s="3"/>
      <c r="N56" s="3"/>
      <c r="O56" s="3"/>
      <c r="P56" s="3"/>
      <c r="Q56" s="3"/>
    </row>
    <row r="57" spans="1:17" ht="16.5" customHeight="1">
      <c r="A57" s="3"/>
      <c r="B57" s="3"/>
      <c r="C57" s="3"/>
      <c r="I57" s="3"/>
      <c r="J57" s="3"/>
      <c r="K57" s="3"/>
      <c r="L57" s="3"/>
      <c r="M57" s="3"/>
      <c r="N57" s="3"/>
      <c r="O57" s="3"/>
      <c r="P57" s="3"/>
      <c r="Q57" s="3"/>
    </row>
    <row r="58" spans="1:17" ht="16.5" customHeight="1">
      <c r="A58" s="3"/>
      <c r="B58" s="3"/>
      <c r="C58" s="3"/>
      <c r="I58" s="3"/>
      <c r="J58" s="3"/>
      <c r="K58" s="3"/>
      <c r="L58" s="3"/>
      <c r="M58" s="3"/>
      <c r="N58" s="3"/>
      <c r="O58" s="3"/>
      <c r="P58" s="3"/>
      <c r="Q58" s="3"/>
    </row>
    <row r="59" spans="1:17" ht="16.5" customHeight="1">
      <c r="A59" s="3"/>
      <c r="B59" s="3"/>
      <c r="C59" s="3"/>
      <c r="I59" s="3"/>
      <c r="J59" s="3"/>
      <c r="K59" s="3"/>
      <c r="L59" s="3"/>
      <c r="M59" s="3"/>
      <c r="N59" s="3"/>
      <c r="O59" s="3"/>
      <c r="P59" s="3"/>
      <c r="Q59" s="3"/>
    </row>
    <row r="60" spans="1:17" ht="16.5" customHeight="1">
      <c r="A60" s="3"/>
      <c r="B60" s="3"/>
      <c r="C60" s="3"/>
      <c r="I60" s="3"/>
      <c r="J60" s="3"/>
      <c r="K60" s="3"/>
      <c r="L60" s="3"/>
      <c r="M60" s="3"/>
      <c r="N60" s="3"/>
      <c r="O60" s="3"/>
      <c r="P60" s="3"/>
      <c r="Q60" s="3"/>
    </row>
    <row r="61" spans="1:17" ht="16.5" customHeight="1">
      <c r="A61" s="3"/>
      <c r="B61" s="3"/>
      <c r="C61" s="3"/>
      <c r="I61" s="3"/>
      <c r="J61" s="3"/>
      <c r="K61" s="3"/>
      <c r="L61" s="3"/>
      <c r="M61" s="3"/>
      <c r="N61" s="3"/>
      <c r="O61" s="3"/>
      <c r="P61" s="3"/>
      <c r="Q61" s="3"/>
    </row>
    <row r="62" spans="1:17" ht="16.5" customHeight="1">
      <c r="A62" s="3"/>
      <c r="B62" s="3"/>
      <c r="C62" s="3"/>
      <c r="I62" s="3"/>
      <c r="J62" s="3"/>
      <c r="K62" s="3"/>
      <c r="L62" s="3"/>
      <c r="M62" s="3"/>
      <c r="N62" s="3"/>
      <c r="O62" s="3"/>
      <c r="P62" s="3"/>
      <c r="Q62" s="3"/>
    </row>
    <row r="63" spans="1:17" ht="16.5" customHeight="1">
      <c r="A63" s="3"/>
      <c r="B63" s="3"/>
      <c r="C63" s="3"/>
      <c r="I63" s="3"/>
      <c r="J63" s="3"/>
      <c r="K63" s="3"/>
      <c r="L63" s="3"/>
      <c r="M63" s="3"/>
      <c r="N63" s="3"/>
      <c r="O63" s="3"/>
      <c r="P63" s="3"/>
      <c r="Q63" s="3"/>
    </row>
    <row r="64" spans="1:17" ht="16.5" customHeight="1">
      <c r="A64" s="3"/>
      <c r="B64" s="3"/>
      <c r="C64" s="3"/>
      <c r="I64" s="3"/>
      <c r="J64" s="3"/>
      <c r="K64" s="3"/>
      <c r="L64" s="3"/>
      <c r="M64" s="3"/>
      <c r="N64" s="3"/>
      <c r="O64" s="3"/>
      <c r="P64" s="3"/>
      <c r="Q64" s="3"/>
    </row>
    <row r="65" spans="1:17" ht="16.5" customHeight="1">
      <c r="A65" s="3"/>
      <c r="B65" s="3"/>
      <c r="C65" s="3"/>
      <c r="I65" s="3"/>
      <c r="J65" s="3"/>
      <c r="K65" s="3"/>
      <c r="L65" s="3"/>
      <c r="M65" s="3"/>
      <c r="N65" s="3"/>
      <c r="O65" s="3"/>
      <c r="P65" s="3"/>
      <c r="Q65" s="3"/>
    </row>
    <row r="66" spans="1:17" ht="16.5" customHeight="1">
      <c r="A66" s="3"/>
      <c r="B66" s="3"/>
      <c r="C66" s="3"/>
      <c r="I66" s="3"/>
      <c r="J66" s="3"/>
      <c r="K66" s="3"/>
      <c r="L66" s="3"/>
      <c r="M66" s="3"/>
      <c r="N66" s="3"/>
      <c r="O66" s="3"/>
      <c r="P66" s="3"/>
      <c r="Q66" s="3"/>
    </row>
    <row r="67" spans="1:17" ht="16.5" customHeight="1">
      <c r="A67" s="3"/>
      <c r="B67" s="3"/>
      <c r="C67" s="3"/>
      <c r="I67" s="3"/>
      <c r="J67" s="3"/>
      <c r="K67" s="3"/>
      <c r="L67" s="3"/>
      <c r="M67" s="3"/>
      <c r="N67" s="3"/>
      <c r="O67" s="3"/>
      <c r="P67" s="3"/>
      <c r="Q67" s="3"/>
    </row>
    <row r="68" spans="1:17" ht="16.5" customHeight="1">
      <c r="A68" s="3"/>
      <c r="B68" s="3"/>
      <c r="C68" s="3"/>
      <c r="I68" s="3"/>
      <c r="J68" s="3"/>
      <c r="K68" s="3"/>
      <c r="L68" s="3"/>
      <c r="M68" s="3"/>
      <c r="N68" s="3"/>
      <c r="O68" s="3"/>
      <c r="P68" s="3"/>
      <c r="Q68" s="3"/>
    </row>
    <row r="69" spans="1:17" ht="16.5" customHeight="1">
      <c r="A69" s="3"/>
      <c r="B69" s="3"/>
      <c r="C69" s="3"/>
      <c r="I69" s="3"/>
      <c r="J69" s="3"/>
      <c r="K69" s="3"/>
      <c r="L69" s="3"/>
      <c r="M69" s="3"/>
      <c r="N69" s="3"/>
      <c r="O69" s="3"/>
      <c r="P69" s="3"/>
      <c r="Q69" s="3"/>
    </row>
    <row r="70" spans="1:17" ht="16.5" customHeight="1">
      <c r="A70" s="3"/>
      <c r="B70" s="3"/>
      <c r="C70" s="3"/>
      <c r="I70" s="3"/>
      <c r="J70" s="3"/>
      <c r="K70" s="3"/>
      <c r="L70" s="3"/>
      <c r="M70" s="3"/>
      <c r="N70" s="3"/>
      <c r="O70" s="3"/>
      <c r="P70" s="3"/>
      <c r="Q70" s="3"/>
    </row>
    <row r="71" spans="1:17" ht="16.5" customHeight="1">
      <c r="A71" s="3"/>
      <c r="B71" s="3"/>
      <c r="C71" s="3"/>
      <c r="I71" s="3"/>
      <c r="J71" s="3"/>
      <c r="K71" s="3"/>
      <c r="L71" s="3"/>
      <c r="M71" s="3"/>
      <c r="N71" s="3"/>
      <c r="O71" s="3"/>
      <c r="P71" s="3"/>
      <c r="Q71" s="3"/>
    </row>
    <row r="72" spans="1:17" ht="16.5" customHeight="1">
      <c r="A72" s="3"/>
      <c r="B72" s="3"/>
      <c r="C72" s="3"/>
      <c r="I72" s="3"/>
      <c r="J72" s="3"/>
      <c r="K72" s="3"/>
      <c r="L72" s="3"/>
      <c r="M72" s="3"/>
      <c r="N72" s="3"/>
      <c r="O72" s="3"/>
      <c r="P72" s="3"/>
      <c r="Q72" s="3"/>
    </row>
    <row r="73" spans="1:17" ht="16.5" customHeight="1">
      <c r="A73" s="3"/>
      <c r="B73" s="3"/>
      <c r="C73" s="3"/>
      <c r="I73" s="3"/>
      <c r="J73" s="3"/>
      <c r="K73" s="3"/>
      <c r="L73" s="3"/>
      <c r="M73" s="3"/>
      <c r="N73" s="3"/>
      <c r="O73" s="3"/>
      <c r="P73" s="3"/>
      <c r="Q73" s="3"/>
    </row>
    <row r="74" spans="1:17" ht="16.5" customHeight="1">
      <c r="A74" s="3"/>
      <c r="B74" s="3"/>
      <c r="C74" s="3"/>
      <c r="I74" s="3"/>
      <c r="J74" s="3"/>
      <c r="K74" s="3"/>
      <c r="L74" s="3"/>
      <c r="M74" s="3"/>
      <c r="N74" s="3"/>
      <c r="O74" s="3"/>
      <c r="P74" s="3"/>
      <c r="Q74" s="3"/>
    </row>
    <row r="75" spans="1:17" ht="16.5" customHeight="1">
      <c r="A75" s="3"/>
      <c r="B75" s="3"/>
      <c r="C75" s="3"/>
      <c r="I75" s="3"/>
      <c r="J75" s="3"/>
      <c r="K75" s="3"/>
      <c r="L75" s="3"/>
      <c r="M75" s="3"/>
      <c r="N75" s="3"/>
      <c r="O75" s="3"/>
      <c r="P75" s="3"/>
      <c r="Q75" s="3"/>
    </row>
    <row r="76" spans="1:17" ht="16.5" customHeight="1">
      <c r="A76" s="3"/>
      <c r="B76" s="3"/>
      <c r="C76" s="3"/>
      <c r="I76" s="3"/>
      <c r="J76" s="3"/>
      <c r="K76" s="3"/>
      <c r="L76" s="3"/>
      <c r="M76" s="3"/>
      <c r="N76" s="3"/>
      <c r="O76" s="3"/>
      <c r="P76" s="3"/>
      <c r="Q76" s="3"/>
    </row>
    <row r="77" spans="1:17" ht="16.5" customHeight="1">
      <c r="A77" s="3"/>
      <c r="B77" s="3"/>
      <c r="C77" s="3"/>
      <c r="I77" s="3"/>
      <c r="J77" s="3"/>
      <c r="K77" s="3"/>
      <c r="L77" s="3"/>
      <c r="M77" s="3"/>
      <c r="N77" s="3"/>
      <c r="O77" s="3"/>
      <c r="P77" s="3"/>
      <c r="Q77" s="3"/>
    </row>
    <row r="78" spans="1:17" ht="16.5" customHeight="1">
      <c r="A78" s="3"/>
      <c r="B78" s="3"/>
      <c r="C78" s="3"/>
      <c r="I78" s="3"/>
      <c r="J78" s="3"/>
      <c r="K78" s="3"/>
      <c r="L78" s="3"/>
      <c r="M78" s="3"/>
      <c r="N78" s="3"/>
      <c r="O78" s="3"/>
      <c r="P78" s="3"/>
      <c r="Q78" s="3"/>
    </row>
    <row r="79" spans="1:17" ht="16.5" customHeight="1">
      <c r="A79" s="3"/>
      <c r="B79" s="3"/>
      <c r="C79" s="3"/>
      <c r="I79" s="3"/>
      <c r="J79" s="3"/>
      <c r="K79" s="3"/>
      <c r="L79" s="3"/>
      <c r="M79" s="3"/>
      <c r="N79" s="3"/>
      <c r="O79" s="3"/>
      <c r="P79" s="3"/>
      <c r="Q79" s="3"/>
    </row>
    <row r="80" spans="1:17" ht="16.5" customHeight="1">
      <c r="A80" s="3"/>
      <c r="B80" s="3"/>
      <c r="C80" s="3"/>
      <c r="I80" s="3"/>
      <c r="J80" s="3"/>
      <c r="K80" s="3"/>
      <c r="L80" s="3"/>
      <c r="M80" s="3"/>
      <c r="N80" s="3"/>
      <c r="O80" s="3"/>
      <c r="P80" s="3"/>
      <c r="Q80" s="3"/>
    </row>
    <row r="81" spans="1:17" ht="16.5" customHeight="1">
      <c r="A81" s="3"/>
      <c r="B81" s="3"/>
      <c r="C81" s="3"/>
      <c r="I81" s="3"/>
      <c r="J81" s="3"/>
      <c r="K81" s="3"/>
      <c r="L81" s="3"/>
      <c r="M81" s="3"/>
      <c r="N81" s="3"/>
      <c r="O81" s="3"/>
      <c r="P81" s="3"/>
      <c r="Q81" s="3"/>
    </row>
    <row r="82" spans="1:17" ht="16.5" customHeight="1">
      <c r="A82" s="3"/>
      <c r="B82" s="3"/>
      <c r="C82" s="3"/>
      <c r="I82" s="3"/>
      <c r="J82" s="3"/>
      <c r="K82" s="3"/>
      <c r="L82" s="3"/>
      <c r="M82" s="3"/>
      <c r="N82" s="3"/>
      <c r="O82" s="3"/>
      <c r="P82" s="3"/>
      <c r="Q82" s="3"/>
    </row>
    <row r="83" spans="1:17" ht="16.5" customHeight="1">
      <c r="A83" s="3"/>
      <c r="B83" s="3"/>
      <c r="C83" s="3"/>
      <c r="I83" s="3"/>
      <c r="J83" s="3"/>
      <c r="K83" s="3"/>
      <c r="L83" s="3"/>
      <c r="M83" s="3"/>
      <c r="N83" s="3"/>
      <c r="O83" s="3"/>
      <c r="P83" s="3"/>
      <c r="Q83" s="3"/>
    </row>
    <row r="84" spans="1:17" ht="16.5" customHeight="1">
      <c r="A84" s="3"/>
      <c r="B84" s="3"/>
      <c r="C84" s="3"/>
      <c r="I84" s="3"/>
      <c r="J84" s="3"/>
      <c r="K84" s="3"/>
      <c r="L84" s="3"/>
      <c r="M84" s="3"/>
      <c r="N84" s="3"/>
      <c r="O84" s="3"/>
      <c r="P84" s="3"/>
      <c r="Q84" s="3"/>
    </row>
    <row r="85" spans="1:17" ht="16.5" customHeight="1">
      <c r="A85" s="3"/>
      <c r="B85" s="3"/>
      <c r="C85" s="3"/>
      <c r="I85" s="3"/>
      <c r="J85" s="3"/>
      <c r="K85" s="3"/>
      <c r="L85" s="3"/>
      <c r="M85" s="3"/>
      <c r="N85" s="3"/>
      <c r="O85" s="3"/>
      <c r="P85" s="3"/>
      <c r="Q85" s="3"/>
    </row>
    <row r="86" spans="1:17" ht="16.5" customHeight="1">
      <c r="A86" s="3"/>
      <c r="B86" s="3"/>
      <c r="C86" s="3"/>
      <c r="I86" s="3"/>
      <c r="J86" s="3"/>
      <c r="K86" s="3"/>
      <c r="L86" s="3"/>
      <c r="M86" s="3"/>
      <c r="N86" s="3"/>
      <c r="O86" s="3"/>
      <c r="P86" s="3"/>
      <c r="Q86" s="3"/>
    </row>
    <row r="87" spans="1:17" ht="16.5" customHeight="1">
      <c r="A87" s="3"/>
      <c r="B87" s="3"/>
      <c r="C87" s="3"/>
      <c r="I87" s="3"/>
      <c r="J87" s="3"/>
      <c r="K87" s="3"/>
      <c r="L87" s="3"/>
      <c r="M87" s="3"/>
      <c r="N87" s="3"/>
      <c r="O87" s="3"/>
      <c r="P87" s="3"/>
      <c r="Q87" s="3"/>
    </row>
    <row r="88" spans="1:17" ht="16.5" customHeight="1">
      <c r="A88" s="3"/>
      <c r="B88" s="3"/>
      <c r="C88" s="3"/>
      <c r="I88" s="3"/>
      <c r="J88" s="3"/>
      <c r="K88" s="3"/>
      <c r="L88" s="3"/>
      <c r="M88" s="3"/>
      <c r="N88" s="3"/>
      <c r="O88" s="3"/>
      <c r="P88" s="3"/>
      <c r="Q88" s="3"/>
    </row>
    <row r="89" spans="1:17" ht="16.5" customHeight="1">
      <c r="A89" s="3"/>
      <c r="B89" s="3"/>
      <c r="C89" s="3"/>
      <c r="I89" s="3"/>
      <c r="J89" s="3"/>
      <c r="K89" s="3"/>
      <c r="L89" s="3"/>
      <c r="M89" s="3"/>
      <c r="N89" s="3"/>
      <c r="O89" s="3"/>
      <c r="P89" s="3"/>
      <c r="Q89" s="3"/>
    </row>
    <row r="90" spans="1:17" ht="16.5" customHeight="1">
      <c r="A90" s="3"/>
      <c r="B90" s="3"/>
      <c r="C90" s="3"/>
      <c r="I90" s="3"/>
      <c r="J90" s="3"/>
      <c r="K90" s="3"/>
      <c r="L90" s="3"/>
      <c r="M90" s="3"/>
      <c r="N90" s="3"/>
      <c r="O90" s="3"/>
      <c r="P90" s="3"/>
      <c r="Q90" s="3"/>
    </row>
    <row r="91" spans="1:17" ht="16.5" customHeight="1">
      <c r="A91" s="3"/>
      <c r="B91" s="3"/>
      <c r="C91" s="3"/>
      <c r="I91" s="3"/>
      <c r="J91" s="3"/>
      <c r="K91" s="3"/>
      <c r="L91" s="3"/>
      <c r="M91" s="3"/>
      <c r="N91" s="3"/>
      <c r="O91" s="3"/>
      <c r="P91" s="3"/>
      <c r="Q91" s="3"/>
    </row>
    <row r="92" spans="1:17" ht="16.5" customHeight="1">
      <c r="A92" s="3"/>
      <c r="B92" s="3"/>
      <c r="C92" s="3"/>
      <c r="I92" s="3"/>
      <c r="J92" s="3"/>
      <c r="K92" s="3"/>
      <c r="L92" s="3"/>
      <c r="M92" s="3"/>
      <c r="N92" s="3"/>
      <c r="O92" s="3"/>
      <c r="P92" s="3"/>
      <c r="Q92" s="3"/>
    </row>
    <row r="93" spans="1:17" ht="16.5" customHeight="1">
      <c r="A93" s="3"/>
      <c r="B93" s="3"/>
      <c r="C93" s="3"/>
      <c r="I93" s="3"/>
      <c r="J93" s="3"/>
      <c r="K93" s="3"/>
      <c r="L93" s="3"/>
      <c r="M93" s="3"/>
      <c r="N93" s="3"/>
      <c r="O93" s="3"/>
      <c r="P93" s="3"/>
      <c r="Q93" s="3"/>
    </row>
    <row r="94" spans="1:17" ht="16.5" customHeight="1">
      <c r="A94" s="3"/>
      <c r="B94" s="3"/>
      <c r="C94" s="3"/>
      <c r="I94" s="3"/>
      <c r="J94" s="3"/>
      <c r="K94" s="3"/>
      <c r="L94" s="3"/>
      <c r="M94" s="3"/>
      <c r="N94" s="3"/>
      <c r="O94" s="3"/>
      <c r="P94" s="3"/>
      <c r="Q94" s="3"/>
    </row>
    <row r="95" spans="1:17" ht="16.5" customHeight="1">
      <c r="A95" s="3"/>
      <c r="B95" s="3"/>
      <c r="C95" s="3"/>
      <c r="I95" s="3"/>
      <c r="J95" s="3"/>
      <c r="K95" s="3"/>
      <c r="L95" s="3"/>
      <c r="M95" s="3"/>
      <c r="N95" s="3"/>
      <c r="O95" s="3"/>
      <c r="P95" s="3"/>
      <c r="Q95" s="3"/>
    </row>
    <row r="96" spans="1:17" ht="16.5" customHeight="1">
      <c r="A96" s="3"/>
      <c r="B96" s="3"/>
      <c r="C96" s="3"/>
      <c r="I96" s="3"/>
      <c r="J96" s="3"/>
      <c r="K96" s="3"/>
      <c r="L96" s="3"/>
      <c r="M96" s="3"/>
      <c r="N96" s="3"/>
      <c r="O96" s="3"/>
      <c r="P96" s="3"/>
      <c r="Q96" s="3"/>
    </row>
    <row r="97" spans="1:17" ht="16.5" customHeight="1">
      <c r="A97" s="3"/>
      <c r="B97" s="3"/>
      <c r="C97" s="3"/>
      <c r="I97" s="3"/>
      <c r="J97" s="3"/>
      <c r="K97" s="3"/>
      <c r="L97" s="3"/>
      <c r="M97" s="3"/>
      <c r="N97" s="3"/>
      <c r="O97" s="3"/>
      <c r="P97" s="3"/>
      <c r="Q97" s="3"/>
    </row>
    <row r="98" spans="1:17" ht="16.5" customHeight="1">
      <c r="A98" s="3"/>
      <c r="B98" s="3"/>
      <c r="C98" s="3"/>
      <c r="I98" s="3"/>
      <c r="J98" s="3"/>
      <c r="K98" s="3"/>
      <c r="L98" s="3"/>
      <c r="M98" s="3"/>
      <c r="N98" s="3"/>
      <c r="O98" s="3"/>
      <c r="P98" s="3"/>
      <c r="Q98" s="3"/>
    </row>
    <row r="99" spans="1:17" ht="16.5" customHeight="1">
      <c r="A99" s="3"/>
      <c r="B99" s="3"/>
      <c r="C99" s="3"/>
      <c r="I99" s="3"/>
      <c r="J99" s="3"/>
      <c r="K99" s="3"/>
      <c r="L99" s="3"/>
      <c r="M99" s="3"/>
      <c r="N99" s="3"/>
      <c r="O99" s="3"/>
      <c r="P99" s="3"/>
      <c r="Q99" s="3"/>
    </row>
    <row r="100" spans="1:17" ht="16.5" customHeight="1">
      <c r="A100" s="3"/>
      <c r="B100" s="3"/>
      <c r="C100" s="3"/>
      <c r="I100" s="3"/>
      <c r="J100" s="3"/>
      <c r="K100" s="3"/>
      <c r="L100" s="3"/>
      <c r="M100" s="3"/>
      <c r="N100" s="3"/>
      <c r="O100" s="3"/>
      <c r="P100" s="3"/>
      <c r="Q100" s="3"/>
    </row>
    <row r="101" spans="1:17" ht="16.5" customHeight="1">
      <c r="A101" s="3"/>
      <c r="B101" s="3"/>
      <c r="C101" s="3"/>
      <c r="I101" s="3"/>
      <c r="J101" s="3"/>
      <c r="K101" s="3"/>
      <c r="L101" s="3"/>
      <c r="M101" s="3"/>
      <c r="N101" s="3"/>
      <c r="O101" s="3"/>
      <c r="P101" s="3"/>
      <c r="Q101" s="3"/>
    </row>
    <row r="102" spans="1:17" ht="16.5" customHeight="1">
      <c r="A102" s="3"/>
      <c r="B102" s="3"/>
      <c r="C102" s="3"/>
      <c r="I102" s="3"/>
      <c r="J102" s="3"/>
      <c r="K102" s="3"/>
      <c r="L102" s="3"/>
      <c r="M102" s="3"/>
      <c r="N102" s="3"/>
      <c r="O102" s="3"/>
      <c r="P102" s="3"/>
      <c r="Q102" s="3"/>
    </row>
    <row r="103" spans="1:17" ht="16.5" customHeight="1">
      <c r="A103" s="3"/>
      <c r="B103" s="3"/>
      <c r="C103" s="3"/>
      <c r="I103" s="3"/>
      <c r="J103" s="3"/>
      <c r="K103" s="3"/>
      <c r="L103" s="3"/>
      <c r="M103" s="3"/>
      <c r="N103" s="3"/>
      <c r="O103" s="3"/>
      <c r="P103" s="3"/>
      <c r="Q103" s="3"/>
    </row>
    <row r="104" spans="1:17" ht="16.5" customHeight="1">
      <c r="A104" s="3"/>
      <c r="B104" s="3"/>
      <c r="C104" s="3"/>
      <c r="I104" s="3"/>
      <c r="J104" s="3"/>
      <c r="K104" s="3"/>
      <c r="L104" s="3"/>
      <c r="M104" s="3"/>
      <c r="N104" s="3"/>
      <c r="O104" s="3"/>
      <c r="P104" s="3"/>
      <c r="Q104" s="3"/>
    </row>
    <row r="105" spans="1:17" ht="16.5" customHeight="1">
      <c r="A105" s="3"/>
      <c r="B105" s="3"/>
      <c r="C105" s="3"/>
      <c r="I105" s="3"/>
      <c r="J105" s="3"/>
      <c r="K105" s="3"/>
      <c r="L105" s="3"/>
      <c r="M105" s="3"/>
      <c r="N105" s="3"/>
      <c r="O105" s="3"/>
      <c r="P105" s="3"/>
      <c r="Q105" s="3"/>
    </row>
    <row r="106" spans="1:17" ht="16.5" customHeight="1">
      <c r="A106" s="3"/>
      <c r="B106" s="3"/>
      <c r="C106" s="3"/>
      <c r="I106" s="3"/>
      <c r="J106" s="3"/>
      <c r="K106" s="3"/>
      <c r="L106" s="3"/>
      <c r="M106" s="3"/>
      <c r="N106" s="3"/>
      <c r="O106" s="3"/>
      <c r="P106" s="3"/>
      <c r="Q106" s="3"/>
    </row>
    <row r="107" spans="1:17" ht="16.5" customHeight="1">
      <c r="A107" s="3"/>
      <c r="B107" s="3"/>
      <c r="C107" s="3"/>
      <c r="I107" s="3"/>
      <c r="J107" s="3"/>
      <c r="K107" s="3"/>
      <c r="L107" s="3"/>
      <c r="M107" s="3"/>
      <c r="N107" s="3"/>
      <c r="O107" s="3"/>
      <c r="P107" s="3"/>
      <c r="Q107" s="3"/>
    </row>
    <row r="108" spans="1:17" ht="16.5" customHeight="1">
      <c r="A108" s="3"/>
      <c r="B108" s="3"/>
      <c r="C108" s="3"/>
      <c r="I108" s="3"/>
      <c r="J108" s="3"/>
      <c r="K108" s="3"/>
      <c r="L108" s="3"/>
      <c r="M108" s="3"/>
      <c r="N108" s="3"/>
      <c r="O108" s="3"/>
      <c r="P108" s="3"/>
      <c r="Q108" s="3"/>
    </row>
    <row r="109" spans="1:17" ht="16.5" customHeight="1">
      <c r="A109" s="3"/>
      <c r="B109" s="3"/>
      <c r="C109" s="3"/>
      <c r="I109" s="3"/>
      <c r="J109" s="3"/>
      <c r="K109" s="3"/>
      <c r="L109" s="3"/>
      <c r="M109" s="3"/>
      <c r="N109" s="3"/>
      <c r="O109" s="3"/>
      <c r="P109" s="3"/>
      <c r="Q109" s="3"/>
    </row>
    <row r="110" spans="1:17" ht="16.5" customHeight="1">
      <c r="A110" s="3"/>
      <c r="B110" s="3"/>
      <c r="C110" s="3"/>
      <c r="I110" s="3"/>
      <c r="J110" s="3"/>
      <c r="K110" s="3"/>
      <c r="L110" s="3"/>
      <c r="M110" s="3"/>
      <c r="N110" s="3"/>
      <c r="O110" s="3"/>
      <c r="P110" s="3"/>
      <c r="Q110" s="3"/>
    </row>
    <row r="111" spans="1:17" ht="16.5" customHeight="1">
      <c r="A111" s="3"/>
      <c r="B111" s="3"/>
      <c r="C111" s="3"/>
      <c r="I111" s="3"/>
      <c r="J111" s="3"/>
      <c r="K111" s="3"/>
      <c r="L111" s="3"/>
      <c r="M111" s="3"/>
      <c r="N111" s="3"/>
      <c r="O111" s="3"/>
      <c r="P111" s="3"/>
      <c r="Q111" s="3"/>
    </row>
    <row r="112" spans="1:17" ht="16.5" customHeight="1">
      <c r="A112" s="3"/>
      <c r="B112" s="3"/>
      <c r="C112" s="3"/>
      <c r="I112" s="3"/>
      <c r="J112" s="3"/>
      <c r="K112" s="3"/>
      <c r="L112" s="3"/>
      <c r="M112" s="3"/>
      <c r="N112" s="3"/>
      <c r="O112" s="3"/>
      <c r="P112" s="3"/>
      <c r="Q112" s="3"/>
    </row>
    <row r="113" spans="1:17" ht="16.5" customHeight="1">
      <c r="A113" s="3"/>
      <c r="B113" s="3"/>
      <c r="C113" s="3"/>
      <c r="I113" s="3"/>
      <c r="J113" s="3"/>
      <c r="K113" s="3"/>
      <c r="L113" s="3"/>
      <c r="M113" s="3"/>
      <c r="N113" s="3"/>
      <c r="O113" s="3"/>
      <c r="P113" s="3"/>
      <c r="Q113" s="3"/>
    </row>
    <row r="114" spans="1:17" ht="16.5" customHeight="1">
      <c r="A114" s="3"/>
      <c r="B114" s="3"/>
      <c r="C114" s="3"/>
      <c r="I114" s="3"/>
      <c r="J114" s="3"/>
      <c r="K114" s="3"/>
      <c r="L114" s="3"/>
      <c r="M114" s="3"/>
      <c r="N114" s="3"/>
      <c r="O114" s="3"/>
      <c r="P114" s="3"/>
      <c r="Q114" s="3"/>
    </row>
    <row r="115" spans="1:17" ht="16.5" customHeight="1">
      <c r="A115" s="3"/>
      <c r="B115" s="3"/>
      <c r="C115" s="3"/>
      <c r="I115" s="3"/>
      <c r="J115" s="3"/>
      <c r="K115" s="3"/>
      <c r="L115" s="3"/>
      <c r="M115" s="3"/>
      <c r="N115" s="3"/>
      <c r="O115" s="3"/>
      <c r="P115" s="3"/>
      <c r="Q115" s="3"/>
    </row>
    <row r="116" spans="1:17" ht="16.5" customHeight="1">
      <c r="A116" s="3"/>
      <c r="B116" s="3"/>
      <c r="C116" s="3"/>
      <c r="I116" s="3"/>
      <c r="J116" s="3"/>
      <c r="K116" s="3"/>
      <c r="L116" s="3"/>
      <c r="M116" s="3"/>
      <c r="N116" s="3"/>
      <c r="O116" s="3"/>
      <c r="P116" s="3"/>
      <c r="Q116" s="3"/>
    </row>
    <row r="117" spans="1:17" ht="16.5" customHeight="1">
      <c r="A117" s="3"/>
      <c r="B117" s="3"/>
      <c r="C117" s="3"/>
      <c r="I117" s="3"/>
      <c r="J117" s="3"/>
      <c r="K117" s="3"/>
      <c r="L117" s="3"/>
      <c r="M117" s="3"/>
      <c r="N117" s="3"/>
      <c r="O117" s="3"/>
      <c r="P117" s="3"/>
      <c r="Q117" s="3"/>
    </row>
    <row r="118" spans="1:17" ht="16.5" customHeight="1">
      <c r="A118" s="3"/>
      <c r="B118" s="3"/>
      <c r="C118" s="3"/>
      <c r="I118" s="3"/>
      <c r="J118" s="3"/>
      <c r="K118" s="3"/>
      <c r="L118" s="3"/>
      <c r="M118" s="3"/>
      <c r="N118" s="3"/>
      <c r="O118" s="3"/>
      <c r="P118" s="3"/>
      <c r="Q118" s="3"/>
    </row>
    <row r="119" spans="1:17" ht="16.5" customHeight="1">
      <c r="A119" s="3"/>
      <c r="B119" s="3"/>
      <c r="C119" s="3"/>
      <c r="I119" s="3"/>
      <c r="J119" s="3"/>
      <c r="K119" s="3"/>
      <c r="L119" s="3"/>
      <c r="M119" s="3"/>
      <c r="N119" s="3"/>
      <c r="O119" s="3"/>
      <c r="P119" s="3"/>
      <c r="Q119" s="3"/>
    </row>
    <row r="120" spans="1:17" ht="16.5" customHeight="1">
      <c r="A120" s="3"/>
      <c r="B120" s="3"/>
      <c r="C120" s="3"/>
      <c r="I120" s="3"/>
      <c r="J120" s="3"/>
      <c r="K120" s="3"/>
      <c r="L120" s="3"/>
      <c r="M120" s="3"/>
      <c r="N120" s="3"/>
      <c r="O120" s="3"/>
      <c r="P120" s="3"/>
      <c r="Q120" s="3"/>
    </row>
    <row r="121" spans="1:17" ht="16.5" customHeight="1">
      <c r="A121" s="3"/>
      <c r="B121" s="3"/>
      <c r="C121" s="3"/>
      <c r="I121" s="3"/>
      <c r="J121" s="3"/>
      <c r="K121" s="3"/>
      <c r="L121" s="3"/>
      <c r="M121" s="3"/>
      <c r="N121" s="3"/>
      <c r="O121" s="3"/>
      <c r="P121" s="3"/>
      <c r="Q121" s="3"/>
    </row>
    <row r="122" spans="1:17" ht="16.5" customHeight="1">
      <c r="A122" s="3"/>
      <c r="B122" s="3"/>
      <c r="C122" s="3"/>
      <c r="I122" s="3"/>
      <c r="J122" s="3"/>
      <c r="K122" s="3"/>
      <c r="L122" s="3"/>
      <c r="M122" s="3"/>
      <c r="N122" s="3"/>
      <c r="O122" s="3"/>
      <c r="P122" s="3"/>
      <c r="Q122" s="3"/>
    </row>
    <row r="123" spans="1:17" ht="16.5" customHeight="1">
      <c r="A123" s="3"/>
      <c r="B123" s="3"/>
      <c r="C123" s="3"/>
      <c r="I123" s="3"/>
      <c r="J123" s="3"/>
      <c r="K123" s="3"/>
      <c r="L123" s="3"/>
      <c r="M123" s="3"/>
      <c r="N123" s="3"/>
      <c r="O123" s="3"/>
      <c r="P123" s="3"/>
      <c r="Q123" s="3"/>
    </row>
    <row r="124" spans="1:17" ht="16.5" customHeight="1">
      <c r="A124" s="3"/>
      <c r="B124" s="3"/>
      <c r="C124" s="3"/>
      <c r="I124" s="3"/>
      <c r="J124" s="3"/>
      <c r="K124" s="3"/>
      <c r="L124" s="3"/>
      <c r="M124" s="3"/>
      <c r="N124" s="3"/>
      <c r="O124" s="3"/>
      <c r="P124" s="3"/>
      <c r="Q124" s="3"/>
    </row>
    <row r="125" spans="1:17" ht="16.5" customHeight="1">
      <c r="A125" s="3"/>
      <c r="B125" s="3"/>
      <c r="C125" s="3"/>
      <c r="I125" s="3"/>
      <c r="J125" s="3"/>
      <c r="K125" s="3"/>
      <c r="L125" s="3"/>
      <c r="M125" s="3"/>
      <c r="N125" s="3"/>
      <c r="O125" s="3"/>
      <c r="P125" s="3"/>
      <c r="Q125" s="3"/>
    </row>
    <row r="126" spans="1:17" ht="16.5" customHeight="1">
      <c r="A126" s="3"/>
      <c r="B126" s="3"/>
      <c r="C126" s="3"/>
      <c r="I126" s="3"/>
      <c r="J126" s="3"/>
      <c r="K126" s="3"/>
      <c r="L126" s="3"/>
      <c r="M126" s="3"/>
      <c r="N126" s="3"/>
      <c r="O126" s="3"/>
      <c r="P126" s="3"/>
      <c r="Q126" s="3"/>
    </row>
    <row r="127" spans="1:17" ht="16.5" customHeight="1">
      <c r="A127" s="3"/>
      <c r="B127" s="3"/>
      <c r="C127" s="3"/>
      <c r="I127" s="3"/>
      <c r="J127" s="3"/>
      <c r="K127" s="3"/>
      <c r="L127" s="3"/>
      <c r="M127" s="3"/>
      <c r="N127" s="3"/>
      <c r="O127" s="3"/>
      <c r="P127" s="3"/>
      <c r="Q127" s="3"/>
    </row>
    <row r="128" spans="1:17" ht="16.5" customHeight="1">
      <c r="A128" s="3"/>
      <c r="B128" s="3"/>
      <c r="C128" s="3"/>
      <c r="I128" s="3"/>
      <c r="J128" s="3"/>
      <c r="K128" s="3"/>
      <c r="L128" s="3"/>
      <c r="M128" s="3"/>
      <c r="N128" s="3"/>
      <c r="O128" s="3"/>
      <c r="P128" s="3"/>
      <c r="Q128" s="3"/>
    </row>
    <row r="129" spans="1:17" ht="16.5" customHeight="1">
      <c r="A129" s="3"/>
      <c r="B129" s="3"/>
      <c r="C129" s="3"/>
      <c r="I129" s="3"/>
      <c r="J129" s="3"/>
      <c r="K129" s="3"/>
      <c r="L129" s="3"/>
      <c r="M129" s="3"/>
      <c r="N129" s="3"/>
      <c r="O129" s="3"/>
      <c r="P129" s="3"/>
      <c r="Q129" s="3"/>
    </row>
    <row r="130" spans="1:17" ht="16.5" customHeight="1">
      <c r="A130" s="3"/>
      <c r="B130" s="3"/>
      <c r="C130" s="3"/>
      <c r="I130" s="3"/>
      <c r="J130" s="3"/>
      <c r="K130" s="3"/>
      <c r="L130" s="3"/>
      <c r="M130" s="3"/>
      <c r="N130" s="3"/>
      <c r="O130" s="3"/>
      <c r="P130" s="3"/>
      <c r="Q130" s="3"/>
    </row>
    <row r="131" spans="1:17" ht="16.5" customHeight="1">
      <c r="A131" s="3"/>
      <c r="B131" s="3"/>
      <c r="C131" s="3"/>
      <c r="I131" s="3"/>
      <c r="J131" s="3"/>
      <c r="K131" s="3"/>
      <c r="L131" s="3"/>
      <c r="M131" s="3"/>
      <c r="N131" s="3"/>
      <c r="O131" s="3"/>
      <c r="P131" s="3"/>
      <c r="Q131" s="3"/>
    </row>
    <row r="132" spans="1:17" ht="16.5" customHeight="1">
      <c r="A132" s="3"/>
      <c r="B132" s="3"/>
      <c r="C132" s="3"/>
      <c r="I132" s="3"/>
      <c r="J132" s="3"/>
      <c r="K132" s="3"/>
      <c r="L132" s="3"/>
      <c r="M132" s="3"/>
      <c r="N132" s="3"/>
      <c r="O132" s="3"/>
      <c r="P132" s="3"/>
      <c r="Q132" s="3"/>
    </row>
    <row r="133" spans="1:17" ht="16.5" customHeight="1">
      <c r="A133" s="3"/>
      <c r="B133" s="3"/>
      <c r="C133" s="3"/>
      <c r="I133" s="3"/>
      <c r="J133" s="3"/>
      <c r="K133" s="3"/>
      <c r="L133" s="3"/>
      <c r="M133" s="3"/>
      <c r="N133" s="3"/>
      <c r="O133" s="3"/>
      <c r="P133" s="3"/>
      <c r="Q133" s="3"/>
    </row>
    <row r="134" spans="1:17" ht="16.5" customHeight="1">
      <c r="A134" s="3"/>
      <c r="B134" s="3"/>
      <c r="C134" s="3"/>
      <c r="I134" s="3"/>
      <c r="J134" s="3"/>
      <c r="K134" s="3"/>
      <c r="L134" s="3"/>
      <c r="M134" s="3"/>
      <c r="N134" s="3"/>
      <c r="O134" s="3"/>
      <c r="P134" s="3"/>
      <c r="Q134" s="3"/>
    </row>
    <row r="135" spans="1:17" ht="16.5" customHeight="1">
      <c r="A135" s="3"/>
      <c r="B135" s="3"/>
      <c r="C135" s="3"/>
      <c r="I135" s="3"/>
      <c r="J135" s="3"/>
      <c r="K135" s="3"/>
      <c r="L135" s="3"/>
      <c r="M135" s="3"/>
      <c r="N135" s="3"/>
      <c r="O135" s="3"/>
      <c r="P135" s="3"/>
      <c r="Q135" s="3"/>
    </row>
    <row r="136" spans="1:17" ht="16.5" customHeight="1">
      <c r="A136" s="3"/>
      <c r="B136" s="3"/>
      <c r="C136" s="3"/>
      <c r="I136" s="3"/>
      <c r="J136" s="3"/>
      <c r="K136" s="3"/>
      <c r="L136" s="3"/>
      <c r="M136" s="3"/>
      <c r="N136" s="3"/>
      <c r="O136" s="3"/>
      <c r="P136" s="3"/>
      <c r="Q136" s="3"/>
    </row>
    <row r="137" spans="1:17" ht="16.5" customHeight="1">
      <c r="A137" s="3"/>
      <c r="B137" s="3"/>
      <c r="C137" s="3"/>
      <c r="I137" s="3"/>
      <c r="J137" s="3"/>
      <c r="K137" s="3"/>
      <c r="L137" s="3"/>
      <c r="M137" s="3"/>
      <c r="N137" s="3"/>
      <c r="O137" s="3"/>
      <c r="P137" s="3"/>
      <c r="Q137" s="3"/>
    </row>
    <row r="138" spans="1:17" ht="16.5" customHeight="1">
      <c r="A138" s="3"/>
      <c r="B138" s="3"/>
      <c r="C138" s="3"/>
      <c r="I138" s="3"/>
      <c r="J138" s="3"/>
      <c r="K138" s="3"/>
      <c r="L138" s="3"/>
      <c r="M138" s="3"/>
      <c r="N138" s="3"/>
      <c r="O138" s="3"/>
      <c r="P138" s="3"/>
      <c r="Q138" s="3"/>
    </row>
    <row r="139" spans="1:17" ht="16.5" customHeight="1">
      <c r="A139" s="3"/>
      <c r="B139" s="3"/>
      <c r="C139" s="3"/>
      <c r="I139" s="3"/>
      <c r="J139" s="3"/>
      <c r="K139" s="3"/>
      <c r="L139" s="3"/>
      <c r="M139" s="3"/>
      <c r="N139" s="3"/>
      <c r="O139" s="3"/>
      <c r="P139" s="3"/>
      <c r="Q139" s="3"/>
    </row>
    <row r="140" spans="1:17" ht="16.5" customHeight="1">
      <c r="A140" s="3"/>
      <c r="B140" s="3"/>
      <c r="C140" s="3"/>
      <c r="I140" s="3"/>
      <c r="J140" s="3"/>
      <c r="K140" s="3"/>
      <c r="L140" s="3"/>
      <c r="M140" s="3"/>
      <c r="N140" s="3"/>
      <c r="O140" s="3"/>
      <c r="P140" s="3"/>
      <c r="Q140" s="3"/>
    </row>
    <row r="141" spans="1:17" ht="16.5" customHeight="1">
      <c r="A141" s="3"/>
      <c r="B141" s="3"/>
      <c r="C141" s="3"/>
      <c r="I141" s="3"/>
      <c r="J141" s="3"/>
      <c r="K141" s="3"/>
      <c r="L141" s="3"/>
      <c r="M141" s="3"/>
      <c r="N141" s="3"/>
      <c r="O141" s="3"/>
      <c r="P141" s="3"/>
      <c r="Q141" s="3"/>
    </row>
    <row r="142" spans="1:17" ht="16.5" customHeight="1">
      <c r="A142" s="3"/>
      <c r="B142" s="3"/>
      <c r="C142" s="3"/>
      <c r="I142" s="3"/>
      <c r="J142" s="3"/>
      <c r="K142" s="3"/>
      <c r="L142" s="3"/>
      <c r="M142" s="3"/>
      <c r="N142" s="3"/>
      <c r="O142" s="3"/>
      <c r="P142" s="3"/>
      <c r="Q142" s="3"/>
    </row>
    <row r="143" spans="1:17" ht="16.5" customHeight="1">
      <c r="A143" s="3"/>
      <c r="B143" s="3"/>
      <c r="C143" s="3"/>
      <c r="I143" s="3"/>
      <c r="J143" s="3"/>
      <c r="K143" s="3"/>
      <c r="L143" s="3"/>
      <c r="M143" s="3"/>
      <c r="N143" s="3"/>
      <c r="O143" s="3"/>
      <c r="P143" s="3"/>
      <c r="Q143" s="3"/>
    </row>
    <row r="144" spans="1:17" ht="16.5" customHeight="1">
      <c r="A144" s="3"/>
      <c r="B144" s="3"/>
      <c r="C144" s="3"/>
      <c r="I144" s="3"/>
      <c r="J144" s="3"/>
      <c r="K144" s="3"/>
      <c r="L144" s="3"/>
      <c r="M144" s="3"/>
      <c r="N144" s="3"/>
      <c r="O144" s="3"/>
      <c r="P144" s="3"/>
      <c r="Q144" s="3"/>
    </row>
    <row r="145" spans="1:17" ht="16.5" customHeight="1">
      <c r="A145" s="3"/>
      <c r="B145" s="3"/>
      <c r="C145" s="3"/>
      <c r="I145" s="3"/>
      <c r="J145" s="3"/>
      <c r="K145" s="3"/>
      <c r="L145" s="3"/>
      <c r="M145" s="3"/>
      <c r="N145" s="3"/>
      <c r="O145" s="3"/>
      <c r="P145" s="3"/>
      <c r="Q145" s="3"/>
    </row>
    <row r="146" spans="1:17" ht="16.5" customHeight="1">
      <c r="A146" s="3"/>
      <c r="B146" s="3"/>
      <c r="C146" s="3"/>
      <c r="I146" s="3"/>
      <c r="J146" s="3"/>
      <c r="K146" s="3"/>
      <c r="L146" s="3"/>
      <c r="M146" s="3"/>
      <c r="N146" s="3"/>
      <c r="O146" s="3"/>
      <c r="P146" s="3"/>
      <c r="Q146" s="3"/>
    </row>
    <row r="147" spans="1:17" ht="16.5" customHeight="1">
      <c r="A147" s="3"/>
      <c r="B147" s="3"/>
      <c r="C147" s="3"/>
      <c r="I147" s="3"/>
      <c r="J147" s="3"/>
      <c r="K147" s="3"/>
      <c r="L147" s="3"/>
      <c r="M147" s="3"/>
      <c r="N147" s="3"/>
      <c r="O147" s="3"/>
      <c r="P147" s="3"/>
      <c r="Q147" s="3"/>
    </row>
    <row r="148" spans="1:17" ht="16.5" customHeight="1">
      <c r="A148" s="3"/>
      <c r="B148" s="3"/>
      <c r="C148" s="3"/>
      <c r="I148" s="3"/>
      <c r="J148" s="3"/>
      <c r="K148" s="3"/>
      <c r="L148" s="3"/>
      <c r="M148" s="3"/>
      <c r="N148" s="3"/>
      <c r="O148" s="3"/>
      <c r="P148" s="3"/>
      <c r="Q148" s="3"/>
    </row>
    <row r="149" spans="1:17" ht="16.5" customHeight="1">
      <c r="A149" s="3"/>
      <c r="B149" s="3"/>
      <c r="C149" s="3"/>
      <c r="I149" s="3"/>
      <c r="J149" s="3"/>
      <c r="K149" s="3"/>
      <c r="L149" s="3"/>
      <c r="M149" s="3"/>
      <c r="N149" s="3"/>
      <c r="O149" s="3"/>
      <c r="P149" s="3"/>
      <c r="Q149" s="3"/>
    </row>
    <row r="150" spans="1:17" ht="16.5" customHeight="1">
      <c r="A150" s="3"/>
      <c r="B150" s="3"/>
      <c r="C150" s="3"/>
      <c r="I150" s="3"/>
      <c r="J150" s="3"/>
      <c r="K150" s="3"/>
      <c r="L150" s="3"/>
      <c r="M150" s="3"/>
      <c r="N150" s="3"/>
      <c r="O150" s="3"/>
      <c r="P150" s="3"/>
      <c r="Q150" s="3"/>
    </row>
    <row r="151" spans="1:17" ht="16.5" customHeight="1">
      <c r="A151" s="3"/>
      <c r="B151" s="3"/>
      <c r="C151" s="3"/>
      <c r="I151" s="3"/>
      <c r="J151" s="3"/>
      <c r="K151" s="3"/>
      <c r="L151" s="3"/>
      <c r="M151" s="3"/>
      <c r="N151" s="3"/>
      <c r="O151" s="3"/>
      <c r="P151" s="3"/>
      <c r="Q151" s="3"/>
    </row>
    <row r="152" spans="1:17" ht="16.5" customHeight="1">
      <c r="A152" s="3"/>
      <c r="B152" s="3"/>
      <c r="C152" s="3"/>
      <c r="I152" s="3"/>
      <c r="J152" s="3"/>
      <c r="K152" s="3"/>
      <c r="L152" s="3"/>
      <c r="M152" s="3"/>
      <c r="N152" s="3"/>
      <c r="O152" s="3"/>
      <c r="P152" s="3"/>
      <c r="Q152" s="3"/>
    </row>
    <row r="153" spans="1:17" ht="16.5" customHeight="1">
      <c r="A153" s="3"/>
      <c r="B153" s="3"/>
      <c r="C153" s="3"/>
      <c r="I153" s="3"/>
      <c r="J153" s="3"/>
      <c r="K153" s="3"/>
      <c r="L153" s="3"/>
      <c r="M153" s="3"/>
      <c r="N153" s="3"/>
      <c r="O153" s="3"/>
      <c r="P153" s="3"/>
      <c r="Q153" s="3"/>
    </row>
    <row r="154" spans="1:17" ht="16.5" customHeight="1">
      <c r="A154" s="3"/>
      <c r="B154" s="3"/>
      <c r="C154" s="3"/>
      <c r="I154" s="3"/>
      <c r="J154" s="3"/>
      <c r="K154" s="3"/>
      <c r="L154" s="3"/>
      <c r="M154" s="3"/>
      <c r="N154" s="3"/>
      <c r="O154" s="3"/>
      <c r="P154" s="3"/>
      <c r="Q154" s="3"/>
    </row>
    <row r="155" spans="1:17" ht="16.5" customHeight="1">
      <c r="A155" s="3"/>
      <c r="B155" s="3"/>
      <c r="C155" s="3"/>
      <c r="I155" s="3"/>
      <c r="J155" s="3"/>
      <c r="K155" s="3"/>
      <c r="L155" s="3"/>
      <c r="M155" s="3"/>
      <c r="N155" s="3"/>
      <c r="O155" s="3"/>
      <c r="P155" s="3"/>
      <c r="Q155" s="3"/>
    </row>
    <row r="156" spans="1:17" ht="16.5" customHeight="1">
      <c r="A156" s="3"/>
      <c r="B156" s="3"/>
      <c r="C156" s="3"/>
      <c r="I156" s="3"/>
      <c r="J156" s="3"/>
      <c r="K156" s="3"/>
      <c r="L156" s="3"/>
      <c r="M156" s="3"/>
      <c r="N156" s="3"/>
      <c r="O156" s="3"/>
      <c r="P156" s="3"/>
      <c r="Q156" s="3"/>
    </row>
    <row r="157" spans="1:17" ht="16.5" customHeight="1">
      <c r="A157" s="3"/>
      <c r="B157" s="3"/>
      <c r="C157" s="3"/>
      <c r="I157" s="3"/>
      <c r="J157" s="3"/>
      <c r="K157" s="3"/>
      <c r="L157" s="3"/>
      <c r="M157" s="3"/>
      <c r="N157" s="3"/>
      <c r="O157" s="3"/>
      <c r="P157" s="3"/>
      <c r="Q157" s="3"/>
    </row>
    <row r="158" spans="1:17" ht="16.5" customHeight="1">
      <c r="A158" s="3"/>
      <c r="B158" s="3"/>
      <c r="C158" s="3"/>
      <c r="I158" s="3"/>
      <c r="J158" s="3"/>
      <c r="K158" s="3"/>
      <c r="L158" s="3"/>
      <c r="M158" s="3"/>
      <c r="N158" s="3"/>
      <c r="O158" s="3"/>
      <c r="P158" s="3"/>
      <c r="Q158" s="3"/>
    </row>
    <row r="159" spans="1:17" ht="16.5" customHeight="1">
      <c r="A159" s="3"/>
      <c r="B159" s="3"/>
      <c r="C159" s="3"/>
      <c r="I159" s="3"/>
      <c r="J159" s="3"/>
      <c r="K159" s="3"/>
      <c r="L159" s="3"/>
      <c r="M159" s="3"/>
      <c r="N159" s="3"/>
      <c r="O159" s="3"/>
      <c r="P159" s="3"/>
      <c r="Q159" s="3"/>
    </row>
    <row r="160" spans="1:17" ht="16.5" customHeight="1">
      <c r="A160" s="3"/>
      <c r="B160" s="3"/>
      <c r="C160" s="3"/>
      <c r="I160" s="3"/>
      <c r="J160" s="3"/>
      <c r="K160" s="3"/>
      <c r="L160" s="3"/>
      <c r="M160" s="3"/>
      <c r="N160" s="3"/>
      <c r="O160" s="3"/>
      <c r="P160" s="3"/>
      <c r="Q160" s="3"/>
    </row>
    <row r="161" spans="1:17" ht="16.5" customHeight="1">
      <c r="A161" s="3"/>
      <c r="B161" s="3"/>
      <c r="C161" s="3"/>
      <c r="I161" s="3"/>
      <c r="J161" s="3"/>
      <c r="K161" s="3"/>
      <c r="L161" s="3"/>
      <c r="M161" s="3"/>
      <c r="N161" s="3"/>
      <c r="O161" s="3"/>
      <c r="P161" s="3"/>
      <c r="Q161" s="3"/>
    </row>
    <row r="162" spans="1:17" ht="16.5" customHeight="1">
      <c r="A162" s="3"/>
      <c r="B162" s="3"/>
      <c r="C162" s="3"/>
      <c r="I162" s="3"/>
      <c r="J162" s="3"/>
      <c r="K162" s="3"/>
      <c r="L162" s="3"/>
      <c r="M162" s="3"/>
      <c r="N162" s="3"/>
      <c r="O162" s="3"/>
      <c r="P162" s="3"/>
      <c r="Q162" s="3"/>
    </row>
    <row r="163" spans="1:17" ht="16.5" customHeight="1">
      <c r="A163" s="3"/>
      <c r="B163" s="3"/>
      <c r="C163" s="3"/>
      <c r="I163" s="3"/>
      <c r="J163" s="3"/>
      <c r="K163" s="3"/>
      <c r="L163" s="3"/>
      <c r="M163" s="3"/>
      <c r="N163" s="3"/>
      <c r="O163" s="3"/>
      <c r="P163" s="3"/>
      <c r="Q163" s="3"/>
    </row>
    <row r="164" spans="1:17" ht="16.5" customHeight="1">
      <c r="A164" s="3"/>
      <c r="B164" s="3"/>
      <c r="C164" s="3"/>
      <c r="I164" s="3"/>
      <c r="J164" s="3"/>
      <c r="K164" s="3"/>
      <c r="L164" s="3"/>
      <c r="M164" s="3"/>
      <c r="N164" s="3"/>
      <c r="O164" s="3"/>
      <c r="P164" s="3"/>
      <c r="Q164" s="3"/>
    </row>
    <row r="165" spans="1:17" ht="16.5" customHeight="1">
      <c r="A165" s="3"/>
      <c r="B165" s="3"/>
      <c r="C165" s="3"/>
      <c r="I165" s="3"/>
      <c r="J165" s="3"/>
      <c r="K165" s="3"/>
      <c r="L165" s="3"/>
      <c r="M165" s="3"/>
      <c r="N165" s="3"/>
      <c r="O165" s="3"/>
      <c r="P165" s="3"/>
      <c r="Q165" s="3"/>
    </row>
    <row r="166" spans="1:17" ht="16.5" customHeight="1">
      <c r="A166" s="3"/>
      <c r="B166" s="3"/>
      <c r="C166" s="3"/>
      <c r="I166" s="3"/>
      <c r="J166" s="3"/>
      <c r="K166" s="3"/>
      <c r="L166" s="3"/>
      <c r="M166" s="3"/>
      <c r="N166" s="3"/>
      <c r="O166" s="3"/>
      <c r="P166" s="3"/>
      <c r="Q166" s="3"/>
    </row>
    <row r="167" spans="1:17" ht="16.5" customHeight="1">
      <c r="A167" s="3"/>
      <c r="B167" s="3"/>
      <c r="C167" s="3"/>
      <c r="I167" s="3"/>
      <c r="J167" s="3"/>
      <c r="K167" s="3"/>
      <c r="L167" s="3"/>
      <c r="M167" s="3"/>
      <c r="N167" s="3"/>
      <c r="O167" s="3"/>
      <c r="P167" s="3"/>
      <c r="Q167" s="3"/>
    </row>
    <row r="168" spans="1:17" ht="16.5" customHeight="1">
      <c r="A168" s="3"/>
      <c r="B168" s="3"/>
      <c r="C168" s="3"/>
      <c r="I168" s="3"/>
      <c r="J168" s="3"/>
      <c r="K168" s="3"/>
      <c r="L168" s="3"/>
      <c r="M168" s="3"/>
      <c r="N168" s="3"/>
      <c r="O168" s="3"/>
      <c r="P168" s="3"/>
      <c r="Q168" s="3"/>
    </row>
    <row r="169" spans="1:17" ht="16.5" customHeight="1">
      <c r="A169" s="3"/>
      <c r="B169" s="3"/>
      <c r="C169" s="3"/>
      <c r="I169" s="3"/>
      <c r="J169" s="3"/>
      <c r="K169" s="3"/>
      <c r="L169" s="3"/>
      <c r="M169" s="3"/>
      <c r="N169" s="3"/>
      <c r="O169" s="3"/>
      <c r="P169" s="3"/>
      <c r="Q169" s="3"/>
    </row>
    <row r="170" spans="1:17" ht="16.5" customHeight="1">
      <c r="A170" s="3"/>
      <c r="B170" s="3"/>
      <c r="C170" s="3"/>
      <c r="I170" s="3"/>
      <c r="J170" s="3"/>
      <c r="K170" s="3"/>
      <c r="L170" s="3"/>
      <c r="M170" s="3"/>
      <c r="N170" s="3"/>
      <c r="O170" s="3"/>
      <c r="P170" s="3"/>
      <c r="Q170" s="3"/>
    </row>
    <row r="171" spans="1:17" ht="16.5" customHeight="1">
      <c r="A171" s="3"/>
      <c r="B171" s="3"/>
      <c r="C171" s="3"/>
      <c r="I171" s="3"/>
      <c r="J171" s="3"/>
      <c r="K171" s="3"/>
      <c r="L171" s="3"/>
      <c r="M171" s="3"/>
      <c r="N171" s="3"/>
      <c r="O171" s="3"/>
      <c r="P171" s="3"/>
      <c r="Q171" s="3"/>
    </row>
    <row r="172" spans="1:17" ht="16.5" customHeight="1">
      <c r="A172" s="3"/>
      <c r="B172" s="3"/>
      <c r="C172" s="3"/>
      <c r="I172" s="3"/>
      <c r="J172" s="3"/>
      <c r="K172" s="3"/>
      <c r="L172" s="3"/>
      <c r="M172" s="3"/>
      <c r="N172" s="3"/>
      <c r="O172" s="3"/>
      <c r="P172" s="3"/>
      <c r="Q172" s="3"/>
    </row>
    <row r="173" spans="1:17" ht="16.5" customHeight="1">
      <c r="A173" s="3"/>
      <c r="B173" s="3"/>
      <c r="C173" s="3"/>
      <c r="I173" s="3"/>
      <c r="J173" s="3"/>
      <c r="K173" s="3"/>
      <c r="L173" s="3"/>
      <c r="M173" s="3"/>
      <c r="N173" s="3"/>
      <c r="O173" s="3"/>
      <c r="P173" s="3"/>
      <c r="Q173" s="3"/>
    </row>
    <row r="174" spans="1:17" ht="16.5" customHeight="1">
      <c r="A174" s="3"/>
      <c r="B174" s="3"/>
      <c r="C174" s="3"/>
      <c r="I174" s="3"/>
      <c r="J174" s="3"/>
      <c r="K174" s="3"/>
      <c r="L174" s="3"/>
      <c r="M174" s="3"/>
      <c r="N174" s="3"/>
      <c r="O174" s="3"/>
      <c r="P174" s="3"/>
      <c r="Q174" s="3"/>
    </row>
    <row r="175" spans="1:17" ht="16.5" customHeight="1">
      <c r="A175" s="3"/>
      <c r="B175" s="3"/>
      <c r="C175" s="3"/>
      <c r="I175" s="3"/>
      <c r="J175" s="3"/>
      <c r="K175" s="3"/>
      <c r="L175" s="3"/>
      <c r="M175" s="3"/>
      <c r="N175" s="3"/>
      <c r="O175" s="3"/>
      <c r="P175" s="3"/>
      <c r="Q175" s="3"/>
    </row>
    <row r="176" spans="1:17" ht="16.5" customHeight="1">
      <c r="A176" s="3"/>
      <c r="B176" s="3"/>
      <c r="C176" s="3"/>
      <c r="I176" s="3"/>
      <c r="J176" s="3"/>
      <c r="K176" s="3"/>
      <c r="L176" s="3"/>
      <c r="M176" s="3"/>
      <c r="N176" s="3"/>
      <c r="O176" s="3"/>
      <c r="P176" s="3"/>
      <c r="Q176" s="3"/>
    </row>
    <row r="177" spans="1:17" ht="16.5" customHeight="1">
      <c r="A177" s="3"/>
      <c r="B177" s="3"/>
      <c r="C177" s="3"/>
      <c r="I177" s="3"/>
      <c r="J177" s="3"/>
      <c r="K177" s="3"/>
      <c r="L177" s="3"/>
      <c r="M177" s="3"/>
      <c r="N177" s="3"/>
      <c r="O177" s="3"/>
      <c r="P177" s="3"/>
      <c r="Q177" s="3"/>
    </row>
    <row r="178" spans="1:17" ht="16.5" customHeight="1">
      <c r="A178" s="3"/>
      <c r="B178" s="3"/>
      <c r="C178" s="3"/>
      <c r="I178" s="3"/>
      <c r="J178" s="3"/>
      <c r="K178" s="3"/>
      <c r="L178" s="3"/>
      <c r="M178" s="3"/>
      <c r="N178" s="3"/>
      <c r="O178" s="3"/>
      <c r="P178" s="3"/>
      <c r="Q178" s="3"/>
    </row>
    <row r="179" spans="1:17" ht="16.5" customHeight="1">
      <c r="A179" s="3"/>
      <c r="B179" s="3"/>
      <c r="C179" s="3"/>
      <c r="I179" s="3"/>
      <c r="J179" s="3"/>
      <c r="K179" s="3"/>
      <c r="L179" s="3"/>
      <c r="M179" s="3"/>
      <c r="N179" s="3"/>
      <c r="O179" s="3"/>
      <c r="P179" s="3"/>
      <c r="Q179" s="3"/>
    </row>
    <row r="180" spans="1:17" ht="16.5" customHeight="1">
      <c r="A180" s="3"/>
      <c r="B180" s="3"/>
      <c r="C180" s="3"/>
      <c r="I180" s="3"/>
      <c r="J180" s="3"/>
      <c r="K180" s="3"/>
      <c r="L180" s="3"/>
      <c r="M180" s="3"/>
      <c r="N180" s="3"/>
      <c r="O180" s="3"/>
      <c r="P180" s="3"/>
      <c r="Q180" s="3"/>
    </row>
    <row r="181" spans="1:17" ht="16.5" customHeight="1">
      <c r="A181" s="3"/>
      <c r="B181" s="3"/>
      <c r="C181" s="3"/>
      <c r="I181" s="3"/>
      <c r="J181" s="3"/>
      <c r="K181" s="3"/>
      <c r="L181" s="3"/>
      <c r="M181" s="3"/>
      <c r="N181" s="3"/>
      <c r="O181" s="3"/>
      <c r="P181" s="3"/>
      <c r="Q181" s="3"/>
    </row>
    <row r="182" spans="1:17" ht="16.5" customHeight="1">
      <c r="A182" s="3"/>
      <c r="B182" s="3"/>
      <c r="C182" s="3"/>
      <c r="I182" s="3"/>
      <c r="J182" s="3"/>
      <c r="K182" s="3"/>
      <c r="L182" s="3"/>
      <c r="M182" s="3"/>
      <c r="N182" s="3"/>
      <c r="O182" s="3"/>
      <c r="P182" s="3"/>
      <c r="Q182" s="3"/>
    </row>
    <row r="183" spans="1:17" ht="16.5" customHeight="1">
      <c r="A183" s="3"/>
      <c r="B183" s="3"/>
      <c r="C183" s="3"/>
      <c r="I183" s="3"/>
      <c r="J183" s="3"/>
      <c r="K183" s="3"/>
      <c r="L183" s="3"/>
      <c r="M183" s="3"/>
      <c r="N183" s="3"/>
      <c r="O183" s="3"/>
      <c r="P183" s="3"/>
      <c r="Q183" s="3"/>
    </row>
    <row r="184" spans="1:17" ht="16.5" customHeight="1">
      <c r="A184" s="3"/>
      <c r="B184" s="3"/>
      <c r="C184" s="3"/>
      <c r="I184" s="3"/>
      <c r="J184" s="3"/>
      <c r="K184" s="3"/>
      <c r="L184" s="3"/>
      <c r="M184" s="3"/>
      <c r="N184" s="3"/>
      <c r="O184" s="3"/>
      <c r="P184" s="3"/>
      <c r="Q184" s="3"/>
    </row>
    <row r="185" spans="1:17" ht="16.5" customHeight="1">
      <c r="A185" s="3"/>
      <c r="B185" s="3"/>
      <c r="C185" s="3"/>
      <c r="I185" s="3"/>
      <c r="J185" s="3"/>
      <c r="K185" s="3"/>
      <c r="L185" s="3"/>
      <c r="M185" s="3"/>
      <c r="N185" s="3"/>
      <c r="O185" s="3"/>
      <c r="P185" s="3"/>
      <c r="Q185" s="3"/>
    </row>
    <row r="186" spans="1:17" ht="16.5" customHeight="1">
      <c r="A186" s="3"/>
      <c r="B186" s="3"/>
      <c r="C186" s="3"/>
      <c r="I186" s="3"/>
      <c r="J186" s="3"/>
      <c r="K186" s="3"/>
      <c r="L186" s="3"/>
      <c r="M186" s="3"/>
      <c r="N186" s="3"/>
      <c r="O186" s="3"/>
      <c r="P186" s="3"/>
      <c r="Q186" s="3"/>
    </row>
    <row r="187" spans="1:17" ht="16.5" customHeight="1">
      <c r="A187" s="3"/>
      <c r="B187" s="3"/>
      <c r="C187" s="3"/>
      <c r="I187" s="3"/>
      <c r="J187" s="3"/>
      <c r="K187" s="3"/>
      <c r="L187" s="3"/>
      <c r="M187" s="3"/>
      <c r="N187" s="3"/>
      <c r="O187" s="3"/>
      <c r="P187" s="3"/>
      <c r="Q187" s="3"/>
    </row>
    <row r="188" spans="1:17" ht="16.5" customHeight="1">
      <c r="A188" s="3"/>
      <c r="B188" s="3"/>
      <c r="C188" s="3"/>
      <c r="I188" s="3"/>
      <c r="J188" s="3"/>
      <c r="K188" s="3"/>
      <c r="L188" s="3"/>
      <c r="M188" s="3"/>
      <c r="N188" s="3"/>
      <c r="O188" s="3"/>
      <c r="P188" s="3"/>
      <c r="Q188" s="3"/>
    </row>
    <row r="189" spans="1:17" ht="16.5" customHeight="1">
      <c r="A189" s="3"/>
      <c r="B189" s="3"/>
      <c r="C189" s="3"/>
      <c r="I189" s="3"/>
      <c r="J189" s="3"/>
      <c r="K189" s="3"/>
      <c r="L189" s="3"/>
      <c r="M189" s="3"/>
      <c r="N189" s="3"/>
      <c r="O189" s="3"/>
      <c r="P189" s="3"/>
      <c r="Q189" s="3"/>
    </row>
    <row r="190" spans="1:17" ht="16.5" customHeight="1">
      <c r="A190" s="3"/>
      <c r="B190" s="3"/>
      <c r="C190" s="3"/>
      <c r="I190" s="3"/>
      <c r="J190" s="3"/>
      <c r="K190" s="3"/>
      <c r="L190" s="3"/>
      <c r="M190" s="3"/>
      <c r="N190" s="3"/>
      <c r="O190" s="3"/>
      <c r="P190" s="3"/>
      <c r="Q190" s="3"/>
    </row>
    <row r="191" spans="1:17" ht="16.5" customHeight="1">
      <c r="A191" s="3"/>
      <c r="B191" s="3"/>
      <c r="C191" s="3"/>
      <c r="I191" s="3"/>
      <c r="J191" s="3"/>
      <c r="K191" s="3"/>
      <c r="L191" s="3"/>
      <c r="M191" s="3"/>
      <c r="N191" s="3"/>
      <c r="O191" s="3"/>
      <c r="P191" s="3"/>
      <c r="Q191" s="3"/>
    </row>
    <row r="192" spans="1:17" ht="16.5" customHeight="1">
      <c r="A192" s="3"/>
      <c r="B192" s="3"/>
      <c r="C192" s="3"/>
      <c r="I192" s="3"/>
      <c r="J192" s="3"/>
      <c r="K192" s="3"/>
      <c r="L192" s="3"/>
      <c r="M192" s="3"/>
      <c r="N192" s="3"/>
      <c r="O192" s="3"/>
      <c r="P192" s="3"/>
      <c r="Q192" s="3"/>
    </row>
    <row r="193" spans="1:17" ht="16.5" customHeight="1">
      <c r="A193" s="3"/>
      <c r="B193" s="3"/>
      <c r="C193" s="3"/>
      <c r="I193" s="3"/>
      <c r="J193" s="3"/>
      <c r="K193" s="3"/>
      <c r="L193" s="3"/>
      <c r="M193" s="3"/>
      <c r="N193" s="3"/>
      <c r="O193" s="3"/>
      <c r="P193" s="3"/>
      <c r="Q193" s="3"/>
    </row>
    <row r="194" spans="1:17" ht="16.5" customHeight="1">
      <c r="A194" s="3"/>
      <c r="B194" s="3"/>
      <c r="C194" s="3"/>
      <c r="I194" s="3"/>
      <c r="J194" s="3"/>
      <c r="K194" s="3"/>
      <c r="L194" s="3"/>
      <c r="M194" s="3"/>
      <c r="N194" s="3"/>
      <c r="O194" s="3"/>
      <c r="P194" s="3"/>
      <c r="Q194" s="3"/>
    </row>
    <row r="195" spans="1:17" ht="16.5" customHeight="1">
      <c r="A195" s="3"/>
      <c r="B195" s="3"/>
      <c r="C195" s="3"/>
      <c r="I195" s="3"/>
      <c r="J195" s="3"/>
      <c r="K195" s="3"/>
      <c r="L195" s="3"/>
      <c r="M195" s="3"/>
      <c r="N195" s="3"/>
      <c r="O195" s="3"/>
      <c r="P195" s="3"/>
      <c r="Q195" s="3"/>
    </row>
    <row r="196" spans="1:17" ht="16.5" customHeight="1">
      <c r="A196" s="3"/>
      <c r="B196" s="3"/>
      <c r="C196" s="3"/>
      <c r="I196" s="3"/>
      <c r="J196" s="3"/>
      <c r="K196" s="3"/>
      <c r="L196" s="3"/>
      <c r="M196" s="3"/>
      <c r="N196" s="3"/>
      <c r="O196" s="3"/>
      <c r="P196" s="3"/>
      <c r="Q196" s="3"/>
    </row>
    <row r="197" spans="1:17" ht="16.5" customHeight="1">
      <c r="A197" s="3"/>
      <c r="B197" s="3"/>
      <c r="C197" s="3"/>
      <c r="I197" s="3"/>
      <c r="J197" s="3"/>
      <c r="K197" s="3"/>
      <c r="L197" s="3"/>
      <c r="M197" s="3"/>
      <c r="N197" s="3"/>
      <c r="O197" s="3"/>
      <c r="P197" s="3"/>
      <c r="Q197" s="3"/>
    </row>
    <row r="198" spans="1:17" ht="16.5" customHeight="1">
      <c r="A198" s="3"/>
      <c r="B198" s="3"/>
      <c r="C198" s="3"/>
      <c r="I198" s="3"/>
      <c r="J198" s="3"/>
      <c r="K198" s="3"/>
      <c r="L198" s="3"/>
      <c r="M198" s="3"/>
      <c r="N198" s="3"/>
      <c r="O198" s="3"/>
      <c r="P198" s="3"/>
      <c r="Q198" s="3"/>
    </row>
    <row r="199" spans="1:17" ht="16.5" customHeight="1">
      <c r="A199" s="3"/>
      <c r="B199" s="3"/>
      <c r="C199" s="3"/>
      <c r="I199" s="3"/>
      <c r="J199" s="3"/>
      <c r="K199" s="3"/>
      <c r="L199" s="3"/>
      <c r="M199" s="3"/>
      <c r="N199" s="3"/>
      <c r="O199" s="3"/>
      <c r="P199" s="3"/>
      <c r="Q199" s="3"/>
    </row>
    <row r="200" spans="1:17" ht="16.5" customHeight="1">
      <c r="A200" s="3"/>
      <c r="B200" s="3"/>
      <c r="C200" s="3"/>
      <c r="I200" s="3"/>
      <c r="J200" s="3"/>
      <c r="K200" s="3"/>
      <c r="L200" s="3"/>
      <c r="M200" s="3"/>
      <c r="N200" s="3"/>
      <c r="O200" s="3"/>
      <c r="P200" s="3"/>
      <c r="Q200" s="3"/>
    </row>
    <row r="201" spans="1:17" ht="16.5" customHeight="1">
      <c r="A201" s="3"/>
      <c r="B201" s="3"/>
      <c r="C201" s="3"/>
      <c r="I201" s="3"/>
      <c r="J201" s="3"/>
      <c r="K201" s="3"/>
      <c r="L201" s="3"/>
      <c r="M201" s="3"/>
      <c r="N201" s="3"/>
      <c r="O201" s="3"/>
      <c r="P201" s="3"/>
      <c r="Q201" s="3"/>
    </row>
    <row r="202" spans="1:17" ht="16.5" customHeight="1">
      <c r="A202" s="3"/>
      <c r="B202" s="3"/>
      <c r="C202" s="3"/>
      <c r="I202" s="3"/>
      <c r="J202" s="3"/>
      <c r="K202" s="3"/>
      <c r="L202" s="3"/>
      <c r="M202" s="3"/>
      <c r="N202" s="3"/>
      <c r="O202" s="3"/>
      <c r="P202" s="3"/>
      <c r="Q202" s="3"/>
    </row>
    <row r="203" spans="1:17" ht="16.5" customHeight="1">
      <c r="A203" s="3"/>
      <c r="B203" s="3"/>
      <c r="C203" s="3"/>
      <c r="I203" s="3"/>
      <c r="J203" s="3"/>
      <c r="K203" s="3"/>
      <c r="L203" s="3"/>
      <c r="M203" s="3"/>
      <c r="N203" s="3"/>
      <c r="O203" s="3"/>
      <c r="P203" s="3"/>
      <c r="Q203" s="3"/>
    </row>
    <row r="204" spans="1:17" ht="16.5" customHeight="1">
      <c r="A204" s="3"/>
      <c r="B204" s="3"/>
      <c r="C204" s="3"/>
      <c r="I204" s="3"/>
      <c r="J204" s="3"/>
      <c r="K204" s="3"/>
      <c r="L204" s="3"/>
      <c r="M204" s="3"/>
      <c r="N204" s="3"/>
      <c r="O204" s="3"/>
      <c r="P204" s="3"/>
      <c r="Q204" s="3"/>
    </row>
    <row r="205" spans="1:17" ht="16.5" customHeight="1">
      <c r="A205" s="3"/>
      <c r="B205" s="3"/>
      <c r="C205" s="3"/>
      <c r="I205" s="3"/>
      <c r="J205" s="3"/>
      <c r="K205" s="3"/>
      <c r="L205" s="3"/>
      <c r="M205" s="3"/>
      <c r="N205" s="3"/>
      <c r="O205" s="3"/>
      <c r="P205" s="3"/>
      <c r="Q205" s="3"/>
    </row>
    <row r="206" spans="1:17" ht="16.5" customHeight="1">
      <c r="A206" s="3"/>
      <c r="B206" s="3"/>
      <c r="C206" s="3"/>
      <c r="I206" s="3"/>
      <c r="J206" s="3"/>
      <c r="K206" s="3"/>
      <c r="L206" s="3"/>
      <c r="M206" s="3"/>
      <c r="N206" s="3"/>
      <c r="O206" s="3"/>
      <c r="P206" s="3"/>
      <c r="Q206" s="3"/>
    </row>
    <row r="207" spans="1:17" ht="16.5" customHeight="1">
      <c r="A207" s="3"/>
      <c r="B207" s="3"/>
      <c r="C207" s="3"/>
      <c r="I207" s="3"/>
      <c r="J207" s="3"/>
      <c r="K207" s="3"/>
      <c r="L207" s="3"/>
      <c r="M207" s="3"/>
      <c r="N207" s="3"/>
      <c r="O207" s="3"/>
      <c r="P207" s="3"/>
      <c r="Q207" s="3"/>
    </row>
    <row r="208" spans="1:17" ht="16.5" customHeight="1">
      <c r="A208" s="3"/>
      <c r="B208" s="3"/>
      <c r="C208" s="3"/>
      <c r="I208" s="3"/>
      <c r="J208" s="3"/>
      <c r="K208" s="3"/>
      <c r="L208" s="3"/>
      <c r="M208" s="3"/>
      <c r="N208" s="3"/>
      <c r="O208" s="3"/>
      <c r="P208" s="3"/>
      <c r="Q208" s="3"/>
    </row>
    <row r="209" spans="1:17" ht="16.5" customHeight="1">
      <c r="A209" s="3"/>
      <c r="B209" s="3"/>
      <c r="C209" s="3"/>
      <c r="I209" s="3"/>
      <c r="J209" s="3"/>
      <c r="K209" s="3"/>
      <c r="L209" s="3"/>
      <c r="M209" s="3"/>
      <c r="N209" s="3"/>
      <c r="O209" s="3"/>
      <c r="P209" s="3"/>
      <c r="Q209" s="3"/>
    </row>
    <row r="210" spans="1:17" ht="16.5" customHeight="1">
      <c r="A210" s="3"/>
      <c r="B210" s="3"/>
      <c r="C210" s="3"/>
      <c r="I210" s="3"/>
      <c r="J210" s="3"/>
      <c r="K210" s="3"/>
      <c r="L210" s="3"/>
      <c r="M210" s="3"/>
      <c r="N210" s="3"/>
      <c r="O210" s="3"/>
      <c r="P210" s="3"/>
      <c r="Q210" s="3"/>
    </row>
    <row r="211" spans="1:17" ht="16.5" customHeight="1">
      <c r="A211" s="3"/>
      <c r="B211" s="3"/>
      <c r="C211" s="3"/>
      <c r="I211" s="3"/>
      <c r="J211" s="3"/>
      <c r="K211" s="3"/>
      <c r="L211" s="3"/>
      <c r="M211" s="3"/>
      <c r="N211" s="3"/>
      <c r="O211" s="3"/>
      <c r="P211" s="3"/>
      <c r="Q211" s="3"/>
    </row>
    <row r="212" spans="1:17" ht="16.5" customHeight="1">
      <c r="A212" s="3"/>
      <c r="B212" s="3"/>
      <c r="C212" s="3"/>
      <c r="I212" s="3"/>
      <c r="J212" s="3"/>
      <c r="K212" s="3"/>
      <c r="L212" s="3"/>
      <c r="M212" s="3"/>
      <c r="N212" s="3"/>
      <c r="O212" s="3"/>
      <c r="P212" s="3"/>
      <c r="Q212" s="3"/>
    </row>
    <row r="213" spans="1:17" ht="16.5" customHeight="1">
      <c r="A213" s="3"/>
      <c r="B213" s="3"/>
      <c r="C213" s="3"/>
      <c r="I213" s="3"/>
      <c r="J213" s="3"/>
      <c r="K213" s="3"/>
      <c r="L213" s="3"/>
      <c r="M213" s="3"/>
      <c r="N213" s="3"/>
      <c r="O213" s="3"/>
      <c r="P213" s="3"/>
      <c r="Q213" s="3"/>
    </row>
    <row r="214" spans="1:17" ht="16.5" customHeight="1">
      <c r="A214" s="3"/>
      <c r="B214" s="3"/>
      <c r="C214" s="3"/>
      <c r="I214" s="3"/>
      <c r="J214" s="3"/>
      <c r="K214" s="3"/>
      <c r="L214" s="3"/>
      <c r="M214" s="3"/>
      <c r="N214" s="3"/>
      <c r="O214" s="3"/>
      <c r="P214" s="3"/>
      <c r="Q214" s="3"/>
    </row>
    <row r="215" spans="1:17" ht="16.5" customHeight="1">
      <c r="A215" s="3"/>
      <c r="B215" s="3"/>
      <c r="C215" s="3"/>
      <c r="I215" s="3"/>
      <c r="J215" s="3"/>
      <c r="K215" s="3"/>
      <c r="L215" s="3"/>
      <c r="M215" s="3"/>
      <c r="N215" s="3"/>
      <c r="O215" s="3"/>
      <c r="P215" s="3"/>
      <c r="Q215" s="3"/>
    </row>
    <row r="216" spans="1:17" ht="16.5" customHeight="1">
      <c r="A216" s="3"/>
      <c r="B216" s="3"/>
      <c r="C216" s="3"/>
      <c r="I216" s="3"/>
      <c r="J216" s="3"/>
      <c r="K216" s="3"/>
      <c r="L216" s="3"/>
      <c r="M216" s="3"/>
      <c r="N216" s="3"/>
      <c r="O216" s="3"/>
      <c r="P216" s="3"/>
      <c r="Q216" s="3"/>
    </row>
    <row r="217" spans="1:17" ht="16.5" customHeight="1">
      <c r="A217" s="3"/>
      <c r="B217" s="3"/>
      <c r="C217" s="3"/>
      <c r="I217" s="3"/>
      <c r="J217" s="3"/>
      <c r="K217" s="3"/>
      <c r="L217" s="3"/>
      <c r="M217" s="3"/>
      <c r="N217" s="3"/>
      <c r="O217" s="3"/>
      <c r="P217" s="3"/>
      <c r="Q217" s="3"/>
    </row>
    <row r="218" spans="1:17" ht="16.5" customHeight="1">
      <c r="A218" s="3"/>
      <c r="B218" s="3"/>
      <c r="C218" s="3"/>
      <c r="I218" s="3"/>
      <c r="J218" s="3"/>
      <c r="K218" s="3"/>
      <c r="L218" s="3"/>
      <c r="M218" s="3"/>
      <c r="N218" s="3"/>
      <c r="O218" s="3"/>
      <c r="P218" s="3"/>
      <c r="Q218" s="3"/>
    </row>
    <row r="219" spans="1:17" ht="16.5" customHeight="1">
      <c r="A219" s="3"/>
      <c r="B219" s="3"/>
      <c r="C219" s="3"/>
      <c r="I219" s="3"/>
      <c r="J219" s="3"/>
      <c r="K219" s="3"/>
      <c r="L219" s="3"/>
      <c r="M219" s="3"/>
      <c r="N219" s="3"/>
      <c r="O219" s="3"/>
      <c r="P219" s="3"/>
      <c r="Q219" s="3"/>
    </row>
    <row r="220" spans="1:17" ht="16.5" customHeight="1">
      <c r="A220" s="3"/>
      <c r="B220" s="3"/>
      <c r="C220" s="3"/>
      <c r="I220" s="3"/>
      <c r="J220" s="3"/>
      <c r="K220" s="3"/>
      <c r="L220" s="3"/>
      <c r="M220" s="3"/>
      <c r="N220" s="3"/>
      <c r="O220" s="3"/>
      <c r="P220" s="3"/>
      <c r="Q220" s="3"/>
    </row>
    <row r="221" spans="1:17" ht="16.5" customHeight="1">
      <c r="A221" s="3"/>
      <c r="B221" s="3"/>
      <c r="C221" s="3"/>
      <c r="I221" s="3"/>
      <c r="J221" s="3"/>
      <c r="K221" s="3"/>
      <c r="L221" s="3"/>
      <c r="M221" s="3"/>
      <c r="N221" s="3"/>
      <c r="O221" s="3"/>
      <c r="P221" s="3"/>
      <c r="Q221" s="3"/>
    </row>
    <row r="222" spans="1:17" ht="16.5" customHeight="1">
      <c r="A222" s="3"/>
      <c r="B222" s="3"/>
      <c r="C222" s="3"/>
      <c r="I222" s="3"/>
      <c r="J222" s="3"/>
      <c r="K222" s="3"/>
      <c r="L222" s="3"/>
      <c r="M222" s="3"/>
      <c r="N222" s="3"/>
      <c r="O222" s="3"/>
      <c r="P222" s="3"/>
      <c r="Q222" s="3"/>
    </row>
    <row r="223" spans="1:17" ht="16.5" customHeight="1">
      <c r="A223" s="3"/>
      <c r="B223" s="3"/>
      <c r="C223" s="3"/>
      <c r="I223" s="3"/>
      <c r="J223" s="3"/>
      <c r="K223" s="3"/>
      <c r="L223" s="3"/>
      <c r="M223" s="3"/>
      <c r="N223" s="3"/>
      <c r="O223" s="3"/>
      <c r="P223" s="3"/>
      <c r="Q223" s="3"/>
    </row>
    <row r="224" spans="1:17" ht="16.5" customHeight="1">
      <c r="A224" s="3"/>
      <c r="B224" s="3"/>
      <c r="C224" s="3"/>
      <c r="I224" s="3"/>
      <c r="J224" s="3"/>
      <c r="K224" s="3"/>
      <c r="L224" s="3"/>
      <c r="M224" s="3"/>
      <c r="N224" s="3"/>
      <c r="O224" s="3"/>
      <c r="P224" s="3"/>
      <c r="Q224" s="3"/>
    </row>
    <row r="225" spans="1:17" ht="16.5" customHeight="1">
      <c r="A225" s="3"/>
      <c r="B225" s="3"/>
      <c r="C225" s="3"/>
      <c r="I225" s="3"/>
      <c r="J225" s="3"/>
      <c r="K225" s="3"/>
      <c r="L225" s="3"/>
      <c r="M225" s="3"/>
      <c r="N225" s="3"/>
      <c r="O225" s="3"/>
      <c r="P225" s="3"/>
      <c r="Q225" s="3"/>
    </row>
    <row r="226" spans="1:17" ht="16.5" customHeight="1">
      <c r="A226" s="3"/>
      <c r="B226" s="3"/>
      <c r="C226" s="3"/>
      <c r="I226" s="3"/>
      <c r="J226" s="3"/>
      <c r="K226" s="3"/>
      <c r="L226" s="3"/>
      <c r="M226" s="3"/>
      <c r="N226" s="3"/>
      <c r="O226" s="3"/>
      <c r="P226" s="3"/>
      <c r="Q226" s="3"/>
    </row>
    <row r="227" spans="1:17" ht="16.5" customHeight="1">
      <c r="A227" s="3"/>
      <c r="B227" s="3"/>
      <c r="C227" s="3"/>
      <c r="I227" s="3"/>
      <c r="J227" s="3"/>
      <c r="K227" s="3"/>
      <c r="L227" s="3"/>
      <c r="M227" s="3"/>
      <c r="N227" s="3"/>
      <c r="O227" s="3"/>
      <c r="P227" s="3"/>
      <c r="Q227" s="3"/>
    </row>
    <row r="228" spans="1:17" ht="16.5" customHeight="1">
      <c r="A228" s="3"/>
      <c r="B228" s="3"/>
      <c r="C228" s="3"/>
      <c r="I228" s="3"/>
      <c r="J228" s="3"/>
      <c r="K228" s="3"/>
      <c r="L228" s="3"/>
      <c r="M228" s="3"/>
      <c r="N228" s="3"/>
      <c r="O228" s="3"/>
      <c r="P228" s="3"/>
      <c r="Q228" s="3"/>
    </row>
    <row r="229" spans="1:17" ht="16.5" customHeight="1">
      <c r="A229" s="3"/>
      <c r="B229" s="3"/>
      <c r="C229" s="3"/>
      <c r="I229" s="3"/>
      <c r="J229" s="3"/>
      <c r="K229" s="3"/>
      <c r="L229" s="3"/>
      <c r="M229" s="3"/>
      <c r="N229" s="3"/>
      <c r="O229" s="3"/>
      <c r="P229" s="3"/>
      <c r="Q229" s="3"/>
    </row>
    <row r="230" spans="1:17" ht="16.5" customHeight="1">
      <c r="A230" s="3"/>
      <c r="B230" s="3"/>
      <c r="C230" s="3"/>
      <c r="I230" s="3"/>
      <c r="J230" s="3"/>
      <c r="K230" s="3"/>
      <c r="L230" s="3"/>
      <c r="M230" s="3"/>
      <c r="N230" s="3"/>
      <c r="O230" s="3"/>
      <c r="P230" s="3"/>
      <c r="Q230" s="3"/>
    </row>
    <row r="231" spans="1:17" ht="16.5" customHeight="1">
      <c r="A231" s="3"/>
      <c r="B231" s="3"/>
      <c r="C231" s="3"/>
      <c r="I231" s="3"/>
      <c r="J231" s="3"/>
      <c r="K231" s="3"/>
      <c r="L231" s="3"/>
      <c r="M231" s="3"/>
      <c r="N231" s="3"/>
      <c r="O231" s="3"/>
      <c r="P231" s="3"/>
      <c r="Q231" s="3"/>
    </row>
    <row r="232" spans="1:17" ht="16.5" customHeight="1">
      <c r="A232" s="3"/>
      <c r="B232" s="3"/>
      <c r="C232" s="3"/>
      <c r="I232" s="3"/>
      <c r="J232" s="3"/>
      <c r="K232" s="3"/>
      <c r="L232" s="3"/>
      <c r="M232" s="3"/>
      <c r="N232" s="3"/>
      <c r="O232" s="3"/>
      <c r="P232" s="3"/>
      <c r="Q232" s="3"/>
    </row>
    <row r="233" spans="1:17" ht="16.5" customHeight="1">
      <c r="A233" s="3"/>
      <c r="B233" s="3"/>
      <c r="C233" s="3"/>
      <c r="I233" s="3"/>
      <c r="J233" s="3"/>
      <c r="K233" s="3"/>
      <c r="L233" s="3"/>
      <c r="M233" s="3"/>
      <c r="N233" s="3"/>
      <c r="O233" s="3"/>
      <c r="P233" s="3"/>
      <c r="Q233" s="3"/>
    </row>
    <row r="234" spans="1:17" ht="16.5" customHeight="1">
      <c r="A234" s="3"/>
      <c r="B234" s="3"/>
      <c r="C234" s="3"/>
      <c r="I234" s="3"/>
      <c r="J234" s="3"/>
      <c r="K234" s="3"/>
      <c r="L234" s="3"/>
      <c r="M234" s="3"/>
      <c r="N234" s="3"/>
      <c r="O234" s="3"/>
      <c r="P234" s="3"/>
      <c r="Q234" s="3"/>
    </row>
    <row r="235" spans="1:17" ht="16.5" customHeight="1">
      <c r="A235" s="3"/>
      <c r="B235" s="3"/>
      <c r="C235" s="3"/>
      <c r="I235" s="3"/>
      <c r="J235" s="3"/>
      <c r="K235" s="3"/>
      <c r="L235" s="3"/>
      <c r="M235" s="3"/>
      <c r="N235" s="3"/>
      <c r="O235" s="3"/>
      <c r="P235" s="3"/>
      <c r="Q235" s="3"/>
    </row>
    <row r="236" spans="1:17" ht="16.5" customHeight="1">
      <c r="A236" s="3"/>
      <c r="B236" s="3"/>
      <c r="C236" s="3"/>
      <c r="I236" s="3"/>
      <c r="J236" s="3"/>
      <c r="K236" s="3"/>
      <c r="L236" s="3"/>
      <c r="M236" s="3"/>
      <c r="N236" s="3"/>
      <c r="O236" s="3"/>
      <c r="P236" s="3"/>
      <c r="Q236" s="3"/>
    </row>
    <row r="237" spans="1:17" ht="16.5" customHeight="1">
      <c r="A237" s="3"/>
      <c r="B237" s="3"/>
      <c r="C237" s="3"/>
      <c r="I237" s="3"/>
      <c r="J237" s="3"/>
      <c r="K237" s="3"/>
      <c r="L237" s="3"/>
      <c r="M237" s="3"/>
      <c r="N237" s="3"/>
      <c r="O237" s="3"/>
      <c r="P237" s="3"/>
      <c r="Q237" s="3"/>
    </row>
    <row r="238" spans="1:17" ht="16.5" customHeight="1">
      <c r="A238" s="3"/>
      <c r="B238" s="3"/>
      <c r="C238" s="3"/>
      <c r="I238" s="3"/>
      <c r="J238" s="3"/>
      <c r="K238" s="3"/>
      <c r="L238" s="3"/>
      <c r="M238" s="3"/>
      <c r="N238" s="3"/>
      <c r="O238" s="3"/>
      <c r="P238" s="3"/>
      <c r="Q238" s="3"/>
    </row>
    <row r="239" spans="1:17" ht="16.5" customHeight="1">
      <c r="A239" s="3"/>
      <c r="B239" s="3"/>
      <c r="C239" s="3"/>
      <c r="I239" s="3"/>
      <c r="J239" s="3"/>
      <c r="K239" s="3"/>
      <c r="L239" s="3"/>
      <c r="M239" s="3"/>
      <c r="N239" s="3"/>
      <c r="O239" s="3"/>
      <c r="P239" s="3"/>
      <c r="Q239" s="3"/>
    </row>
    <row r="240" spans="1:17" ht="16.5" customHeight="1">
      <c r="A240" s="3"/>
      <c r="B240" s="3"/>
      <c r="C240" s="3"/>
      <c r="I240" s="3"/>
      <c r="J240" s="3"/>
      <c r="K240" s="3"/>
      <c r="L240" s="3"/>
      <c r="M240" s="3"/>
      <c r="N240" s="3"/>
      <c r="O240" s="3"/>
      <c r="P240" s="3"/>
      <c r="Q240" s="3"/>
    </row>
    <row r="241" spans="1:17" ht="16.5" customHeight="1">
      <c r="A241" s="3"/>
      <c r="B241" s="3"/>
      <c r="C241" s="3"/>
      <c r="I241" s="3"/>
      <c r="J241" s="3"/>
      <c r="K241" s="3"/>
      <c r="L241" s="3"/>
      <c r="M241" s="3"/>
      <c r="N241" s="3"/>
      <c r="O241" s="3"/>
      <c r="P241" s="3"/>
      <c r="Q241" s="3"/>
    </row>
    <row r="242" spans="1:17" ht="16.5" customHeight="1">
      <c r="A242" s="3"/>
      <c r="B242" s="3"/>
      <c r="C242" s="3"/>
      <c r="I242" s="3"/>
      <c r="J242" s="3"/>
      <c r="K242" s="3"/>
      <c r="L242" s="3"/>
      <c r="M242" s="3"/>
      <c r="N242" s="3"/>
      <c r="O242" s="3"/>
      <c r="P242" s="3"/>
      <c r="Q242" s="3"/>
    </row>
    <row r="243" spans="1:17" ht="16.5" customHeight="1">
      <c r="A243" s="3"/>
      <c r="B243" s="3"/>
      <c r="C243" s="3"/>
      <c r="I243" s="3"/>
      <c r="J243" s="3"/>
      <c r="K243" s="3"/>
      <c r="L243" s="3"/>
      <c r="M243" s="3"/>
      <c r="N243" s="3"/>
      <c r="O243" s="3"/>
      <c r="P243" s="3"/>
      <c r="Q243" s="3"/>
    </row>
    <row r="244" spans="1:17" ht="16.5" customHeight="1">
      <c r="A244" s="3"/>
      <c r="B244" s="3"/>
      <c r="C244" s="3"/>
      <c r="I244" s="3"/>
      <c r="J244" s="3"/>
      <c r="K244" s="3"/>
      <c r="L244" s="3"/>
      <c r="M244" s="3"/>
      <c r="N244" s="3"/>
      <c r="O244" s="3"/>
      <c r="P244" s="3"/>
      <c r="Q244" s="3"/>
    </row>
    <row r="245" spans="1:17" ht="16.5" customHeight="1">
      <c r="A245" s="3"/>
      <c r="B245" s="3"/>
      <c r="C245" s="3"/>
      <c r="I245" s="3"/>
      <c r="J245" s="3"/>
      <c r="K245" s="3"/>
      <c r="L245" s="3"/>
      <c r="M245" s="3"/>
      <c r="N245" s="3"/>
      <c r="O245" s="3"/>
      <c r="P245" s="3"/>
      <c r="Q245" s="3"/>
    </row>
    <row r="246" spans="1:17" ht="16.5" customHeight="1">
      <c r="A246" s="3"/>
      <c r="B246" s="3"/>
      <c r="C246" s="3"/>
      <c r="I246" s="3"/>
      <c r="J246" s="3"/>
      <c r="K246" s="3"/>
      <c r="L246" s="3"/>
      <c r="M246" s="3"/>
      <c r="N246" s="3"/>
      <c r="O246" s="3"/>
      <c r="P246" s="3"/>
      <c r="Q246" s="3"/>
    </row>
    <row r="247" spans="1:17" ht="16.5" customHeight="1">
      <c r="A247" s="3"/>
      <c r="B247" s="3"/>
      <c r="C247" s="3"/>
      <c r="I247" s="3"/>
      <c r="J247" s="3"/>
      <c r="K247" s="3"/>
      <c r="L247" s="3"/>
      <c r="M247" s="3"/>
      <c r="N247" s="3"/>
      <c r="O247" s="3"/>
      <c r="P247" s="3"/>
      <c r="Q247" s="3"/>
    </row>
    <row r="248" spans="1:17" ht="16.5" customHeight="1">
      <c r="A248" s="3"/>
      <c r="B248" s="3"/>
      <c r="C248" s="3"/>
      <c r="I248" s="3"/>
      <c r="J248" s="3"/>
      <c r="K248" s="3"/>
      <c r="L248" s="3"/>
      <c r="M248" s="3"/>
      <c r="N248" s="3"/>
      <c r="O248" s="3"/>
      <c r="P248" s="3"/>
      <c r="Q248" s="3"/>
    </row>
    <row r="249" spans="1:17" ht="16.5" customHeight="1">
      <c r="A249" s="3"/>
      <c r="B249" s="3"/>
      <c r="C249" s="3"/>
      <c r="I249" s="3"/>
      <c r="J249" s="3"/>
      <c r="K249" s="3"/>
      <c r="L249" s="3"/>
      <c r="M249" s="3"/>
      <c r="N249" s="3"/>
      <c r="O249" s="3"/>
      <c r="P249" s="3"/>
      <c r="Q249" s="3"/>
    </row>
    <row r="250" spans="1:17" ht="16.5" customHeight="1">
      <c r="A250" s="3"/>
      <c r="B250" s="3"/>
      <c r="C250" s="3"/>
      <c r="I250" s="3"/>
      <c r="J250" s="3"/>
      <c r="K250" s="3"/>
      <c r="L250" s="3"/>
      <c r="M250" s="3"/>
      <c r="N250" s="3"/>
      <c r="O250" s="3"/>
      <c r="P250" s="3"/>
      <c r="Q250" s="3"/>
    </row>
    <row r="251" spans="1:17" ht="16.5" customHeight="1">
      <c r="A251" s="3"/>
      <c r="B251" s="3"/>
      <c r="C251" s="3"/>
      <c r="I251" s="3"/>
      <c r="J251" s="3"/>
      <c r="K251" s="3"/>
      <c r="L251" s="3"/>
      <c r="M251" s="3"/>
      <c r="N251" s="3"/>
      <c r="O251" s="3"/>
      <c r="P251" s="3"/>
      <c r="Q251" s="3"/>
    </row>
    <row r="252" spans="1:17" ht="16.5" customHeight="1">
      <c r="A252" s="3"/>
      <c r="B252" s="3"/>
      <c r="C252" s="3"/>
      <c r="I252" s="3"/>
      <c r="J252" s="3"/>
      <c r="K252" s="3"/>
      <c r="L252" s="3"/>
      <c r="M252" s="3"/>
      <c r="N252" s="3"/>
      <c r="O252" s="3"/>
      <c r="P252" s="3"/>
      <c r="Q252" s="3"/>
    </row>
    <row r="253" spans="1:17" ht="16.5" customHeight="1">
      <c r="A253" s="3"/>
      <c r="B253" s="3"/>
      <c r="C253" s="3"/>
      <c r="I253" s="3"/>
      <c r="J253" s="3"/>
      <c r="K253" s="3"/>
      <c r="L253" s="3"/>
      <c r="M253" s="3"/>
      <c r="N253" s="3"/>
      <c r="O253" s="3"/>
      <c r="P253" s="3"/>
      <c r="Q253" s="3"/>
    </row>
    <row r="254" spans="1:17" ht="16.5" customHeight="1">
      <c r="A254" s="3"/>
      <c r="B254" s="3"/>
      <c r="C254" s="3"/>
      <c r="I254" s="3"/>
      <c r="J254" s="3"/>
      <c r="K254" s="3"/>
      <c r="L254" s="3"/>
      <c r="M254" s="3"/>
      <c r="N254" s="3"/>
      <c r="O254" s="3"/>
      <c r="P254" s="3"/>
      <c r="Q254" s="3"/>
    </row>
    <row r="255" spans="1:17" ht="16.5" customHeight="1">
      <c r="A255" s="3"/>
      <c r="B255" s="3"/>
      <c r="C255" s="3"/>
      <c r="I255" s="3"/>
      <c r="J255" s="3"/>
      <c r="K255" s="3"/>
      <c r="L255" s="3"/>
      <c r="M255" s="3"/>
      <c r="N255" s="3"/>
      <c r="O255" s="3"/>
      <c r="P255" s="3"/>
      <c r="Q255" s="3"/>
    </row>
    <row r="256" spans="1:17" ht="16.5" customHeight="1">
      <c r="A256" s="3"/>
      <c r="B256" s="3"/>
      <c r="C256" s="3"/>
      <c r="I256" s="3"/>
      <c r="J256" s="3"/>
      <c r="K256" s="3"/>
      <c r="L256" s="3"/>
      <c r="M256" s="3"/>
      <c r="N256" s="3"/>
      <c r="O256" s="3"/>
      <c r="P256" s="3"/>
      <c r="Q256" s="3"/>
    </row>
    <row r="257" spans="1:17" ht="16.5" customHeight="1">
      <c r="A257" s="3"/>
      <c r="B257" s="3"/>
      <c r="C257" s="3"/>
      <c r="I257" s="3"/>
      <c r="J257" s="3"/>
      <c r="K257" s="3"/>
      <c r="L257" s="3"/>
      <c r="M257" s="3"/>
      <c r="N257" s="3"/>
      <c r="O257" s="3"/>
      <c r="P257" s="3"/>
      <c r="Q257" s="3"/>
    </row>
    <row r="258" spans="1:17" ht="16.5" customHeight="1">
      <c r="A258" s="3"/>
      <c r="B258" s="3"/>
      <c r="C258" s="3"/>
      <c r="I258" s="3"/>
      <c r="J258" s="3"/>
      <c r="K258" s="3"/>
      <c r="L258" s="3"/>
      <c r="M258" s="3"/>
      <c r="N258" s="3"/>
      <c r="O258" s="3"/>
      <c r="P258" s="3"/>
      <c r="Q258" s="3"/>
    </row>
    <row r="259" spans="1:17" ht="16.5" customHeight="1">
      <c r="A259" s="3"/>
      <c r="B259" s="3"/>
      <c r="C259" s="3"/>
      <c r="I259" s="3"/>
      <c r="J259" s="3"/>
      <c r="K259" s="3"/>
      <c r="L259" s="3"/>
      <c r="M259" s="3"/>
      <c r="N259" s="3"/>
      <c r="O259" s="3"/>
      <c r="P259" s="3"/>
      <c r="Q259" s="3"/>
    </row>
    <row r="260" spans="1:17" ht="16.5" customHeight="1">
      <c r="A260" s="3"/>
      <c r="B260" s="3"/>
      <c r="C260" s="3"/>
      <c r="I260" s="3"/>
      <c r="J260" s="3"/>
      <c r="K260" s="3"/>
      <c r="L260" s="3"/>
      <c r="M260" s="3"/>
      <c r="N260" s="3"/>
      <c r="O260" s="3"/>
      <c r="P260" s="3"/>
      <c r="Q260" s="3"/>
    </row>
    <row r="261" spans="1:17" ht="16.5" customHeight="1">
      <c r="A261" s="3"/>
      <c r="B261" s="3"/>
      <c r="C261" s="3"/>
      <c r="I261" s="3"/>
      <c r="J261" s="3"/>
      <c r="K261" s="3"/>
      <c r="L261" s="3"/>
      <c r="M261" s="3"/>
      <c r="N261" s="3"/>
      <c r="O261" s="3"/>
      <c r="P261" s="3"/>
      <c r="Q261" s="3"/>
    </row>
    <row r="262" spans="1:17" ht="16.5" customHeight="1">
      <c r="A262" s="3"/>
      <c r="B262" s="3"/>
      <c r="C262" s="3"/>
      <c r="I262" s="3"/>
      <c r="J262" s="3"/>
      <c r="K262" s="3"/>
      <c r="L262" s="3"/>
      <c r="M262" s="3"/>
      <c r="N262" s="3"/>
      <c r="O262" s="3"/>
      <c r="P262" s="3"/>
      <c r="Q262" s="3"/>
    </row>
    <row r="263" spans="1:17" ht="16.5" customHeight="1">
      <c r="A263" s="3"/>
      <c r="B263" s="3"/>
      <c r="C263" s="3"/>
      <c r="I263" s="3"/>
      <c r="J263" s="3"/>
      <c r="K263" s="3"/>
      <c r="L263" s="3"/>
      <c r="M263" s="3"/>
      <c r="N263" s="3"/>
      <c r="O263" s="3"/>
      <c r="P263" s="3"/>
      <c r="Q263" s="3"/>
    </row>
    <row r="264" spans="1:17" ht="16.5" customHeight="1">
      <c r="A264" s="3"/>
      <c r="B264" s="3"/>
      <c r="C264" s="3"/>
      <c r="I264" s="3"/>
      <c r="J264" s="3"/>
      <c r="K264" s="3"/>
      <c r="L264" s="3"/>
      <c r="M264" s="3"/>
      <c r="N264" s="3"/>
      <c r="O264" s="3"/>
      <c r="P264" s="3"/>
      <c r="Q264" s="3"/>
    </row>
    <row r="265" spans="1:17" ht="16.5" customHeight="1">
      <c r="A265" s="3"/>
      <c r="B265" s="3"/>
      <c r="C265" s="3"/>
      <c r="I265" s="3"/>
      <c r="J265" s="3"/>
      <c r="K265" s="3"/>
      <c r="L265" s="3"/>
      <c r="M265" s="3"/>
      <c r="N265" s="3"/>
      <c r="O265" s="3"/>
      <c r="P265" s="3"/>
      <c r="Q265" s="3"/>
    </row>
    <row r="266" spans="1:17" ht="16.5" customHeight="1">
      <c r="A266" s="3"/>
      <c r="B266" s="3"/>
      <c r="C266" s="3"/>
      <c r="I266" s="3"/>
      <c r="J266" s="3"/>
      <c r="K266" s="3"/>
      <c r="L266" s="3"/>
      <c r="M266" s="3"/>
      <c r="N266" s="3"/>
      <c r="O266" s="3"/>
      <c r="P266" s="3"/>
      <c r="Q266" s="3"/>
    </row>
    <row r="267" spans="1:17" ht="16.5" customHeight="1">
      <c r="A267" s="3"/>
      <c r="B267" s="3"/>
      <c r="C267" s="3"/>
      <c r="I267" s="3"/>
      <c r="J267" s="3"/>
      <c r="K267" s="3"/>
      <c r="L267" s="3"/>
      <c r="M267" s="3"/>
      <c r="N267" s="3"/>
      <c r="O267" s="3"/>
      <c r="P267" s="3"/>
      <c r="Q267" s="3"/>
    </row>
    <row r="268" spans="1:17" ht="16.5" customHeight="1">
      <c r="A268" s="3"/>
      <c r="B268" s="3"/>
      <c r="C268" s="3"/>
      <c r="I268" s="3"/>
      <c r="J268" s="3"/>
      <c r="K268" s="3"/>
      <c r="L268" s="3"/>
      <c r="M268" s="3"/>
      <c r="N268" s="3"/>
      <c r="O268" s="3"/>
      <c r="P268" s="3"/>
      <c r="Q268" s="3"/>
    </row>
    <row r="269" spans="1:17" ht="16.5" customHeight="1">
      <c r="A269" s="3"/>
      <c r="B269" s="3"/>
      <c r="C269" s="3"/>
      <c r="I269" s="3"/>
      <c r="J269" s="3"/>
      <c r="K269" s="3"/>
      <c r="L269" s="3"/>
      <c r="M269" s="3"/>
      <c r="N269" s="3"/>
      <c r="O269" s="3"/>
      <c r="P269" s="3"/>
      <c r="Q269" s="3"/>
    </row>
    <row r="270" spans="1:17" ht="16.5" customHeight="1">
      <c r="A270" s="3"/>
      <c r="B270" s="3"/>
      <c r="C270" s="3"/>
      <c r="I270" s="3"/>
      <c r="J270" s="3"/>
      <c r="K270" s="3"/>
      <c r="L270" s="3"/>
      <c r="M270" s="3"/>
      <c r="N270" s="3"/>
      <c r="O270" s="3"/>
      <c r="P270" s="3"/>
      <c r="Q270" s="3"/>
    </row>
    <row r="271" spans="1:17" ht="16.5" customHeight="1">
      <c r="A271" s="3"/>
      <c r="B271" s="3"/>
      <c r="C271" s="3"/>
      <c r="I271" s="3"/>
      <c r="J271" s="3"/>
      <c r="K271" s="3"/>
      <c r="L271" s="3"/>
      <c r="M271" s="3"/>
      <c r="N271" s="3"/>
      <c r="O271" s="3"/>
      <c r="P271" s="3"/>
      <c r="Q271" s="3"/>
    </row>
    <row r="272" spans="1:17" ht="16.5" customHeight="1">
      <c r="A272" s="3"/>
      <c r="B272" s="3"/>
      <c r="C272" s="3"/>
      <c r="I272" s="3"/>
      <c r="J272" s="3"/>
      <c r="K272" s="3"/>
      <c r="L272" s="3"/>
      <c r="M272" s="3"/>
      <c r="N272" s="3"/>
      <c r="O272" s="3"/>
      <c r="P272" s="3"/>
      <c r="Q272" s="3"/>
    </row>
    <row r="273" spans="1:17" ht="16.5" customHeight="1">
      <c r="A273" s="3"/>
      <c r="B273" s="3"/>
      <c r="C273" s="3"/>
      <c r="I273" s="3"/>
      <c r="J273" s="3"/>
      <c r="K273" s="3"/>
      <c r="L273" s="3"/>
      <c r="M273" s="3"/>
      <c r="N273" s="3"/>
      <c r="O273" s="3"/>
      <c r="P273" s="3"/>
      <c r="Q273" s="3"/>
    </row>
    <row r="274" spans="1:17" ht="16.5" customHeight="1">
      <c r="A274" s="3"/>
      <c r="B274" s="3"/>
      <c r="C274" s="3"/>
      <c r="I274" s="3"/>
      <c r="J274" s="3"/>
      <c r="K274" s="3"/>
      <c r="L274" s="3"/>
      <c r="M274" s="3"/>
      <c r="N274" s="3"/>
      <c r="O274" s="3"/>
      <c r="P274" s="3"/>
      <c r="Q274" s="3"/>
    </row>
    <row r="275" spans="1:17" ht="16.5" customHeight="1">
      <c r="A275" s="3"/>
      <c r="B275" s="3"/>
      <c r="C275" s="3"/>
      <c r="I275" s="3"/>
      <c r="J275" s="3"/>
      <c r="K275" s="3"/>
      <c r="L275" s="3"/>
      <c r="M275" s="3"/>
      <c r="N275" s="3"/>
      <c r="O275" s="3"/>
      <c r="P275" s="3"/>
      <c r="Q275" s="3"/>
    </row>
    <row r="276" spans="1:17" ht="16.5" customHeight="1">
      <c r="A276" s="3"/>
      <c r="B276" s="3"/>
      <c r="C276" s="3"/>
      <c r="I276" s="3"/>
      <c r="J276" s="3"/>
      <c r="K276" s="3"/>
      <c r="L276" s="3"/>
      <c r="M276" s="3"/>
      <c r="N276" s="3"/>
      <c r="O276" s="3"/>
      <c r="P276" s="3"/>
      <c r="Q276" s="3"/>
    </row>
    <row r="277" spans="1:17" ht="16.5" customHeight="1">
      <c r="A277" s="3"/>
      <c r="B277" s="3"/>
      <c r="C277" s="3"/>
      <c r="I277" s="3"/>
      <c r="J277" s="3"/>
      <c r="K277" s="3"/>
      <c r="L277" s="3"/>
      <c r="M277" s="3"/>
      <c r="N277" s="3"/>
      <c r="O277" s="3"/>
      <c r="P277" s="3"/>
      <c r="Q277" s="3"/>
    </row>
    <row r="278" spans="1:17" ht="16.5" customHeight="1">
      <c r="A278" s="3"/>
      <c r="B278" s="3"/>
      <c r="C278" s="3"/>
      <c r="I278" s="3"/>
      <c r="J278" s="3"/>
      <c r="K278" s="3"/>
      <c r="L278" s="3"/>
      <c r="M278" s="3"/>
      <c r="N278" s="3"/>
      <c r="O278" s="3"/>
      <c r="P278" s="3"/>
      <c r="Q278" s="3"/>
    </row>
    <row r="279" spans="1:17" ht="16.5" customHeight="1">
      <c r="A279" s="3"/>
      <c r="B279" s="3"/>
      <c r="C279" s="3"/>
      <c r="I279" s="3"/>
      <c r="J279" s="3"/>
      <c r="K279" s="3"/>
      <c r="L279" s="3"/>
      <c r="M279" s="3"/>
      <c r="N279" s="3"/>
      <c r="O279" s="3"/>
      <c r="P279" s="3"/>
      <c r="Q279" s="3"/>
    </row>
    <row r="280" spans="1:17" ht="16.5" customHeight="1">
      <c r="A280" s="3"/>
      <c r="B280" s="3"/>
      <c r="C280" s="3"/>
      <c r="I280" s="3"/>
      <c r="J280" s="3"/>
      <c r="K280" s="3"/>
      <c r="L280" s="3"/>
      <c r="M280" s="3"/>
      <c r="N280" s="3"/>
      <c r="O280" s="3"/>
      <c r="P280" s="3"/>
      <c r="Q280" s="3"/>
    </row>
    <row r="281" spans="1:17" ht="16.5" customHeight="1">
      <c r="A281" s="3"/>
      <c r="B281" s="3"/>
      <c r="C281" s="3"/>
      <c r="I281" s="3"/>
      <c r="J281" s="3"/>
      <c r="K281" s="3"/>
      <c r="L281" s="3"/>
      <c r="M281" s="3"/>
      <c r="N281" s="3"/>
      <c r="O281" s="3"/>
      <c r="P281" s="3"/>
      <c r="Q281" s="3"/>
    </row>
    <row r="282" spans="1:17" ht="16.5" customHeight="1">
      <c r="A282" s="3"/>
      <c r="B282" s="3"/>
      <c r="C282" s="3"/>
      <c r="I282" s="3"/>
      <c r="J282" s="3"/>
      <c r="K282" s="3"/>
      <c r="L282" s="3"/>
      <c r="M282" s="3"/>
      <c r="N282" s="3"/>
      <c r="O282" s="3"/>
      <c r="P282" s="3"/>
      <c r="Q282" s="3"/>
    </row>
    <row r="283" spans="1:17" ht="16.5" customHeight="1">
      <c r="A283" s="3"/>
      <c r="B283" s="3"/>
      <c r="C283" s="3"/>
      <c r="I283" s="3"/>
      <c r="J283" s="3"/>
      <c r="K283" s="3"/>
      <c r="L283" s="3"/>
      <c r="M283" s="3"/>
      <c r="N283" s="3"/>
      <c r="O283" s="3"/>
      <c r="P283" s="3"/>
      <c r="Q283" s="3"/>
    </row>
    <row r="284" spans="1:17" ht="16.5" customHeight="1">
      <c r="A284" s="3"/>
      <c r="B284" s="3"/>
      <c r="C284" s="3"/>
      <c r="I284" s="3"/>
      <c r="J284" s="3"/>
      <c r="K284" s="3"/>
      <c r="L284" s="3"/>
      <c r="M284" s="3"/>
      <c r="N284" s="3"/>
      <c r="O284" s="3"/>
      <c r="P284" s="3"/>
      <c r="Q284" s="3"/>
    </row>
    <row r="285" spans="1:17" ht="16.5" customHeight="1">
      <c r="A285" s="3"/>
      <c r="B285" s="3"/>
      <c r="C285" s="3"/>
      <c r="I285" s="3"/>
      <c r="J285" s="3"/>
      <c r="K285" s="3"/>
      <c r="L285" s="3"/>
      <c r="M285" s="3"/>
      <c r="N285" s="3"/>
      <c r="O285" s="3"/>
      <c r="P285" s="3"/>
      <c r="Q285" s="3"/>
    </row>
    <row r="286" spans="1:17" ht="16.5" customHeight="1">
      <c r="A286" s="3"/>
      <c r="B286" s="3"/>
      <c r="C286" s="3"/>
      <c r="I286" s="3"/>
      <c r="J286" s="3"/>
      <c r="K286" s="3"/>
      <c r="L286" s="3"/>
      <c r="M286" s="3"/>
      <c r="N286" s="3"/>
      <c r="O286" s="3"/>
      <c r="P286" s="3"/>
      <c r="Q286" s="3"/>
    </row>
    <row r="287" spans="1:17" ht="16.5" customHeight="1">
      <c r="A287" s="3"/>
      <c r="B287" s="3"/>
      <c r="C287" s="3"/>
      <c r="I287" s="3"/>
      <c r="J287" s="3"/>
      <c r="K287" s="3"/>
      <c r="L287" s="3"/>
      <c r="M287" s="3"/>
      <c r="N287" s="3"/>
      <c r="O287" s="3"/>
      <c r="P287" s="3"/>
      <c r="Q287" s="3"/>
    </row>
    <row r="288" spans="1:17" ht="16.5" customHeight="1">
      <c r="A288" s="3"/>
      <c r="B288" s="3"/>
      <c r="C288" s="3"/>
      <c r="I288" s="3"/>
      <c r="J288" s="3"/>
      <c r="K288" s="3"/>
      <c r="L288" s="3"/>
      <c r="M288" s="3"/>
      <c r="N288" s="3"/>
      <c r="O288" s="3"/>
      <c r="P288" s="3"/>
      <c r="Q288" s="3"/>
    </row>
    <row r="289" spans="1:17" ht="16.5" customHeight="1">
      <c r="A289" s="3"/>
      <c r="B289" s="3"/>
      <c r="C289" s="3"/>
      <c r="I289" s="3"/>
      <c r="J289" s="3"/>
      <c r="K289" s="3"/>
      <c r="L289" s="3"/>
      <c r="M289" s="3"/>
      <c r="N289" s="3"/>
      <c r="O289" s="3"/>
      <c r="P289" s="3"/>
      <c r="Q289" s="3"/>
    </row>
    <row r="290" spans="1:17" ht="16.5" customHeight="1">
      <c r="A290" s="3"/>
      <c r="B290" s="3"/>
      <c r="C290" s="3"/>
      <c r="I290" s="3"/>
      <c r="J290" s="3"/>
      <c r="K290" s="3"/>
      <c r="L290" s="3"/>
      <c r="M290" s="3"/>
      <c r="N290" s="3"/>
      <c r="O290" s="3"/>
      <c r="P290" s="3"/>
      <c r="Q290" s="3"/>
    </row>
    <row r="291" spans="1:17" ht="16.5" customHeight="1">
      <c r="A291" s="3"/>
      <c r="B291" s="3"/>
      <c r="C291" s="3"/>
      <c r="I291" s="3"/>
      <c r="J291" s="3"/>
      <c r="K291" s="3"/>
      <c r="L291" s="3"/>
      <c r="M291" s="3"/>
      <c r="N291" s="3"/>
      <c r="O291" s="3"/>
      <c r="P291" s="3"/>
      <c r="Q291" s="3"/>
    </row>
    <row r="292" spans="1:17" ht="16.5" customHeight="1">
      <c r="A292" s="3"/>
      <c r="B292" s="3"/>
      <c r="C292" s="3"/>
      <c r="I292" s="3"/>
      <c r="J292" s="3"/>
      <c r="K292" s="3"/>
      <c r="L292" s="3"/>
      <c r="M292" s="3"/>
      <c r="N292" s="3"/>
      <c r="O292" s="3"/>
      <c r="P292" s="3"/>
      <c r="Q292" s="3"/>
    </row>
    <row r="293" spans="1:17" ht="16.5" customHeight="1">
      <c r="A293" s="3"/>
      <c r="B293" s="3"/>
      <c r="C293" s="3"/>
      <c r="I293" s="3"/>
      <c r="J293" s="3"/>
      <c r="K293" s="3"/>
      <c r="L293" s="3"/>
      <c r="M293" s="3"/>
      <c r="N293" s="3"/>
      <c r="O293" s="3"/>
      <c r="P293" s="3"/>
      <c r="Q293" s="3"/>
    </row>
    <row r="294" spans="1:17" ht="16.5" customHeight="1">
      <c r="A294" s="3"/>
      <c r="B294" s="3"/>
      <c r="C294" s="3"/>
      <c r="I294" s="3"/>
      <c r="J294" s="3"/>
      <c r="K294" s="3"/>
      <c r="L294" s="3"/>
      <c r="M294" s="3"/>
      <c r="N294" s="3"/>
      <c r="O294" s="3"/>
      <c r="P294" s="3"/>
      <c r="Q294" s="3"/>
    </row>
    <row r="295" spans="1:17" ht="16.5" customHeight="1">
      <c r="A295" s="3"/>
      <c r="B295" s="3"/>
      <c r="C295" s="3"/>
      <c r="I295" s="3"/>
      <c r="J295" s="3"/>
      <c r="K295" s="3"/>
      <c r="L295" s="3"/>
      <c r="M295" s="3"/>
      <c r="N295" s="3"/>
      <c r="O295" s="3"/>
      <c r="P295" s="3"/>
      <c r="Q295" s="3"/>
    </row>
    <row r="296" spans="1:17" ht="16.5" customHeight="1">
      <c r="A296" s="3"/>
      <c r="B296" s="3"/>
      <c r="C296" s="3"/>
      <c r="I296" s="3"/>
      <c r="J296" s="3"/>
      <c r="K296" s="3"/>
      <c r="L296" s="3"/>
      <c r="M296" s="3"/>
      <c r="N296" s="3"/>
      <c r="O296" s="3"/>
      <c r="P296" s="3"/>
      <c r="Q296" s="3"/>
    </row>
    <row r="297" spans="1:17" ht="16.5" customHeight="1">
      <c r="A297" s="3"/>
      <c r="B297" s="3"/>
      <c r="C297" s="3"/>
      <c r="I297" s="3"/>
      <c r="J297" s="3"/>
      <c r="K297" s="3"/>
      <c r="L297" s="3"/>
      <c r="M297" s="3"/>
      <c r="N297" s="3"/>
      <c r="O297" s="3"/>
      <c r="P297" s="3"/>
      <c r="Q297" s="3"/>
    </row>
    <row r="298" spans="1:17" ht="16.5" customHeight="1">
      <c r="A298" s="3"/>
      <c r="B298" s="3"/>
      <c r="C298" s="3"/>
      <c r="I298" s="3"/>
      <c r="J298" s="3"/>
      <c r="K298" s="3"/>
      <c r="L298" s="3"/>
      <c r="M298" s="3"/>
      <c r="N298" s="3"/>
      <c r="O298" s="3"/>
      <c r="P298" s="3"/>
      <c r="Q298" s="3"/>
    </row>
    <row r="299" spans="1:17" ht="16.5" customHeight="1">
      <c r="A299" s="3"/>
      <c r="B299" s="3"/>
      <c r="C299" s="3"/>
      <c r="I299" s="3"/>
      <c r="J299" s="3"/>
      <c r="K299" s="3"/>
      <c r="L299" s="3"/>
      <c r="M299" s="3"/>
      <c r="N299" s="3"/>
      <c r="O299" s="3"/>
      <c r="P299" s="3"/>
      <c r="Q299" s="3"/>
    </row>
    <row r="300" spans="1:17" ht="16.5" customHeight="1">
      <c r="A300" s="3"/>
      <c r="B300" s="3"/>
      <c r="C300" s="3"/>
      <c r="I300" s="3"/>
      <c r="J300" s="3"/>
      <c r="K300" s="3"/>
      <c r="L300" s="3"/>
      <c r="M300" s="3"/>
      <c r="N300" s="3"/>
      <c r="O300" s="3"/>
      <c r="P300" s="3"/>
      <c r="Q300" s="3"/>
    </row>
    <row r="301" spans="1:17" ht="16.5" customHeight="1">
      <c r="A301" s="3"/>
      <c r="B301" s="3"/>
      <c r="C301" s="3"/>
      <c r="I301" s="3"/>
      <c r="J301" s="3"/>
      <c r="K301" s="3"/>
      <c r="L301" s="3"/>
      <c r="M301" s="3"/>
      <c r="N301" s="3"/>
      <c r="O301" s="3"/>
      <c r="P301" s="3"/>
      <c r="Q301" s="3"/>
    </row>
    <row r="302" spans="1:17" ht="16.5" customHeight="1">
      <c r="A302" s="3"/>
      <c r="B302" s="3"/>
      <c r="C302" s="3"/>
      <c r="I302" s="3"/>
      <c r="J302" s="3"/>
      <c r="K302" s="3"/>
      <c r="L302" s="3"/>
      <c r="M302" s="3"/>
      <c r="N302" s="3"/>
      <c r="O302" s="3"/>
      <c r="P302" s="3"/>
      <c r="Q302" s="3"/>
    </row>
    <row r="303" spans="1:17" ht="16.5" customHeight="1">
      <c r="A303" s="3"/>
      <c r="B303" s="3"/>
      <c r="C303" s="3"/>
      <c r="I303" s="3"/>
      <c r="J303" s="3"/>
      <c r="K303" s="3"/>
      <c r="L303" s="3"/>
      <c r="M303" s="3"/>
      <c r="N303" s="3"/>
      <c r="O303" s="3"/>
      <c r="P303" s="3"/>
      <c r="Q303" s="3"/>
    </row>
    <row r="304" spans="1:17" ht="16.5" customHeight="1">
      <c r="A304" s="3"/>
      <c r="B304" s="3"/>
      <c r="C304" s="3"/>
      <c r="I304" s="3"/>
      <c r="J304" s="3"/>
      <c r="K304" s="3"/>
      <c r="L304" s="3"/>
      <c r="M304" s="3"/>
      <c r="N304" s="3"/>
      <c r="O304" s="3"/>
      <c r="P304" s="3"/>
      <c r="Q304" s="3"/>
    </row>
    <row r="305" spans="1:17" ht="16.5" customHeight="1">
      <c r="A305" s="3"/>
      <c r="B305" s="3"/>
      <c r="C305" s="3"/>
      <c r="I305" s="3"/>
      <c r="J305" s="3"/>
      <c r="K305" s="3"/>
      <c r="L305" s="3"/>
      <c r="M305" s="3"/>
      <c r="N305" s="3"/>
      <c r="O305" s="3"/>
      <c r="P305" s="3"/>
      <c r="Q305" s="3"/>
    </row>
    <row r="306" spans="1:17" ht="16.5" customHeight="1">
      <c r="A306" s="3"/>
      <c r="B306" s="3"/>
      <c r="C306" s="3"/>
      <c r="I306" s="3"/>
      <c r="J306" s="3"/>
      <c r="K306" s="3"/>
      <c r="L306" s="3"/>
      <c r="M306" s="3"/>
      <c r="N306" s="3"/>
      <c r="O306" s="3"/>
      <c r="P306" s="3"/>
      <c r="Q306" s="3"/>
    </row>
    <row r="307" spans="1:17" ht="16.5" customHeight="1">
      <c r="A307" s="3"/>
      <c r="B307" s="3"/>
      <c r="C307" s="3"/>
      <c r="I307" s="3"/>
      <c r="J307" s="3"/>
      <c r="K307" s="3"/>
      <c r="L307" s="3"/>
      <c r="M307" s="3"/>
      <c r="N307" s="3"/>
      <c r="O307" s="3"/>
      <c r="P307" s="3"/>
      <c r="Q307" s="3"/>
    </row>
    <row r="308" spans="1:17" ht="16.5" customHeight="1">
      <c r="A308" s="3"/>
      <c r="B308" s="3"/>
      <c r="C308" s="3"/>
      <c r="I308" s="3"/>
      <c r="J308" s="3"/>
      <c r="K308" s="3"/>
      <c r="L308" s="3"/>
      <c r="M308" s="3"/>
      <c r="N308" s="3"/>
      <c r="O308" s="3"/>
      <c r="P308" s="3"/>
      <c r="Q308" s="3"/>
    </row>
    <row r="309" spans="1:17" ht="16.5" customHeight="1">
      <c r="A309" s="3"/>
      <c r="B309" s="3"/>
      <c r="C309" s="3"/>
      <c r="I309" s="3"/>
      <c r="J309" s="3"/>
      <c r="K309" s="3"/>
      <c r="L309" s="3"/>
      <c r="M309" s="3"/>
      <c r="N309" s="3"/>
      <c r="O309" s="3"/>
      <c r="P309" s="3"/>
      <c r="Q309" s="3"/>
    </row>
    <row r="310" spans="1:17" ht="16.5" customHeight="1">
      <c r="A310" s="3"/>
      <c r="B310" s="3"/>
      <c r="C310" s="3"/>
      <c r="I310" s="3"/>
      <c r="J310" s="3"/>
      <c r="K310" s="3"/>
      <c r="L310" s="3"/>
      <c r="M310" s="3"/>
      <c r="N310" s="3"/>
      <c r="O310" s="3"/>
      <c r="P310" s="3"/>
      <c r="Q310" s="3"/>
    </row>
    <row r="311" spans="1:17" ht="16.5" customHeight="1">
      <c r="A311" s="3"/>
      <c r="B311" s="3"/>
      <c r="C311" s="3"/>
      <c r="I311" s="3"/>
      <c r="J311" s="3"/>
      <c r="K311" s="3"/>
      <c r="L311" s="3"/>
      <c r="M311" s="3"/>
      <c r="N311" s="3"/>
      <c r="O311" s="3"/>
      <c r="P311" s="3"/>
      <c r="Q311" s="3"/>
    </row>
    <row r="312" spans="1:17" ht="16.5" customHeight="1">
      <c r="A312" s="3"/>
      <c r="B312" s="3"/>
      <c r="C312" s="3"/>
      <c r="I312" s="3"/>
      <c r="J312" s="3"/>
      <c r="K312" s="3"/>
      <c r="L312" s="3"/>
      <c r="M312" s="3"/>
      <c r="N312" s="3"/>
      <c r="O312" s="3"/>
      <c r="P312" s="3"/>
      <c r="Q312" s="3"/>
    </row>
    <row r="313" spans="1:17" ht="16.5" customHeight="1">
      <c r="A313" s="3"/>
      <c r="B313" s="3"/>
      <c r="C313" s="3"/>
      <c r="I313" s="3"/>
      <c r="J313" s="3"/>
      <c r="K313" s="3"/>
      <c r="L313" s="3"/>
      <c r="M313" s="3"/>
      <c r="N313" s="3"/>
      <c r="O313" s="3"/>
      <c r="P313" s="3"/>
      <c r="Q313" s="3"/>
    </row>
    <row r="314" spans="1:17" ht="16.5" customHeight="1">
      <c r="A314" s="3"/>
      <c r="B314" s="3"/>
      <c r="C314" s="3"/>
      <c r="I314" s="3"/>
      <c r="J314" s="3"/>
      <c r="K314" s="3"/>
      <c r="L314" s="3"/>
      <c r="M314" s="3"/>
      <c r="N314" s="3"/>
      <c r="O314" s="3"/>
      <c r="P314" s="3"/>
      <c r="Q314" s="3"/>
    </row>
    <row r="315" spans="1:17" ht="16.5" customHeight="1">
      <c r="A315" s="3"/>
      <c r="B315" s="3"/>
      <c r="C315" s="3"/>
      <c r="I315" s="3"/>
      <c r="J315" s="3"/>
      <c r="K315" s="3"/>
      <c r="L315" s="3"/>
      <c r="M315" s="3"/>
      <c r="N315" s="3"/>
      <c r="O315" s="3"/>
      <c r="P315" s="3"/>
      <c r="Q315" s="3"/>
    </row>
    <row r="316" spans="1:17" ht="16.5" customHeight="1">
      <c r="A316" s="3"/>
      <c r="B316" s="3"/>
      <c r="C316" s="3"/>
      <c r="I316" s="3"/>
      <c r="J316" s="3"/>
      <c r="K316" s="3"/>
      <c r="L316" s="3"/>
      <c r="M316" s="3"/>
      <c r="N316" s="3"/>
      <c r="O316" s="3"/>
      <c r="P316" s="3"/>
      <c r="Q316" s="3"/>
    </row>
    <row r="317" spans="1:17" ht="16.5" customHeight="1">
      <c r="A317" s="3"/>
      <c r="B317" s="3"/>
      <c r="C317" s="3"/>
      <c r="I317" s="3"/>
      <c r="J317" s="3"/>
      <c r="K317" s="3"/>
      <c r="L317" s="3"/>
      <c r="M317" s="3"/>
      <c r="N317" s="3"/>
      <c r="O317" s="3"/>
      <c r="P317" s="3"/>
      <c r="Q317" s="3"/>
    </row>
    <row r="318" spans="1:17" ht="16.5" customHeight="1">
      <c r="A318" s="3"/>
      <c r="B318" s="3"/>
      <c r="C318" s="3"/>
      <c r="I318" s="3"/>
      <c r="J318" s="3"/>
      <c r="K318" s="3"/>
      <c r="L318" s="3"/>
      <c r="M318" s="3"/>
      <c r="N318" s="3"/>
      <c r="O318" s="3"/>
      <c r="P318" s="3"/>
      <c r="Q318" s="3"/>
    </row>
    <row r="319" spans="1:17" ht="16.5" customHeight="1">
      <c r="A319" s="3"/>
      <c r="B319" s="3"/>
      <c r="C319" s="3"/>
      <c r="I319" s="3"/>
      <c r="J319" s="3"/>
      <c r="K319" s="3"/>
      <c r="L319" s="3"/>
      <c r="M319" s="3"/>
      <c r="N319" s="3"/>
      <c r="O319" s="3"/>
      <c r="P319" s="3"/>
      <c r="Q319" s="3"/>
    </row>
    <row r="320" spans="1:17" ht="16.5" customHeight="1">
      <c r="A320" s="3"/>
      <c r="B320" s="3"/>
      <c r="C320" s="3"/>
      <c r="I320" s="3"/>
      <c r="J320" s="3"/>
      <c r="K320" s="3"/>
      <c r="L320" s="3"/>
      <c r="M320" s="3"/>
      <c r="N320" s="3"/>
      <c r="O320" s="3"/>
      <c r="P320" s="3"/>
      <c r="Q320" s="3"/>
    </row>
    <row r="321" spans="1:17" ht="16.5" customHeight="1">
      <c r="A321" s="3"/>
      <c r="B321" s="3"/>
      <c r="C321" s="3"/>
      <c r="I321" s="3"/>
      <c r="J321" s="3"/>
      <c r="K321" s="3"/>
      <c r="L321" s="3"/>
      <c r="M321" s="3"/>
      <c r="N321" s="3"/>
      <c r="O321" s="3"/>
      <c r="P321" s="3"/>
      <c r="Q321" s="3"/>
    </row>
    <row r="322" spans="1:17" ht="16.5" customHeight="1">
      <c r="A322" s="3"/>
      <c r="B322" s="3"/>
      <c r="C322" s="3"/>
      <c r="I322" s="3"/>
      <c r="J322" s="3"/>
      <c r="K322" s="3"/>
      <c r="L322" s="3"/>
      <c r="M322" s="3"/>
      <c r="N322" s="3"/>
      <c r="O322" s="3"/>
      <c r="P322" s="3"/>
      <c r="Q322" s="3"/>
    </row>
    <row r="323" spans="1:17" ht="16.5" customHeight="1">
      <c r="A323" s="3"/>
      <c r="B323" s="3"/>
      <c r="C323" s="3"/>
      <c r="I323" s="3"/>
      <c r="J323" s="3"/>
      <c r="K323" s="3"/>
      <c r="L323" s="3"/>
      <c r="M323" s="3"/>
      <c r="N323" s="3"/>
      <c r="O323" s="3"/>
      <c r="P323" s="3"/>
      <c r="Q323" s="3"/>
    </row>
    <row r="324" spans="1:17" ht="16.5" customHeight="1">
      <c r="A324" s="3"/>
      <c r="B324" s="3"/>
      <c r="C324" s="3"/>
      <c r="I324" s="3"/>
      <c r="J324" s="3"/>
      <c r="K324" s="3"/>
      <c r="L324" s="3"/>
      <c r="M324" s="3"/>
      <c r="N324" s="3"/>
      <c r="O324" s="3"/>
      <c r="P324" s="3"/>
      <c r="Q324" s="3"/>
    </row>
    <row r="325" spans="1:17" ht="16.5" customHeight="1">
      <c r="A325" s="3"/>
      <c r="B325" s="3"/>
      <c r="C325" s="3"/>
      <c r="I325" s="3"/>
      <c r="J325" s="3"/>
      <c r="K325" s="3"/>
      <c r="L325" s="3"/>
      <c r="M325" s="3"/>
      <c r="N325" s="3"/>
      <c r="O325" s="3"/>
      <c r="P325" s="3"/>
      <c r="Q325" s="3"/>
    </row>
    <row r="326" spans="1:17" ht="16.5" customHeight="1">
      <c r="A326" s="3"/>
      <c r="B326" s="3"/>
      <c r="C326" s="3"/>
      <c r="I326" s="3"/>
      <c r="J326" s="3"/>
      <c r="K326" s="3"/>
      <c r="L326" s="3"/>
      <c r="M326" s="3"/>
      <c r="N326" s="3"/>
      <c r="O326" s="3"/>
      <c r="P326" s="3"/>
      <c r="Q326" s="3"/>
    </row>
    <row r="327" spans="1:17" ht="16.5" customHeight="1">
      <c r="A327" s="3"/>
      <c r="B327" s="3"/>
      <c r="C327" s="3"/>
      <c r="I327" s="3"/>
      <c r="J327" s="3"/>
      <c r="K327" s="3"/>
      <c r="L327" s="3"/>
      <c r="M327" s="3"/>
      <c r="N327" s="3"/>
      <c r="O327" s="3"/>
      <c r="P327" s="3"/>
      <c r="Q327" s="3"/>
    </row>
    <row r="328" spans="1:17" ht="16.5" customHeight="1">
      <c r="A328" s="3"/>
      <c r="B328" s="3"/>
      <c r="C328" s="3"/>
      <c r="I328" s="3"/>
      <c r="J328" s="3"/>
      <c r="K328" s="3"/>
      <c r="L328" s="3"/>
      <c r="M328" s="3"/>
      <c r="N328" s="3"/>
      <c r="O328" s="3"/>
      <c r="P328" s="3"/>
      <c r="Q328" s="3"/>
    </row>
    <row r="329" spans="1:17" ht="16.5" customHeight="1">
      <c r="A329" s="3"/>
      <c r="B329" s="3"/>
      <c r="C329" s="3"/>
      <c r="I329" s="3"/>
      <c r="J329" s="3"/>
      <c r="K329" s="3"/>
      <c r="L329" s="3"/>
      <c r="M329" s="3"/>
      <c r="N329" s="3"/>
      <c r="O329" s="3"/>
      <c r="P329" s="3"/>
      <c r="Q329" s="3"/>
    </row>
    <row r="330" spans="1:17" ht="16.5" customHeight="1">
      <c r="A330" s="3"/>
      <c r="B330" s="3"/>
      <c r="C330" s="3"/>
      <c r="I330" s="3"/>
      <c r="J330" s="3"/>
      <c r="K330" s="3"/>
      <c r="L330" s="3"/>
      <c r="M330" s="3"/>
      <c r="N330" s="3"/>
      <c r="O330" s="3"/>
      <c r="P330" s="3"/>
      <c r="Q330" s="3"/>
    </row>
    <row r="331" spans="1:17" ht="16.5" customHeight="1">
      <c r="A331" s="3"/>
      <c r="B331" s="3"/>
      <c r="C331" s="3"/>
      <c r="I331" s="3"/>
      <c r="J331" s="3"/>
      <c r="K331" s="3"/>
      <c r="L331" s="3"/>
      <c r="M331" s="3"/>
      <c r="N331" s="3"/>
      <c r="O331" s="3"/>
      <c r="P331" s="3"/>
      <c r="Q331" s="3"/>
    </row>
    <row r="332" spans="1:17" ht="16.5" customHeight="1">
      <c r="A332" s="3"/>
      <c r="B332" s="3"/>
      <c r="C332" s="3"/>
      <c r="I332" s="3"/>
      <c r="J332" s="3"/>
      <c r="K332" s="3"/>
      <c r="L332" s="3"/>
      <c r="M332" s="3"/>
      <c r="N332" s="3"/>
      <c r="O332" s="3"/>
      <c r="P332" s="3"/>
      <c r="Q332" s="3"/>
    </row>
    <row r="333" spans="1:17" ht="16.5" customHeight="1">
      <c r="A333" s="3"/>
      <c r="B333" s="3"/>
      <c r="C333" s="3"/>
      <c r="I333" s="3"/>
      <c r="J333" s="3"/>
      <c r="K333" s="3"/>
      <c r="L333" s="3"/>
      <c r="M333" s="3"/>
      <c r="N333" s="3"/>
      <c r="O333" s="3"/>
      <c r="P333" s="3"/>
      <c r="Q333" s="3"/>
    </row>
    <row r="334" spans="1:17" ht="16.5" customHeight="1">
      <c r="A334" s="3"/>
      <c r="B334" s="3"/>
      <c r="C334" s="3"/>
      <c r="I334" s="3"/>
      <c r="J334" s="3"/>
      <c r="K334" s="3"/>
      <c r="L334" s="3"/>
      <c r="M334" s="3"/>
      <c r="N334" s="3"/>
      <c r="O334" s="3"/>
      <c r="P334" s="3"/>
      <c r="Q334" s="3"/>
    </row>
    <row r="335" spans="1:17" ht="16.5" customHeight="1">
      <c r="A335" s="3"/>
      <c r="B335" s="3"/>
      <c r="C335" s="3"/>
      <c r="I335" s="3"/>
      <c r="J335" s="3"/>
      <c r="K335" s="3"/>
      <c r="L335" s="3"/>
      <c r="M335" s="3"/>
      <c r="N335" s="3"/>
      <c r="O335" s="3"/>
      <c r="P335" s="3"/>
      <c r="Q335" s="3"/>
    </row>
    <row r="336" spans="1:17" ht="16.5" customHeight="1">
      <c r="A336" s="3"/>
      <c r="B336" s="3"/>
      <c r="C336" s="3"/>
      <c r="I336" s="3"/>
      <c r="J336" s="3"/>
      <c r="K336" s="3"/>
      <c r="L336" s="3"/>
      <c r="M336" s="3"/>
      <c r="N336" s="3"/>
      <c r="O336" s="3"/>
      <c r="P336" s="3"/>
      <c r="Q336" s="3"/>
    </row>
    <row r="337" spans="1:17" ht="16.5" customHeight="1">
      <c r="A337" s="3"/>
      <c r="B337" s="3"/>
      <c r="C337" s="3"/>
      <c r="I337" s="3"/>
      <c r="J337" s="3"/>
      <c r="K337" s="3"/>
      <c r="L337" s="3"/>
      <c r="M337" s="3"/>
      <c r="N337" s="3"/>
      <c r="O337" s="3"/>
      <c r="P337" s="3"/>
      <c r="Q337" s="3"/>
    </row>
    <row r="338" spans="1:17" ht="16.5" customHeight="1">
      <c r="A338" s="3"/>
      <c r="B338" s="3"/>
      <c r="C338" s="3"/>
      <c r="I338" s="3"/>
      <c r="J338" s="3"/>
      <c r="K338" s="3"/>
      <c r="L338" s="3"/>
      <c r="M338" s="3"/>
      <c r="N338" s="3"/>
      <c r="O338" s="3"/>
      <c r="P338" s="3"/>
      <c r="Q338" s="3"/>
    </row>
    <row r="339" spans="1:17" ht="16.5" customHeight="1">
      <c r="A339" s="3"/>
      <c r="B339" s="3"/>
      <c r="C339" s="3"/>
      <c r="I339" s="3"/>
      <c r="J339" s="3"/>
      <c r="K339" s="3"/>
      <c r="L339" s="3"/>
      <c r="M339" s="3"/>
      <c r="N339" s="3"/>
      <c r="O339" s="3"/>
      <c r="P339" s="3"/>
      <c r="Q339" s="3"/>
    </row>
    <row r="340" spans="1:17" ht="16.5" customHeight="1">
      <c r="A340" s="3"/>
      <c r="B340" s="3"/>
      <c r="C340" s="3"/>
      <c r="I340" s="3"/>
      <c r="J340" s="3"/>
      <c r="K340" s="3"/>
      <c r="L340" s="3"/>
      <c r="M340" s="3"/>
      <c r="N340" s="3"/>
      <c r="O340" s="3"/>
      <c r="P340" s="3"/>
      <c r="Q340" s="3"/>
    </row>
    <row r="341" spans="1:17" ht="16.5" customHeight="1">
      <c r="A341" s="3"/>
      <c r="B341" s="3"/>
      <c r="C341" s="3"/>
      <c r="I341" s="3"/>
      <c r="J341" s="3"/>
      <c r="K341" s="3"/>
      <c r="L341" s="3"/>
      <c r="M341" s="3"/>
      <c r="N341" s="3"/>
      <c r="O341" s="3"/>
      <c r="P341" s="3"/>
      <c r="Q341" s="3"/>
    </row>
    <row r="342" spans="1:17" ht="16.5" customHeight="1">
      <c r="A342" s="3"/>
      <c r="B342" s="3"/>
      <c r="C342" s="3"/>
      <c r="I342" s="3"/>
      <c r="J342" s="3"/>
      <c r="K342" s="3"/>
      <c r="L342" s="3"/>
      <c r="M342" s="3"/>
      <c r="N342" s="3"/>
      <c r="O342" s="3"/>
      <c r="P342" s="3"/>
      <c r="Q342" s="3"/>
    </row>
    <row r="343" spans="1:17" ht="16.5" customHeight="1">
      <c r="A343" s="3"/>
      <c r="B343" s="3"/>
      <c r="C343" s="3"/>
      <c r="I343" s="3"/>
      <c r="J343" s="3"/>
      <c r="K343" s="3"/>
      <c r="L343" s="3"/>
      <c r="M343" s="3"/>
      <c r="N343" s="3"/>
      <c r="O343" s="3"/>
      <c r="P343" s="3"/>
      <c r="Q343" s="3"/>
    </row>
    <row r="344" spans="1:17" ht="16.5" customHeight="1">
      <c r="A344" s="3"/>
      <c r="B344" s="3"/>
      <c r="C344" s="3"/>
      <c r="I344" s="3"/>
      <c r="J344" s="3"/>
      <c r="K344" s="3"/>
      <c r="L344" s="3"/>
      <c r="M344" s="3"/>
      <c r="N344" s="3"/>
      <c r="O344" s="3"/>
      <c r="P344" s="3"/>
      <c r="Q344" s="3"/>
    </row>
    <row r="345" spans="1:17" ht="16.5" customHeight="1">
      <c r="A345" s="3"/>
      <c r="B345" s="3"/>
      <c r="C345" s="3"/>
      <c r="I345" s="3"/>
      <c r="J345" s="3"/>
      <c r="K345" s="3"/>
      <c r="L345" s="3"/>
      <c r="M345" s="3"/>
      <c r="N345" s="3"/>
      <c r="O345" s="3"/>
      <c r="P345" s="3"/>
      <c r="Q345" s="3"/>
    </row>
    <row r="346" spans="1:17" ht="16.5" customHeight="1">
      <c r="A346" s="3"/>
      <c r="B346" s="3"/>
      <c r="C346" s="3"/>
      <c r="I346" s="3"/>
      <c r="J346" s="3"/>
      <c r="K346" s="3"/>
      <c r="L346" s="3"/>
      <c r="M346" s="3"/>
      <c r="N346" s="3"/>
      <c r="O346" s="3"/>
      <c r="P346" s="3"/>
      <c r="Q346" s="3"/>
    </row>
    <row r="347" spans="1:17" ht="16.5" customHeight="1">
      <c r="A347" s="3"/>
      <c r="B347" s="3"/>
      <c r="C347" s="3"/>
      <c r="I347" s="3"/>
      <c r="J347" s="3"/>
      <c r="K347" s="3"/>
      <c r="L347" s="3"/>
      <c r="M347" s="3"/>
      <c r="N347" s="3"/>
      <c r="O347" s="3"/>
      <c r="P347" s="3"/>
      <c r="Q347" s="3"/>
    </row>
    <row r="348" spans="1:17" ht="16.5" customHeight="1">
      <c r="A348" s="3"/>
      <c r="B348" s="3"/>
      <c r="C348" s="3"/>
      <c r="I348" s="3"/>
      <c r="J348" s="3"/>
      <c r="K348" s="3"/>
      <c r="L348" s="3"/>
      <c r="M348" s="3"/>
      <c r="N348" s="3"/>
      <c r="O348" s="3"/>
      <c r="P348" s="3"/>
      <c r="Q348" s="3"/>
    </row>
    <row r="349" spans="1:17" ht="16.5" customHeight="1">
      <c r="A349" s="3"/>
      <c r="B349" s="3"/>
      <c r="C349" s="3"/>
      <c r="I349" s="3"/>
      <c r="J349" s="3"/>
      <c r="K349" s="3"/>
      <c r="L349" s="3"/>
      <c r="M349" s="3"/>
      <c r="N349" s="3"/>
      <c r="O349" s="3"/>
      <c r="P349" s="3"/>
      <c r="Q349" s="3"/>
    </row>
    <row r="350" spans="1:17" ht="16.5" customHeight="1">
      <c r="A350" s="3"/>
      <c r="B350" s="3"/>
      <c r="C350" s="3"/>
      <c r="I350" s="3"/>
      <c r="J350" s="3"/>
      <c r="K350" s="3"/>
      <c r="L350" s="3"/>
      <c r="M350" s="3"/>
      <c r="N350" s="3"/>
      <c r="O350" s="3"/>
      <c r="P350" s="3"/>
      <c r="Q350" s="3"/>
    </row>
    <row r="351" spans="1:17" ht="16.5" customHeight="1">
      <c r="A351" s="3"/>
      <c r="B351" s="3"/>
      <c r="C351" s="3"/>
      <c r="I351" s="3"/>
      <c r="J351" s="3"/>
      <c r="K351" s="3"/>
      <c r="L351" s="3"/>
      <c r="M351" s="3"/>
      <c r="N351" s="3"/>
      <c r="O351" s="3"/>
      <c r="P351" s="3"/>
      <c r="Q351" s="3"/>
    </row>
    <row r="352" spans="1:17" ht="16.5" customHeight="1">
      <c r="A352" s="3"/>
      <c r="B352" s="3"/>
      <c r="C352" s="3"/>
      <c r="I352" s="3"/>
      <c r="J352" s="3"/>
      <c r="K352" s="3"/>
      <c r="L352" s="3"/>
      <c r="M352" s="3"/>
      <c r="N352" s="3"/>
      <c r="O352" s="3"/>
      <c r="P352" s="3"/>
      <c r="Q352" s="3"/>
    </row>
    <row r="353" spans="1:17" ht="16.5" customHeight="1">
      <c r="A353" s="3"/>
      <c r="B353" s="3"/>
      <c r="C353" s="3"/>
      <c r="I353" s="3"/>
      <c r="J353" s="3"/>
      <c r="K353" s="3"/>
      <c r="L353" s="3"/>
      <c r="M353" s="3"/>
      <c r="N353" s="3"/>
      <c r="O353" s="3"/>
      <c r="P353" s="3"/>
      <c r="Q353" s="3"/>
    </row>
    <row r="354" spans="1:17" ht="16.5" customHeight="1">
      <c r="A354" s="3"/>
      <c r="B354" s="3"/>
      <c r="C354" s="3"/>
      <c r="I354" s="3"/>
      <c r="J354" s="3"/>
      <c r="K354" s="3"/>
      <c r="L354" s="3"/>
      <c r="M354" s="3"/>
      <c r="N354" s="3"/>
      <c r="O354" s="3"/>
      <c r="P354" s="3"/>
      <c r="Q354" s="3"/>
    </row>
    <row r="355" spans="1:17" ht="16.5" customHeight="1">
      <c r="A355" s="3"/>
      <c r="B355" s="3"/>
      <c r="C355" s="3"/>
      <c r="I355" s="3"/>
      <c r="J355" s="3"/>
      <c r="K355" s="3"/>
      <c r="L355" s="3"/>
      <c r="M355" s="3"/>
      <c r="N355" s="3"/>
      <c r="O355" s="3"/>
      <c r="P355" s="3"/>
      <c r="Q355" s="3"/>
    </row>
    <row r="356" spans="1:17" ht="16.5" customHeight="1">
      <c r="A356" s="3"/>
      <c r="B356" s="3"/>
      <c r="C356" s="3"/>
      <c r="I356" s="3"/>
      <c r="J356" s="3"/>
      <c r="K356" s="3"/>
      <c r="L356" s="3"/>
      <c r="M356" s="3"/>
      <c r="N356" s="3"/>
      <c r="O356" s="3"/>
      <c r="P356" s="3"/>
      <c r="Q356" s="3"/>
    </row>
    <row r="357" spans="1:17" ht="16.5" customHeight="1">
      <c r="A357" s="3"/>
      <c r="B357" s="3"/>
      <c r="C357" s="3"/>
      <c r="I357" s="3"/>
      <c r="J357" s="3"/>
      <c r="K357" s="3"/>
      <c r="L357" s="3"/>
      <c r="M357" s="3"/>
      <c r="N357" s="3"/>
      <c r="O357" s="3"/>
      <c r="P357" s="3"/>
      <c r="Q357" s="3"/>
    </row>
    <row r="358" spans="1:17" ht="16.5" customHeight="1">
      <c r="A358" s="3"/>
      <c r="B358" s="3"/>
      <c r="C358" s="3"/>
      <c r="I358" s="3"/>
      <c r="J358" s="3"/>
      <c r="K358" s="3"/>
      <c r="L358" s="3"/>
      <c r="M358" s="3"/>
      <c r="N358" s="3"/>
      <c r="O358" s="3"/>
      <c r="P358" s="3"/>
      <c r="Q358" s="3"/>
    </row>
    <row r="359" spans="1:17" ht="16.5" customHeight="1">
      <c r="A359" s="3"/>
      <c r="B359" s="3"/>
      <c r="C359" s="3"/>
      <c r="I359" s="3"/>
      <c r="J359" s="3"/>
      <c r="K359" s="3"/>
      <c r="L359" s="3"/>
      <c r="M359" s="3"/>
      <c r="N359" s="3"/>
      <c r="O359" s="3"/>
      <c r="P359" s="3"/>
      <c r="Q359" s="3"/>
    </row>
    <row r="360" spans="1:17" ht="16.5" customHeight="1">
      <c r="A360" s="3"/>
      <c r="B360" s="3"/>
      <c r="C360" s="3"/>
      <c r="I360" s="3"/>
      <c r="J360" s="3"/>
      <c r="K360" s="3"/>
      <c r="L360" s="3"/>
      <c r="M360" s="3"/>
      <c r="N360" s="3"/>
      <c r="O360" s="3"/>
      <c r="P360" s="3"/>
      <c r="Q360" s="3"/>
    </row>
    <row r="361" spans="1:17" ht="16.5" customHeight="1">
      <c r="A361" s="3"/>
      <c r="B361" s="3"/>
      <c r="C361" s="3"/>
      <c r="I361" s="3"/>
      <c r="J361" s="3"/>
      <c r="K361" s="3"/>
      <c r="L361" s="3"/>
      <c r="M361" s="3"/>
      <c r="N361" s="3"/>
      <c r="O361" s="3"/>
      <c r="P361" s="3"/>
      <c r="Q361" s="3"/>
    </row>
    <row r="362" spans="1:17" ht="16.5" customHeight="1">
      <c r="A362" s="3"/>
      <c r="B362" s="3"/>
      <c r="C362" s="3"/>
      <c r="I362" s="3"/>
      <c r="J362" s="3"/>
      <c r="K362" s="3"/>
      <c r="L362" s="3"/>
      <c r="M362" s="3"/>
      <c r="N362" s="3"/>
      <c r="O362" s="3"/>
      <c r="P362" s="3"/>
      <c r="Q362" s="3"/>
    </row>
    <row r="363" spans="1:17" ht="16.5" customHeight="1">
      <c r="A363" s="3"/>
      <c r="B363" s="3"/>
      <c r="C363" s="3"/>
      <c r="I363" s="3"/>
      <c r="J363" s="3"/>
      <c r="K363" s="3"/>
      <c r="L363" s="3"/>
      <c r="M363" s="3"/>
      <c r="N363" s="3"/>
      <c r="O363" s="3"/>
      <c r="P363" s="3"/>
      <c r="Q363" s="3"/>
    </row>
    <row r="364" spans="1:17" ht="16.5" customHeight="1">
      <c r="A364" s="3"/>
      <c r="B364" s="3"/>
      <c r="C364" s="3"/>
      <c r="I364" s="3"/>
      <c r="J364" s="3"/>
      <c r="K364" s="3"/>
      <c r="L364" s="3"/>
      <c r="M364" s="3"/>
      <c r="N364" s="3"/>
      <c r="O364" s="3"/>
      <c r="P364" s="3"/>
      <c r="Q364" s="3"/>
    </row>
    <row r="365" spans="1:17" ht="16.5" customHeight="1">
      <c r="A365" s="3"/>
      <c r="B365" s="3"/>
      <c r="C365" s="3"/>
      <c r="I365" s="3"/>
      <c r="J365" s="3"/>
      <c r="K365" s="3"/>
      <c r="L365" s="3"/>
      <c r="M365" s="3"/>
      <c r="N365" s="3"/>
      <c r="O365" s="3"/>
      <c r="P365" s="3"/>
      <c r="Q365" s="3"/>
    </row>
    <row r="366" spans="1:17" ht="16.5" customHeight="1">
      <c r="A366" s="3"/>
      <c r="B366" s="3"/>
      <c r="C366" s="3"/>
      <c r="I366" s="3"/>
      <c r="J366" s="3"/>
      <c r="K366" s="3"/>
      <c r="L366" s="3"/>
      <c r="M366" s="3"/>
      <c r="N366" s="3"/>
      <c r="O366" s="3"/>
      <c r="P366" s="3"/>
      <c r="Q366" s="3"/>
    </row>
    <row r="367" spans="1:17" ht="16.5" customHeight="1">
      <c r="A367" s="3"/>
      <c r="B367" s="3"/>
      <c r="C367" s="3"/>
      <c r="I367" s="3"/>
      <c r="J367" s="3"/>
      <c r="K367" s="3"/>
      <c r="L367" s="3"/>
      <c r="M367" s="3"/>
      <c r="N367" s="3"/>
      <c r="O367" s="3"/>
      <c r="P367" s="3"/>
      <c r="Q367" s="3"/>
    </row>
    <row r="368" spans="1:17" ht="16.5" customHeight="1">
      <c r="A368" s="3"/>
      <c r="B368" s="3"/>
      <c r="C368" s="3"/>
      <c r="I368" s="3"/>
      <c r="J368" s="3"/>
      <c r="K368" s="3"/>
      <c r="L368" s="3"/>
      <c r="M368" s="3"/>
      <c r="N368" s="3"/>
      <c r="O368" s="3"/>
      <c r="P368" s="3"/>
      <c r="Q368" s="3"/>
    </row>
    <row r="369" spans="1:17" ht="16.5" customHeight="1">
      <c r="A369" s="3"/>
      <c r="B369" s="3"/>
      <c r="C369" s="3"/>
      <c r="I369" s="3"/>
      <c r="J369" s="3"/>
      <c r="K369" s="3"/>
      <c r="L369" s="3"/>
      <c r="M369" s="3"/>
      <c r="N369" s="3"/>
      <c r="O369" s="3"/>
      <c r="P369" s="3"/>
      <c r="Q369" s="3"/>
    </row>
    <row r="370" spans="1:17" ht="16.5" customHeight="1">
      <c r="A370" s="3"/>
      <c r="B370" s="3"/>
      <c r="C370" s="3"/>
      <c r="I370" s="3"/>
      <c r="J370" s="3"/>
      <c r="K370" s="3"/>
      <c r="L370" s="3"/>
      <c r="M370" s="3"/>
      <c r="N370" s="3"/>
      <c r="O370" s="3"/>
      <c r="P370" s="3"/>
      <c r="Q370" s="3"/>
    </row>
    <row r="371" spans="1:17" ht="16.5" customHeight="1">
      <c r="A371" s="3"/>
      <c r="B371" s="3"/>
      <c r="C371" s="3"/>
      <c r="I371" s="3"/>
      <c r="J371" s="3"/>
      <c r="K371" s="3"/>
      <c r="L371" s="3"/>
      <c r="M371" s="3"/>
      <c r="N371" s="3"/>
      <c r="O371" s="3"/>
      <c r="P371" s="3"/>
      <c r="Q371" s="3"/>
    </row>
    <row r="372" spans="1:17" ht="16.5" customHeight="1">
      <c r="A372" s="3"/>
      <c r="B372" s="3"/>
      <c r="C372" s="3"/>
      <c r="I372" s="3"/>
      <c r="J372" s="3"/>
      <c r="K372" s="3"/>
      <c r="L372" s="3"/>
      <c r="M372" s="3"/>
      <c r="N372" s="3"/>
      <c r="O372" s="3"/>
      <c r="P372" s="3"/>
      <c r="Q372" s="3"/>
    </row>
    <row r="373" spans="1:17" ht="16.5" customHeight="1">
      <c r="A373" s="3"/>
      <c r="B373" s="3"/>
      <c r="C373" s="3"/>
      <c r="I373" s="3"/>
      <c r="J373" s="3"/>
      <c r="K373" s="3"/>
      <c r="L373" s="3"/>
      <c r="M373" s="3"/>
      <c r="N373" s="3"/>
      <c r="O373" s="3"/>
      <c r="P373" s="3"/>
      <c r="Q373" s="3"/>
    </row>
    <row r="374" spans="1:17" ht="16.5" customHeight="1">
      <c r="A374" s="3"/>
      <c r="B374" s="3"/>
      <c r="C374" s="3"/>
      <c r="I374" s="3"/>
      <c r="J374" s="3"/>
      <c r="K374" s="3"/>
      <c r="L374" s="3"/>
      <c r="M374" s="3"/>
      <c r="N374" s="3"/>
      <c r="O374" s="3"/>
      <c r="P374" s="3"/>
      <c r="Q374" s="3"/>
    </row>
    <row r="375" spans="1:17" ht="16.5" customHeight="1">
      <c r="A375" s="3"/>
      <c r="B375" s="3"/>
      <c r="C375" s="3"/>
      <c r="I375" s="3"/>
      <c r="J375" s="3"/>
      <c r="K375" s="3"/>
      <c r="L375" s="3"/>
      <c r="M375" s="3"/>
      <c r="N375" s="3"/>
      <c r="O375" s="3"/>
      <c r="P375" s="3"/>
      <c r="Q375" s="3"/>
    </row>
    <row r="376" spans="1:17" ht="16.5" customHeight="1">
      <c r="A376" s="3"/>
      <c r="B376" s="3"/>
      <c r="C376" s="3"/>
      <c r="I376" s="3"/>
      <c r="J376" s="3"/>
      <c r="K376" s="3"/>
      <c r="L376" s="3"/>
      <c r="M376" s="3"/>
      <c r="N376" s="3"/>
      <c r="O376" s="3"/>
      <c r="P376" s="3"/>
      <c r="Q376" s="3"/>
    </row>
    <row r="377" spans="1:17" ht="16.5" customHeight="1">
      <c r="A377" s="3"/>
      <c r="B377" s="3"/>
      <c r="C377" s="3"/>
      <c r="I377" s="3"/>
      <c r="J377" s="3"/>
      <c r="K377" s="3"/>
      <c r="L377" s="3"/>
      <c r="M377" s="3"/>
      <c r="N377" s="3"/>
      <c r="O377" s="3"/>
      <c r="P377" s="3"/>
      <c r="Q377" s="3"/>
    </row>
    <row r="378" spans="1:17" ht="16.5" customHeight="1">
      <c r="A378" s="3"/>
      <c r="B378" s="3"/>
      <c r="C378" s="3"/>
      <c r="I378" s="3"/>
      <c r="J378" s="3"/>
      <c r="K378" s="3"/>
      <c r="L378" s="3"/>
      <c r="M378" s="3"/>
      <c r="N378" s="3"/>
      <c r="O378" s="3"/>
      <c r="P378" s="3"/>
      <c r="Q378" s="3"/>
    </row>
    <row r="379" spans="1:17" ht="16.5" customHeight="1">
      <c r="A379" s="3"/>
      <c r="B379" s="3"/>
      <c r="C379" s="3"/>
      <c r="I379" s="3"/>
      <c r="J379" s="3"/>
      <c r="K379" s="3"/>
      <c r="L379" s="3"/>
      <c r="M379" s="3"/>
      <c r="N379" s="3"/>
      <c r="O379" s="3"/>
      <c r="P379" s="3"/>
      <c r="Q379" s="3"/>
    </row>
    <row r="380" spans="1:17" ht="16.5" customHeight="1">
      <c r="A380" s="3"/>
      <c r="B380" s="3"/>
      <c r="C380" s="3"/>
      <c r="I380" s="3"/>
      <c r="J380" s="3"/>
      <c r="K380" s="3"/>
      <c r="L380" s="3"/>
      <c r="M380" s="3"/>
      <c r="N380" s="3"/>
      <c r="O380" s="3"/>
      <c r="P380" s="3"/>
      <c r="Q380" s="3"/>
    </row>
    <row r="381" spans="1:17" ht="16.5" customHeight="1">
      <c r="A381" s="3"/>
      <c r="B381" s="3"/>
      <c r="C381" s="3"/>
      <c r="I381" s="3"/>
      <c r="J381" s="3"/>
      <c r="K381" s="3"/>
      <c r="L381" s="3"/>
      <c r="M381" s="3"/>
      <c r="N381" s="3"/>
      <c r="O381" s="3"/>
      <c r="P381" s="3"/>
      <c r="Q381" s="3"/>
    </row>
    <row r="382" spans="1:17" ht="16.5" customHeight="1">
      <c r="A382" s="3"/>
      <c r="B382" s="3"/>
      <c r="C382" s="3"/>
      <c r="I382" s="3"/>
      <c r="J382" s="3"/>
      <c r="K382" s="3"/>
      <c r="L382" s="3"/>
      <c r="M382" s="3"/>
      <c r="N382" s="3"/>
      <c r="O382" s="3"/>
      <c r="P382" s="3"/>
      <c r="Q382" s="3"/>
    </row>
    <row r="383" spans="1:17" ht="16.5" customHeight="1">
      <c r="A383" s="3"/>
      <c r="B383" s="3"/>
      <c r="C383" s="3"/>
      <c r="I383" s="3"/>
      <c r="J383" s="3"/>
      <c r="K383" s="3"/>
      <c r="L383" s="3"/>
      <c r="M383" s="3"/>
      <c r="N383" s="3"/>
      <c r="O383" s="3"/>
      <c r="P383" s="3"/>
      <c r="Q383" s="3"/>
    </row>
    <row r="384" spans="1:17" ht="16.5" customHeight="1">
      <c r="A384" s="3"/>
      <c r="B384" s="3"/>
      <c r="C384" s="3"/>
      <c r="I384" s="3"/>
      <c r="J384" s="3"/>
      <c r="K384" s="3"/>
      <c r="L384" s="3"/>
      <c r="M384" s="3"/>
      <c r="N384" s="3"/>
      <c r="O384" s="3"/>
      <c r="P384" s="3"/>
      <c r="Q384" s="3"/>
    </row>
    <row r="385" spans="1:17" ht="16.5" customHeight="1">
      <c r="A385" s="3"/>
      <c r="B385" s="3"/>
      <c r="C385" s="3"/>
      <c r="I385" s="3"/>
      <c r="J385" s="3"/>
      <c r="K385" s="3"/>
      <c r="L385" s="3"/>
      <c r="M385" s="3"/>
      <c r="N385" s="3"/>
      <c r="O385" s="3"/>
      <c r="P385" s="3"/>
      <c r="Q385" s="3"/>
    </row>
    <row r="386" spans="1:17" ht="16.5" customHeight="1">
      <c r="A386" s="3"/>
      <c r="B386" s="3"/>
      <c r="C386" s="3"/>
      <c r="I386" s="3"/>
      <c r="J386" s="3"/>
      <c r="K386" s="3"/>
      <c r="L386" s="3"/>
      <c r="M386" s="3"/>
      <c r="N386" s="3"/>
      <c r="O386" s="3"/>
      <c r="P386" s="3"/>
      <c r="Q386" s="3"/>
    </row>
    <row r="387" spans="1:17" ht="16.5" customHeight="1">
      <c r="A387" s="3"/>
      <c r="B387" s="3"/>
      <c r="C387" s="3"/>
      <c r="I387" s="3"/>
      <c r="J387" s="3"/>
      <c r="K387" s="3"/>
      <c r="L387" s="3"/>
      <c r="M387" s="3"/>
      <c r="N387" s="3"/>
      <c r="O387" s="3"/>
      <c r="P387" s="3"/>
      <c r="Q387" s="3"/>
    </row>
    <row r="388" spans="1:17" ht="16.5" customHeight="1">
      <c r="A388" s="3"/>
      <c r="B388" s="3"/>
      <c r="C388" s="3"/>
      <c r="I388" s="3"/>
      <c r="J388" s="3"/>
      <c r="K388" s="3"/>
      <c r="L388" s="3"/>
      <c r="M388" s="3"/>
      <c r="N388" s="3"/>
      <c r="O388" s="3"/>
      <c r="P388" s="3"/>
      <c r="Q388" s="3"/>
    </row>
    <row r="389" spans="1:17" ht="16.5" customHeight="1">
      <c r="A389" s="3"/>
      <c r="B389" s="3"/>
      <c r="C389" s="3"/>
      <c r="I389" s="3"/>
      <c r="J389" s="3"/>
      <c r="K389" s="3"/>
      <c r="L389" s="3"/>
      <c r="M389" s="3"/>
      <c r="N389" s="3"/>
      <c r="O389" s="3"/>
      <c r="P389" s="3"/>
      <c r="Q389" s="3"/>
    </row>
    <row r="390" spans="1:17" ht="16.5" customHeight="1">
      <c r="A390" s="3"/>
      <c r="B390" s="3"/>
      <c r="C390" s="3"/>
      <c r="I390" s="3"/>
      <c r="J390" s="3"/>
      <c r="K390" s="3"/>
      <c r="L390" s="3"/>
      <c r="M390" s="3"/>
      <c r="N390" s="3"/>
      <c r="O390" s="3"/>
      <c r="P390" s="3"/>
      <c r="Q390" s="3"/>
    </row>
    <row r="391" spans="1:17" ht="16.5" customHeight="1">
      <c r="A391" s="3"/>
      <c r="B391" s="3"/>
      <c r="C391" s="3"/>
      <c r="I391" s="3"/>
      <c r="J391" s="3"/>
      <c r="K391" s="3"/>
      <c r="L391" s="3"/>
      <c r="M391" s="3"/>
      <c r="N391" s="3"/>
      <c r="O391" s="3"/>
      <c r="P391" s="3"/>
      <c r="Q391" s="3"/>
    </row>
    <row r="392" spans="1:17" ht="16.5" customHeight="1">
      <c r="A392" s="3"/>
      <c r="B392" s="3"/>
      <c r="C392" s="3"/>
      <c r="I392" s="3"/>
      <c r="J392" s="3"/>
      <c r="K392" s="3"/>
      <c r="L392" s="3"/>
      <c r="M392" s="3"/>
      <c r="N392" s="3"/>
      <c r="O392" s="3"/>
      <c r="P392" s="3"/>
      <c r="Q392" s="3"/>
    </row>
    <row r="393" spans="1:17" ht="16.5" customHeight="1">
      <c r="A393" s="3"/>
      <c r="B393" s="3"/>
      <c r="C393" s="3"/>
      <c r="I393" s="3"/>
      <c r="J393" s="3"/>
      <c r="K393" s="3"/>
      <c r="L393" s="3"/>
      <c r="M393" s="3"/>
      <c r="N393" s="3"/>
      <c r="O393" s="3"/>
      <c r="P393" s="3"/>
      <c r="Q393" s="3"/>
    </row>
    <row r="394" spans="1:17" ht="16.5" customHeight="1">
      <c r="A394" s="3"/>
      <c r="B394" s="3"/>
      <c r="C394" s="3"/>
      <c r="I394" s="3"/>
      <c r="J394" s="3"/>
      <c r="K394" s="3"/>
      <c r="L394" s="3"/>
      <c r="M394" s="3"/>
      <c r="N394" s="3"/>
      <c r="O394" s="3"/>
      <c r="P394" s="3"/>
      <c r="Q394" s="3"/>
    </row>
    <row r="395" spans="1:17" ht="16.5" customHeight="1">
      <c r="A395" s="3"/>
      <c r="B395" s="3"/>
      <c r="C395" s="3"/>
      <c r="I395" s="3"/>
      <c r="J395" s="3"/>
      <c r="K395" s="3"/>
      <c r="L395" s="3"/>
      <c r="M395" s="3"/>
      <c r="N395" s="3"/>
      <c r="O395" s="3"/>
      <c r="P395" s="3"/>
      <c r="Q395" s="3"/>
    </row>
    <row r="396" spans="1:17" ht="16.5" customHeight="1">
      <c r="A396" s="3"/>
      <c r="B396" s="3"/>
      <c r="C396" s="3"/>
      <c r="I396" s="3"/>
      <c r="J396" s="3"/>
      <c r="K396" s="3"/>
      <c r="L396" s="3"/>
      <c r="M396" s="3"/>
      <c r="N396" s="3"/>
      <c r="O396" s="3"/>
      <c r="P396" s="3"/>
      <c r="Q396" s="3"/>
    </row>
    <row r="397" spans="1:17" ht="16.5" customHeight="1">
      <c r="A397" s="3"/>
      <c r="B397" s="3"/>
      <c r="C397" s="3"/>
      <c r="I397" s="3"/>
      <c r="J397" s="3"/>
      <c r="K397" s="3"/>
      <c r="L397" s="3"/>
      <c r="M397" s="3"/>
      <c r="N397" s="3"/>
      <c r="O397" s="3"/>
      <c r="P397" s="3"/>
      <c r="Q397" s="3"/>
    </row>
    <row r="398" spans="1:17" ht="16.5" customHeight="1">
      <c r="A398" s="3"/>
      <c r="B398" s="3"/>
      <c r="C398" s="3"/>
      <c r="I398" s="3"/>
      <c r="J398" s="3"/>
      <c r="K398" s="3"/>
      <c r="L398" s="3"/>
      <c r="M398" s="3"/>
      <c r="N398" s="3"/>
      <c r="O398" s="3"/>
      <c r="P398" s="3"/>
      <c r="Q398" s="3"/>
    </row>
    <row r="399" spans="1:17" ht="16.5" customHeight="1">
      <c r="A399" s="3"/>
      <c r="B399" s="3"/>
      <c r="C399" s="3"/>
      <c r="I399" s="3"/>
      <c r="J399" s="3"/>
      <c r="K399" s="3"/>
      <c r="L399" s="3"/>
      <c r="M399" s="3"/>
      <c r="N399" s="3"/>
      <c r="O399" s="3"/>
      <c r="P399" s="3"/>
      <c r="Q399" s="3"/>
    </row>
    <row r="400" spans="1:17" ht="16.5" customHeight="1">
      <c r="A400" s="3"/>
      <c r="B400" s="3"/>
      <c r="C400" s="3"/>
      <c r="I400" s="3"/>
      <c r="J400" s="3"/>
      <c r="K400" s="3"/>
      <c r="L400" s="3"/>
      <c r="M400" s="3"/>
      <c r="N400" s="3"/>
      <c r="O400" s="3"/>
      <c r="P400" s="3"/>
      <c r="Q400" s="3"/>
    </row>
    <row r="401" spans="1:17" ht="16.5" customHeight="1">
      <c r="A401" s="3"/>
      <c r="B401" s="3"/>
      <c r="C401" s="3"/>
      <c r="I401" s="3"/>
      <c r="J401" s="3"/>
      <c r="K401" s="3"/>
      <c r="L401" s="3"/>
      <c r="M401" s="3"/>
      <c r="N401" s="3"/>
      <c r="O401" s="3"/>
      <c r="P401" s="3"/>
      <c r="Q401" s="3"/>
    </row>
    <row r="402" spans="1:17" ht="16.5" customHeight="1">
      <c r="A402" s="3"/>
      <c r="B402" s="3"/>
      <c r="C402" s="3"/>
      <c r="I402" s="3"/>
      <c r="J402" s="3"/>
      <c r="K402" s="3"/>
      <c r="L402" s="3"/>
      <c r="M402" s="3"/>
      <c r="N402" s="3"/>
      <c r="O402" s="3"/>
      <c r="P402" s="3"/>
      <c r="Q402" s="3"/>
    </row>
    <row r="403" spans="1:17" ht="16.5" customHeight="1">
      <c r="A403" s="3"/>
      <c r="B403" s="3"/>
      <c r="C403" s="3"/>
      <c r="I403" s="3"/>
      <c r="J403" s="3"/>
      <c r="K403" s="3"/>
      <c r="L403" s="3"/>
      <c r="M403" s="3"/>
      <c r="N403" s="3"/>
      <c r="O403" s="3"/>
      <c r="P403" s="3"/>
      <c r="Q403" s="3"/>
    </row>
    <row r="404" spans="1:17" ht="16.5" customHeight="1">
      <c r="A404" s="3"/>
      <c r="B404" s="3"/>
      <c r="C404" s="3"/>
      <c r="I404" s="3"/>
      <c r="J404" s="3"/>
      <c r="K404" s="3"/>
      <c r="L404" s="3"/>
      <c r="M404" s="3"/>
      <c r="N404" s="3"/>
      <c r="O404" s="3"/>
      <c r="P404" s="3"/>
      <c r="Q404" s="3"/>
    </row>
    <row r="405" spans="1:17" ht="16.5" customHeight="1">
      <c r="A405" s="3"/>
      <c r="B405" s="3"/>
      <c r="C405" s="3"/>
      <c r="I405" s="3"/>
      <c r="J405" s="3"/>
      <c r="K405" s="3"/>
      <c r="L405" s="3"/>
      <c r="M405" s="3"/>
      <c r="N405" s="3"/>
      <c r="O405" s="3"/>
      <c r="P405" s="3"/>
      <c r="Q405" s="3"/>
    </row>
    <row r="406" spans="1:17" ht="16.5" customHeight="1">
      <c r="A406" s="3"/>
      <c r="B406" s="3"/>
      <c r="C406" s="3"/>
      <c r="I406" s="3"/>
      <c r="J406" s="3"/>
      <c r="K406" s="3"/>
      <c r="L406" s="3"/>
      <c r="M406" s="3"/>
      <c r="N406" s="3"/>
      <c r="O406" s="3"/>
      <c r="P406" s="3"/>
      <c r="Q406" s="3"/>
    </row>
    <row r="407" spans="1:17" ht="16.5" customHeight="1">
      <c r="A407" s="3"/>
      <c r="B407" s="3"/>
      <c r="C407" s="3"/>
      <c r="I407" s="3"/>
      <c r="J407" s="3"/>
      <c r="K407" s="3"/>
      <c r="L407" s="3"/>
      <c r="M407" s="3"/>
      <c r="N407" s="3"/>
      <c r="O407" s="3"/>
      <c r="P407" s="3"/>
      <c r="Q407" s="3"/>
    </row>
    <row r="408" spans="1:17" ht="16.5" customHeight="1">
      <c r="A408" s="3"/>
      <c r="B408" s="3"/>
      <c r="C408" s="3"/>
      <c r="I408" s="3"/>
      <c r="J408" s="3"/>
      <c r="K408" s="3"/>
      <c r="L408" s="3"/>
      <c r="M408" s="3"/>
      <c r="N408" s="3"/>
      <c r="O408" s="3"/>
      <c r="P408" s="3"/>
      <c r="Q408" s="3"/>
    </row>
    <row r="409" spans="1:17" ht="16.5" customHeight="1">
      <c r="A409" s="3"/>
      <c r="B409" s="3"/>
      <c r="C409" s="3"/>
      <c r="I409" s="3"/>
      <c r="J409" s="3"/>
      <c r="K409" s="3"/>
      <c r="L409" s="3"/>
      <c r="M409" s="3"/>
      <c r="N409" s="3"/>
      <c r="O409" s="3"/>
      <c r="P409" s="3"/>
      <c r="Q409" s="3"/>
    </row>
    <row r="410" spans="1:17" ht="16.5" customHeight="1">
      <c r="A410" s="3"/>
      <c r="B410" s="3"/>
      <c r="C410" s="3"/>
      <c r="I410" s="3"/>
      <c r="J410" s="3"/>
      <c r="K410" s="3"/>
      <c r="L410" s="3"/>
      <c r="M410" s="3"/>
      <c r="N410" s="3"/>
      <c r="O410" s="3"/>
      <c r="P410" s="3"/>
      <c r="Q410" s="3"/>
    </row>
    <row r="411" spans="1:17" ht="16.5" customHeight="1">
      <c r="A411" s="3"/>
      <c r="B411" s="3"/>
      <c r="C411" s="3"/>
      <c r="I411" s="3"/>
      <c r="J411" s="3"/>
      <c r="K411" s="3"/>
      <c r="L411" s="3"/>
      <c r="M411" s="3"/>
      <c r="N411" s="3"/>
      <c r="O411" s="3"/>
      <c r="P411" s="3"/>
      <c r="Q411" s="3"/>
    </row>
    <row r="412" spans="1:17" ht="16.5" customHeight="1">
      <c r="A412" s="3"/>
      <c r="B412" s="3"/>
      <c r="C412" s="3"/>
      <c r="I412" s="3"/>
      <c r="J412" s="3"/>
      <c r="K412" s="3"/>
      <c r="L412" s="3"/>
      <c r="M412" s="3"/>
      <c r="N412" s="3"/>
      <c r="O412" s="3"/>
      <c r="P412" s="3"/>
      <c r="Q412" s="3"/>
    </row>
    <row r="413" spans="1:17" ht="16.5" customHeight="1">
      <c r="A413" s="3"/>
      <c r="B413" s="3"/>
      <c r="C413" s="3"/>
      <c r="I413" s="3"/>
      <c r="J413" s="3"/>
      <c r="K413" s="3"/>
      <c r="L413" s="3"/>
      <c r="M413" s="3"/>
      <c r="N413" s="3"/>
      <c r="O413" s="3"/>
      <c r="P413" s="3"/>
      <c r="Q413" s="3"/>
    </row>
    <row r="414" spans="1:17" ht="16.5" customHeight="1">
      <c r="A414" s="3"/>
      <c r="B414" s="3"/>
      <c r="C414" s="3"/>
      <c r="I414" s="3"/>
      <c r="J414" s="3"/>
      <c r="K414" s="3"/>
      <c r="L414" s="3"/>
      <c r="M414" s="3"/>
      <c r="N414" s="3"/>
      <c r="O414" s="3"/>
      <c r="P414" s="3"/>
      <c r="Q414" s="3"/>
    </row>
    <row r="415" spans="1:17" ht="16.5" customHeight="1">
      <c r="A415" s="3"/>
      <c r="B415" s="3"/>
      <c r="C415" s="3"/>
      <c r="I415" s="3"/>
      <c r="J415" s="3"/>
      <c r="K415" s="3"/>
      <c r="L415" s="3"/>
      <c r="M415" s="3"/>
      <c r="N415" s="3"/>
      <c r="O415" s="3"/>
      <c r="P415" s="3"/>
      <c r="Q415" s="3"/>
    </row>
    <row r="416" spans="1:17" ht="16.5" customHeight="1">
      <c r="A416" s="3"/>
      <c r="B416" s="3"/>
      <c r="C416" s="3"/>
      <c r="I416" s="3"/>
      <c r="J416" s="3"/>
      <c r="K416" s="3"/>
      <c r="L416" s="3"/>
      <c r="M416" s="3"/>
      <c r="N416" s="3"/>
      <c r="O416" s="3"/>
      <c r="P416" s="3"/>
      <c r="Q416" s="3"/>
    </row>
    <row r="417" spans="1:17" ht="16.5" customHeight="1">
      <c r="A417" s="3"/>
      <c r="B417" s="3"/>
      <c r="C417" s="3"/>
      <c r="I417" s="3"/>
      <c r="J417" s="3"/>
      <c r="K417" s="3"/>
      <c r="L417" s="3"/>
      <c r="M417" s="3"/>
      <c r="N417" s="3"/>
      <c r="O417" s="3"/>
      <c r="P417" s="3"/>
      <c r="Q417" s="3"/>
    </row>
    <row r="418" spans="1:17" ht="16.5" customHeight="1">
      <c r="A418" s="3"/>
      <c r="B418" s="3"/>
      <c r="C418" s="3"/>
      <c r="I418" s="3"/>
      <c r="J418" s="3"/>
      <c r="K418" s="3"/>
      <c r="L418" s="3"/>
      <c r="M418" s="3"/>
      <c r="N418" s="3"/>
      <c r="O418" s="3"/>
      <c r="P418" s="3"/>
      <c r="Q418" s="3"/>
    </row>
    <row r="419" spans="1:17" ht="16.5" customHeight="1">
      <c r="A419" s="3"/>
      <c r="B419" s="3"/>
      <c r="C419" s="3"/>
      <c r="I419" s="3"/>
      <c r="J419" s="3"/>
      <c r="K419" s="3"/>
      <c r="L419" s="3"/>
      <c r="M419" s="3"/>
      <c r="N419" s="3"/>
      <c r="O419" s="3"/>
      <c r="P419" s="3"/>
      <c r="Q419" s="3"/>
    </row>
    <row r="420" spans="1:17" ht="16.5" customHeight="1">
      <c r="A420" s="3"/>
      <c r="B420" s="3"/>
      <c r="C420" s="3"/>
      <c r="I420" s="3"/>
      <c r="J420" s="3"/>
      <c r="K420" s="3"/>
      <c r="L420" s="3"/>
      <c r="M420" s="3"/>
      <c r="N420" s="3"/>
      <c r="O420" s="3"/>
      <c r="P420" s="3"/>
      <c r="Q420" s="3"/>
    </row>
    <row r="421" spans="1:17" ht="16.5" customHeight="1">
      <c r="A421" s="3"/>
      <c r="B421" s="3"/>
      <c r="C421" s="3"/>
      <c r="I421" s="3"/>
      <c r="J421" s="3"/>
      <c r="K421" s="3"/>
      <c r="L421" s="3"/>
      <c r="M421" s="3"/>
      <c r="N421" s="3"/>
      <c r="O421" s="3"/>
      <c r="P421" s="3"/>
      <c r="Q421" s="3"/>
    </row>
    <row r="422" spans="1:17" ht="16.5" customHeight="1">
      <c r="A422" s="3"/>
      <c r="B422" s="3"/>
      <c r="C422" s="3"/>
      <c r="I422" s="3"/>
      <c r="J422" s="3"/>
      <c r="K422" s="3"/>
      <c r="L422" s="3"/>
      <c r="M422" s="3"/>
      <c r="N422" s="3"/>
      <c r="O422" s="3"/>
      <c r="P422" s="3"/>
      <c r="Q422" s="3"/>
    </row>
    <row r="423" spans="1:17" ht="16.5" customHeight="1">
      <c r="A423" s="3"/>
      <c r="B423" s="3"/>
      <c r="C423" s="3"/>
      <c r="I423" s="3"/>
      <c r="J423" s="3"/>
      <c r="K423" s="3"/>
      <c r="L423" s="3"/>
      <c r="M423" s="3"/>
      <c r="N423" s="3"/>
      <c r="O423" s="3"/>
      <c r="P423" s="3"/>
      <c r="Q423" s="3"/>
    </row>
    <row r="424" spans="1:17" ht="16.5" customHeight="1">
      <c r="A424" s="3"/>
      <c r="B424" s="3"/>
      <c r="C424" s="3"/>
      <c r="I424" s="3"/>
      <c r="J424" s="3"/>
      <c r="K424" s="3"/>
      <c r="L424" s="3"/>
      <c r="M424" s="3"/>
      <c r="N424" s="3"/>
      <c r="O424" s="3"/>
      <c r="P424" s="3"/>
      <c r="Q424" s="3"/>
    </row>
    <row r="425" spans="1:17" ht="16.5" customHeight="1">
      <c r="A425" s="3"/>
      <c r="B425" s="3"/>
      <c r="C425" s="3"/>
      <c r="I425" s="3"/>
      <c r="J425" s="3"/>
      <c r="K425" s="3"/>
      <c r="L425" s="3"/>
      <c r="M425" s="3"/>
      <c r="N425" s="3"/>
      <c r="O425" s="3"/>
      <c r="P425" s="3"/>
      <c r="Q425" s="3"/>
    </row>
    <row r="426" spans="1:17" ht="16.5" customHeight="1">
      <c r="A426" s="3"/>
      <c r="B426" s="3"/>
      <c r="C426" s="3"/>
      <c r="I426" s="3"/>
      <c r="J426" s="3"/>
      <c r="K426" s="3"/>
      <c r="L426" s="3"/>
      <c r="M426" s="3"/>
      <c r="N426" s="3"/>
      <c r="O426" s="3"/>
      <c r="P426" s="3"/>
      <c r="Q426" s="3"/>
    </row>
    <row r="427" spans="1:17" ht="16.5" customHeight="1">
      <c r="A427" s="3"/>
      <c r="B427" s="3"/>
      <c r="C427" s="3"/>
      <c r="I427" s="3"/>
      <c r="J427" s="3"/>
      <c r="K427" s="3"/>
      <c r="L427" s="3"/>
      <c r="M427" s="3"/>
      <c r="N427" s="3"/>
      <c r="O427" s="3"/>
      <c r="P427" s="3"/>
      <c r="Q427" s="3"/>
    </row>
    <row r="428" spans="1:17" ht="16.5" customHeight="1">
      <c r="A428" s="3"/>
      <c r="B428" s="3"/>
      <c r="C428" s="3"/>
      <c r="I428" s="3"/>
      <c r="J428" s="3"/>
      <c r="K428" s="3"/>
      <c r="L428" s="3"/>
      <c r="M428" s="3"/>
      <c r="N428" s="3"/>
      <c r="O428" s="3"/>
      <c r="P428" s="3"/>
      <c r="Q428" s="3"/>
    </row>
    <row r="429" spans="1:17" ht="16.5" customHeight="1">
      <c r="A429" s="3"/>
      <c r="B429" s="3"/>
      <c r="C429" s="3"/>
      <c r="I429" s="3"/>
      <c r="J429" s="3"/>
      <c r="K429" s="3"/>
      <c r="L429" s="3"/>
      <c r="M429" s="3"/>
      <c r="N429" s="3"/>
      <c r="O429" s="3"/>
      <c r="P429" s="3"/>
      <c r="Q429" s="3"/>
    </row>
    <row r="430" spans="1:17" ht="16.5" customHeight="1">
      <c r="A430" s="3"/>
      <c r="B430" s="3"/>
      <c r="C430" s="3"/>
      <c r="I430" s="3"/>
      <c r="J430" s="3"/>
      <c r="K430" s="3"/>
      <c r="L430" s="3"/>
      <c r="M430" s="3"/>
      <c r="N430" s="3"/>
      <c r="O430" s="3"/>
      <c r="P430" s="3"/>
      <c r="Q430" s="3"/>
    </row>
    <row r="431" spans="1:17" ht="16.5" customHeight="1">
      <c r="A431" s="3"/>
      <c r="B431" s="3"/>
      <c r="C431" s="3"/>
      <c r="I431" s="3"/>
      <c r="J431" s="3"/>
      <c r="K431" s="3"/>
      <c r="L431" s="3"/>
      <c r="M431" s="3"/>
      <c r="N431" s="3"/>
      <c r="O431" s="3"/>
      <c r="P431" s="3"/>
      <c r="Q431" s="3"/>
    </row>
    <row r="432" spans="1:17" ht="16.5" customHeight="1">
      <c r="A432" s="3"/>
      <c r="B432" s="3"/>
      <c r="C432" s="3"/>
      <c r="I432" s="3"/>
      <c r="J432" s="3"/>
      <c r="K432" s="3"/>
      <c r="L432" s="3"/>
      <c r="M432" s="3"/>
      <c r="N432" s="3"/>
      <c r="O432" s="3"/>
      <c r="P432" s="3"/>
      <c r="Q432" s="3"/>
    </row>
    <row r="433" spans="1:17" ht="16.5" customHeight="1">
      <c r="A433" s="3"/>
      <c r="B433" s="3"/>
      <c r="C433" s="3"/>
      <c r="I433" s="3"/>
      <c r="J433" s="3"/>
      <c r="K433" s="3"/>
      <c r="L433" s="3"/>
      <c r="M433" s="3"/>
      <c r="N433" s="3"/>
      <c r="O433" s="3"/>
      <c r="P433" s="3"/>
      <c r="Q433" s="3"/>
    </row>
    <row r="434" spans="1:17" ht="16.5" customHeight="1">
      <c r="A434" s="3"/>
      <c r="B434" s="3"/>
      <c r="C434" s="3"/>
      <c r="I434" s="3"/>
      <c r="J434" s="3"/>
      <c r="K434" s="3"/>
      <c r="L434" s="3"/>
      <c r="M434" s="3"/>
      <c r="N434" s="3"/>
      <c r="O434" s="3"/>
      <c r="P434" s="3"/>
      <c r="Q434" s="3"/>
    </row>
    <row r="435" spans="1:17" ht="16.5" customHeight="1">
      <c r="A435" s="3"/>
      <c r="B435" s="3"/>
      <c r="C435" s="3"/>
      <c r="I435" s="3"/>
      <c r="J435" s="3"/>
      <c r="K435" s="3"/>
      <c r="L435" s="3"/>
      <c r="M435" s="3"/>
      <c r="N435" s="3"/>
      <c r="O435" s="3"/>
      <c r="P435" s="3"/>
      <c r="Q435" s="3"/>
    </row>
    <row r="436" spans="1:17" ht="16.5" customHeight="1">
      <c r="A436" s="3"/>
      <c r="B436" s="3"/>
      <c r="C436" s="3"/>
      <c r="I436" s="3"/>
      <c r="J436" s="3"/>
      <c r="K436" s="3"/>
      <c r="L436" s="3"/>
      <c r="M436" s="3"/>
      <c r="N436" s="3"/>
      <c r="O436" s="3"/>
      <c r="P436" s="3"/>
      <c r="Q436" s="3"/>
    </row>
    <row r="437" spans="1:17" ht="16.5" customHeight="1">
      <c r="A437" s="3"/>
      <c r="B437" s="3"/>
      <c r="C437" s="3"/>
      <c r="I437" s="3"/>
      <c r="J437" s="3"/>
      <c r="K437" s="3"/>
      <c r="L437" s="3"/>
      <c r="M437" s="3"/>
      <c r="N437" s="3"/>
      <c r="O437" s="3"/>
      <c r="P437" s="3"/>
      <c r="Q437" s="3"/>
    </row>
    <row r="438" spans="1:17" ht="16.5" customHeight="1">
      <c r="A438" s="3"/>
      <c r="B438" s="3"/>
      <c r="C438" s="3"/>
      <c r="I438" s="3"/>
      <c r="J438" s="3"/>
      <c r="K438" s="3"/>
      <c r="L438" s="3"/>
      <c r="M438" s="3"/>
      <c r="N438" s="3"/>
      <c r="O438" s="3"/>
      <c r="P438" s="3"/>
      <c r="Q438" s="3"/>
    </row>
    <row r="439" spans="1:17" ht="16.5" customHeight="1">
      <c r="A439" s="3"/>
      <c r="B439" s="3"/>
      <c r="C439" s="3"/>
      <c r="I439" s="3"/>
      <c r="J439" s="3"/>
      <c r="K439" s="3"/>
      <c r="L439" s="3"/>
      <c r="M439" s="3"/>
      <c r="N439" s="3"/>
      <c r="O439" s="3"/>
      <c r="P439" s="3"/>
      <c r="Q439" s="3"/>
    </row>
    <row r="440" spans="1:17" ht="16.5" customHeight="1">
      <c r="A440" s="3"/>
      <c r="B440" s="3"/>
      <c r="C440" s="3"/>
      <c r="I440" s="3"/>
      <c r="J440" s="3"/>
      <c r="K440" s="3"/>
      <c r="L440" s="3"/>
      <c r="M440" s="3"/>
      <c r="N440" s="3"/>
      <c r="O440" s="3"/>
      <c r="P440" s="3"/>
      <c r="Q440" s="3"/>
    </row>
    <row r="441" spans="1:17" ht="16.5" customHeight="1">
      <c r="A441" s="3"/>
      <c r="B441" s="3"/>
      <c r="C441" s="3"/>
      <c r="I441" s="3"/>
      <c r="J441" s="3"/>
      <c r="K441" s="3"/>
      <c r="L441" s="3"/>
      <c r="M441" s="3"/>
      <c r="N441" s="3"/>
      <c r="O441" s="3"/>
      <c r="P441" s="3"/>
      <c r="Q441" s="3"/>
    </row>
    <row r="442" spans="1:17" ht="16.5" customHeight="1">
      <c r="A442" s="3"/>
      <c r="B442" s="3"/>
      <c r="C442" s="3"/>
      <c r="I442" s="3"/>
      <c r="J442" s="3"/>
      <c r="K442" s="3"/>
      <c r="L442" s="3"/>
      <c r="M442" s="3"/>
      <c r="N442" s="3"/>
      <c r="O442" s="3"/>
      <c r="P442" s="3"/>
      <c r="Q442" s="3"/>
    </row>
    <row r="443" spans="1:17" ht="16.5" customHeight="1">
      <c r="A443" s="3"/>
      <c r="B443" s="3"/>
      <c r="C443" s="3"/>
      <c r="I443" s="3"/>
      <c r="J443" s="3"/>
      <c r="K443" s="3"/>
      <c r="L443" s="3"/>
      <c r="M443" s="3"/>
      <c r="N443" s="3"/>
      <c r="O443" s="3"/>
      <c r="P443" s="3"/>
      <c r="Q443" s="3"/>
    </row>
    <row r="444" spans="1:17" ht="16.5" customHeight="1">
      <c r="A444" s="3"/>
      <c r="B444" s="3"/>
      <c r="C444" s="3"/>
      <c r="I444" s="3"/>
      <c r="J444" s="3"/>
      <c r="K444" s="3"/>
      <c r="L444" s="3"/>
      <c r="M444" s="3"/>
      <c r="N444" s="3"/>
      <c r="O444" s="3"/>
      <c r="P444" s="3"/>
      <c r="Q444" s="3"/>
    </row>
    <row r="445" spans="1:17" ht="16.5" customHeight="1">
      <c r="A445" s="3"/>
      <c r="B445" s="3"/>
      <c r="C445" s="3"/>
      <c r="I445" s="3"/>
      <c r="J445" s="3"/>
      <c r="K445" s="3"/>
      <c r="L445" s="3"/>
      <c r="M445" s="3"/>
      <c r="N445" s="3"/>
      <c r="O445" s="3"/>
      <c r="P445" s="3"/>
      <c r="Q445" s="3"/>
    </row>
    <row r="446" spans="1:17" ht="16.5" customHeight="1">
      <c r="A446" s="3"/>
      <c r="B446" s="3"/>
      <c r="C446" s="3"/>
      <c r="I446" s="3"/>
      <c r="J446" s="3"/>
      <c r="K446" s="3"/>
      <c r="L446" s="3"/>
      <c r="M446" s="3"/>
      <c r="N446" s="3"/>
      <c r="O446" s="3"/>
      <c r="P446" s="3"/>
      <c r="Q446" s="3"/>
    </row>
    <row r="447" spans="1:17" ht="16.5" customHeight="1">
      <c r="A447" s="3"/>
      <c r="B447" s="3"/>
      <c r="C447" s="3"/>
      <c r="I447" s="3"/>
      <c r="J447" s="3"/>
      <c r="K447" s="3"/>
      <c r="L447" s="3"/>
      <c r="M447" s="3"/>
      <c r="N447" s="3"/>
      <c r="O447" s="3"/>
      <c r="P447" s="3"/>
      <c r="Q447" s="3"/>
    </row>
    <row r="448" spans="1:17" ht="16.5" customHeight="1">
      <c r="A448" s="3"/>
      <c r="B448" s="3"/>
      <c r="C448" s="3"/>
      <c r="I448" s="3"/>
      <c r="J448" s="3"/>
      <c r="K448" s="3"/>
      <c r="L448" s="3"/>
      <c r="M448" s="3"/>
      <c r="N448" s="3"/>
      <c r="O448" s="3"/>
      <c r="P448" s="3"/>
      <c r="Q448" s="3"/>
    </row>
    <row r="449" spans="1:17" ht="16.5" customHeight="1">
      <c r="A449" s="3"/>
      <c r="B449" s="3"/>
      <c r="C449" s="3"/>
      <c r="I449" s="3"/>
      <c r="J449" s="3"/>
      <c r="K449" s="3"/>
      <c r="L449" s="3"/>
      <c r="M449" s="3"/>
      <c r="N449" s="3"/>
      <c r="O449" s="3"/>
      <c r="P449" s="3"/>
      <c r="Q449" s="3"/>
    </row>
    <row r="450" spans="1:17" ht="16.5" customHeight="1">
      <c r="A450" s="3"/>
      <c r="B450" s="3"/>
      <c r="C450" s="3"/>
      <c r="I450" s="3"/>
      <c r="J450" s="3"/>
      <c r="K450" s="3"/>
      <c r="L450" s="3"/>
      <c r="M450" s="3"/>
      <c r="N450" s="3"/>
      <c r="O450" s="3"/>
      <c r="P450" s="3"/>
      <c r="Q450" s="3"/>
    </row>
    <row r="451" spans="1:17" ht="16.5" customHeight="1">
      <c r="A451" s="3"/>
      <c r="B451" s="3"/>
      <c r="C451" s="3"/>
      <c r="I451" s="3"/>
      <c r="J451" s="3"/>
      <c r="K451" s="3"/>
      <c r="L451" s="3"/>
      <c r="M451" s="3"/>
      <c r="N451" s="3"/>
      <c r="O451" s="3"/>
      <c r="P451" s="3"/>
      <c r="Q451" s="3"/>
    </row>
    <row r="452" spans="1:17" ht="16.5" customHeight="1">
      <c r="A452" s="3"/>
      <c r="B452" s="3"/>
      <c r="C452" s="3"/>
      <c r="I452" s="3"/>
      <c r="J452" s="3"/>
      <c r="K452" s="3"/>
      <c r="L452" s="3"/>
      <c r="M452" s="3"/>
      <c r="N452" s="3"/>
      <c r="O452" s="3"/>
      <c r="P452" s="3"/>
      <c r="Q452" s="3"/>
    </row>
    <row r="453" spans="1:17" ht="16.5" customHeight="1">
      <c r="A453" s="3"/>
      <c r="B453" s="3"/>
      <c r="C453" s="3"/>
      <c r="I453" s="3"/>
      <c r="J453" s="3"/>
      <c r="K453" s="3"/>
      <c r="L453" s="3"/>
      <c r="M453" s="3"/>
      <c r="N453" s="3"/>
      <c r="O453" s="3"/>
      <c r="P453" s="3"/>
      <c r="Q453" s="3"/>
    </row>
    <row r="454" spans="1:17" ht="16.5" customHeight="1">
      <c r="A454" s="3"/>
      <c r="B454" s="3"/>
      <c r="C454" s="3"/>
      <c r="I454" s="3"/>
      <c r="J454" s="3"/>
      <c r="K454" s="3"/>
      <c r="L454" s="3"/>
      <c r="M454" s="3"/>
      <c r="N454" s="3"/>
      <c r="O454" s="3"/>
      <c r="P454" s="3"/>
      <c r="Q454" s="3"/>
    </row>
    <row r="455" spans="1:17" ht="16.5" customHeight="1">
      <c r="A455" s="3"/>
      <c r="B455" s="3"/>
      <c r="C455" s="3"/>
      <c r="I455" s="3"/>
      <c r="J455" s="3"/>
      <c r="K455" s="3"/>
      <c r="L455" s="3"/>
      <c r="M455" s="3"/>
      <c r="N455" s="3"/>
      <c r="O455" s="3"/>
      <c r="P455" s="3"/>
      <c r="Q455" s="3"/>
    </row>
    <row r="456" spans="1:17" ht="16.5" customHeight="1">
      <c r="A456" s="3"/>
      <c r="B456" s="3"/>
      <c r="C456" s="3"/>
      <c r="I456" s="3"/>
      <c r="J456" s="3"/>
      <c r="K456" s="3"/>
      <c r="L456" s="3"/>
      <c r="M456" s="3"/>
      <c r="N456" s="3"/>
      <c r="O456" s="3"/>
      <c r="P456" s="3"/>
      <c r="Q456" s="3"/>
    </row>
    <row r="457" spans="1:17" ht="16.5" customHeight="1">
      <c r="A457" s="3"/>
      <c r="B457" s="3"/>
      <c r="C457" s="3"/>
      <c r="I457" s="3"/>
      <c r="J457" s="3"/>
      <c r="K457" s="3"/>
      <c r="L457" s="3"/>
      <c r="M457" s="3"/>
      <c r="N457" s="3"/>
      <c r="O457" s="3"/>
      <c r="P457" s="3"/>
      <c r="Q457" s="3"/>
    </row>
    <row r="458" spans="1:17" ht="16.5" customHeight="1">
      <c r="A458" s="3"/>
      <c r="B458" s="3"/>
      <c r="C458" s="3"/>
      <c r="I458" s="3"/>
      <c r="J458" s="3"/>
      <c r="K458" s="3"/>
      <c r="L458" s="3"/>
      <c r="M458" s="3"/>
      <c r="N458" s="3"/>
      <c r="O458" s="3"/>
      <c r="P458" s="3"/>
      <c r="Q458" s="3"/>
    </row>
    <row r="459" spans="1:17" ht="16.5" customHeight="1">
      <c r="A459" s="3"/>
      <c r="B459" s="3"/>
      <c r="C459" s="3"/>
      <c r="I459" s="3"/>
      <c r="J459" s="3"/>
      <c r="K459" s="3"/>
      <c r="L459" s="3"/>
      <c r="M459" s="3"/>
      <c r="N459" s="3"/>
      <c r="O459" s="3"/>
      <c r="P459" s="3"/>
      <c r="Q459" s="3"/>
    </row>
    <row r="460" spans="1:17" ht="16.5" customHeight="1">
      <c r="A460" s="3"/>
      <c r="B460" s="3"/>
      <c r="C460" s="3"/>
      <c r="I460" s="3"/>
      <c r="J460" s="3"/>
      <c r="K460" s="3"/>
      <c r="L460" s="3"/>
      <c r="M460" s="3"/>
      <c r="N460" s="3"/>
      <c r="O460" s="3"/>
      <c r="P460" s="3"/>
      <c r="Q460" s="3"/>
    </row>
    <row r="461" spans="1:17" ht="16.5" customHeight="1">
      <c r="A461" s="3"/>
      <c r="B461" s="3"/>
      <c r="C461" s="3"/>
      <c r="I461" s="3"/>
      <c r="J461" s="3"/>
      <c r="K461" s="3"/>
      <c r="L461" s="3"/>
      <c r="M461" s="3"/>
      <c r="N461" s="3"/>
      <c r="O461" s="3"/>
      <c r="P461" s="3"/>
      <c r="Q461" s="3"/>
    </row>
    <row r="462" spans="1:17" ht="16.5" customHeight="1">
      <c r="A462" s="3"/>
      <c r="B462" s="3"/>
      <c r="C462" s="3"/>
      <c r="I462" s="3"/>
      <c r="J462" s="3"/>
      <c r="K462" s="3"/>
      <c r="L462" s="3"/>
      <c r="M462" s="3"/>
      <c r="N462" s="3"/>
      <c r="O462" s="3"/>
      <c r="P462" s="3"/>
      <c r="Q462" s="3"/>
    </row>
    <row r="463" spans="1:17" ht="16.5" customHeight="1">
      <c r="A463" s="3"/>
      <c r="B463" s="3"/>
      <c r="C463" s="3"/>
      <c r="I463" s="3"/>
      <c r="J463" s="3"/>
      <c r="K463" s="3"/>
      <c r="L463" s="3"/>
      <c r="M463" s="3"/>
      <c r="N463" s="3"/>
      <c r="O463" s="3"/>
      <c r="P463" s="3"/>
      <c r="Q463" s="3"/>
    </row>
    <row r="464" spans="1:17" ht="16.5" customHeight="1">
      <c r="A464" s="3"/>
      <c r="B464" s="3"/>
      <c r="C464" s="3"/>
      <c r="I464" s="3"/>
      <c r="J464" s="3"/>
      <c r="K464" s="3"/>
      <c r="L464" s="3"/>
      <c r="M464" s="3"/>
      <c r="N464" s="3"/>
      <c r="O464" s="3"/>
      <c r="P464" s="3"/>
      <c r="Q464" s="3"/>
    </row>
    <row r="465" spans="1:17" ht="16.5" customHeight="1">
      <c r="A465" s="3"/>
      <c r="B465" s="3"/>
      <c r="C465" s="3"/>
      <c r="I465" s="3"/>
      <c r="J465" s="3"/>
      <c r="K465" s="3"/>
      <c r="L465" s="3"/>
      <c r="M465" s="3"/>
      <c r="N465" s="3"/>
      <c r="O465" s="3"/>
      <c r="P465" s="3"/>
      <c r="Q465" s="3"/>
    </row>
    <row r="466" spans="1:17" ht="16.5" customHeight="1">
      <c r="A466" s="3"/>
      <c r="B466" s="3"/>
      <c r="C466" s="3"/>
      <c r="I466" s="3"/>
      <c r="J466" s="3"/>
      <c r="K466" s="3"/>
      <c r="L466" s="3"/>
      <c r="M466" s="3"/>
      <c r="N466" s="3"/>
      <c r="O466" s="3"/>
      <c r="P466" s="3"/>
      <c r="Q466" s="3"/>
    </row>
    <row r="467" spans="1:17" ht="16.5" customHeight="1">
      <c r="A467" s="3"/>
      <c r="B467" s="3"/>
      <c r="C467" s="3"/>
      <c r="I467" s="3"/>
      <c r="J467" s="3"/>
      <c r="K467" s="3"/>
      <c r="L467" s="3"/>
      <c r="M467" s="3"/>
      <c r="N467" s="3"/>
      <c r="O467" s="3"/>
      <c r="P467" s="3"/>
      <c r="Q467" s="3"/>
    </row>
    <row r="468" spans="1:17" ht="16.5" customHeight="1">
      <c r="A468" s="3"/>
      <c r="B468" s="3"/>
      <c r="C468" s="3"/>
      <c r="I468" s="3"/>
      <c r="J468" s="3"/>
      <c r="K468" s="3"/>
      <c r="L468" s="3"/>
      <c r="M468" s="3"/>
      <c r="N468" s="3"/>
      <c r="O468" s="3"/>
      <c r="P468" s="3"/>
      <c r="Q468" s="3"/>
    </row>
    <row r="469" spans="1:17" ht="16.5" customHeight="1">
      <c r="A469" s="3"/>
      <c r="B469" s="3"/>
      <c r="C469" s="3"/>
      <c r="I469" s="3"/>
      <c r="J469" s="3"/>
      <c r="K469" s="3"/>
      <c r="L469" s="3"/>
      <c r="M469" s="3"/>
      <c r="N469" s="3"/>
      <c r="O469" s="3"/>
      <c r="P469" s="3"/>
      <c r="Q469" s="3"/>
    </row>
    <row r="470" spans="1:17" ht="16.5" customHeight="1">
      <c r="A470" s="3"/>
      <c r="B470" s="3"/>
      <c r="C470" s="3"/>
      <c r="I470" s="3"/>
      <c r="J470" s="3"/>
      <c r="K470" s="3"/>
      <c r="L470" s="3"/>
      <c r="M470" s="3"/>
      <c r="N470" s="3"/>
      <c r="O470" s="3"/>
      <c r="P470" s="3"/>
      <c r="Q470" s="3"/>
    </row>
    <row r="471" spans="1:17" ht="16.5" customHeight="1">
      <c r="A471" s="3"/>
      <c r="B471" s="3"/>
      <c r="C471" s="3"/>
      <c r="I471" s="3"/>
      <c r="J471" s="3"/>
      <c r="K471" s="3"/>
      <c r="L471" s="3"/>
      <c r="M471" s="3"/>
      <c r="N471" s="3"/>
      <c r="O471" s="3"/>
      <c r="P471" s="3"/>
      <c r="Q471" s="3"/>
    </row>
    <row r="472" spans="1:17" ht="16.5" customHeight="1">
      <c r="A472" s="3"/>
      <c r="B472" s="3"/>
      <c r="C472" s="3"/>
      <c r="I472" s="3"/>
      <c r="J472" s="3"/>
      <c r="K472" s="3"/>
      <c r="L472" s="3"/>
      <c r="M472" s="3"/>
      <c r="N472" s="3"/>
      <c r="O472" s="3"/>
      <c r="P472" s="3"/>
      <c r="Q472" s="3"/>
    </row>
    <row r="473" spans="1:17" ht="16.5" customHeight="1">
      <c r="A473" s="3"/>
      <c r="B473" s="3"/>
      <c r="C473" s="3"/>
      <c r="I473" s="3"/>
      <c r="J473" s="3"/>
      <c r="K473" s="3"/>
      <c r="L473" s="3"/>
      <c r="M473" s="3"/>
      <c r="N473" s="3"/>
      <c r="O473" s="3"/>
      <c r="P473" s="3"/>
      <c r="Q473" s="3"/>
    </row>
    <row r="474" spans="1:17" ht="16.5" customHeight="1">
      <c r="A474" s="3"/>
      <c r="B474" s="3"/>
      <c r="C474" s="3"/>
      <c r="I474" s="3"/>
      <c r="J474" s="3"/>
      <c r="K474" s="3"/>
      <c r="L474" s="3"/>
      <c r="M474" s="3"/>
      <c r="N474" s="3"/>
      <c r="O474" s="3"/>
      <c r="P474" s="3"/>
      <c r="Q474" s="3"/>
    </row>
    <row r="475" spans="1:17" ht="16.5" customHeight="1">
      <c r="A475" s="3"/>
      <c r="B475" s="3"/>
      <c r="C475" s="3"/>
      <c r="I475" s="3"/>
      <c r="J475" s="3"/>
      <c r="K475" s="3"/>
      <c r="L475" s="3"/>
      <c r="M475" s="3"/>
      <c r="N475" s="3"/>
      <c r="O475" s="3"/>
      <c r="P475" s="3"/>
      <c r="Q475" s="3"/>
    </row>
    <row r="476" spans="1:17" ht="16.5" customHeight="1">
      <c r="A476" s="3"/>
      <c r="B476" s="3"/>
      <c r="C476" s="3"/>
      <c r="I476" s="3"/>
      <c r="J476" s="3"/>
      <c r="K476" s="3"/>
      <c r="L476" s="3"/>
      <c r="M476" s="3"/>
      <c r="N476" s="3"/>
      <c r="O476" s="3"/>
      <c r="P476" s="3"/>
      <c r="Q476" s="3"/>
    </row>
    <row r="477" spans="1:17" ht="16.5" customHeight="1">
      <c r="A477" s="3"/>
      <c r="B477" s="3"/>
      <c r="C477" s="3"/>
      <c r="I477" s="3"/>
      <c r="J477" s="3"/>
      <c r="K477" s="3"/>
      <c r="L477" s="3"/>
      <c r="M477" s="3"/>
      <c r="N477" s="3"/>
      <c r="O477" s="3"/>
      <c r="P477" s="3"/>
      <c r="Q477" s="3"/>
    </row>
    <row r="478" spans="1:17" ht="16.5" customHeight="1">
      <c r="A478" s="3"/>
      <c r="B478" s="3"/>
      <c r="C478" s="3"/>
      <c r="I478" s="3"/>
      <c r="J478" s="3"/>
      <c r="K478" s="3"/>
      <c r="L478" s="3"/>
      <c r="M478" s="3"/>
      <c r="N478" s="3"/>
      <c r="O478" s="3"/>
      <c r="P478" s="3"/>
      <c r="Q478" s="3"/>
    </row>
    <row r="479" spans="1:17" ht="16.5" customHeight="1">
      <c r="A479" s="3"/>
      <c r="B479" s="3"/>
      <c r="C479" s="3"/>
      <c r="I479" s="3"/>
      <c r="J479" s="3"/>
      <c r="K479" s="3"/>
      <c r="L479" s="3"/>
      <c r="M479" s="3"/>
      <c r="N479" s="3"/>
      <c r="O479" s="3"/>
      <c r="P479" s="3"/>
      <c r="Q479" s="3"/>
    </row>
    <row r="480" spans="1:17" ht="16.5" customHeight="1">
      <c r="A480" s="3"/>
      <c r="B480" s="3"/>
      <c r="C480" s="3"/>
      <c r="I480" s="3"/>
      <c r="J480" s="3"/>
      <c r="K480" s="3"/>
      <c r="L480" s="3"/>
      <c r="M480" s="3"/>
      <c r="N480" s="3"/>
      <c r="O480" s="3"/>
      <c r="P480" s="3"/>
      <c r="Q480" s="3"/>
    </row>
    <row r="481" spans="1:17" ht="16.5" customHeight="1">
      <c r="A481" s="3"/>
      <c r="B481" s="3"/>
      <c r="C481" s="3"/>
      <c r="I481" s="3"/>
      <c r="J481" s="3"/>
      <c r="K481" s="3"/>
      <c r="L481" s="3"/>
      <c r="M481" s="3"/>
      <c r="N481" s="3"/>
      <c r="O481" s="3"/>
      <c r="P481" s="3"/>
      <c r="Q481" s="3"/>
    </row>
    <row r="482" spans="1:17" ht="16.5" customHeight="1">
      <c r="A482" s="3"/>
      <c r="B482" s="3"/>
      <c r="C482" s="3"/>
      <c r="I482" s="3"/>
      <c r="J482" s="3"/>
      <c r="K482" s="3"/>
      <c r="L482" s="3"/>
      <c r="M482" s="3"/>
      <c r="N482" s="3"/>
      <c r="O482" s="3"/>
      <c r="P482" s="3"/>
      <c r="Q482" s="3"/>
    </row>
    <row r="483" spans="1:17" ht="16.5" customHeight="1">
      <c r="A483" s="3"/>
      <c r="B483" s="3"/>
      <c r="C483" s="3"/>
      <c r="I483" s="3"/>
      <c r="J483" s="3"/>
      <c r="K483" s="3"/>
      <c r="L483" s="3"/>
      <c r="M483" s="3"/>
      <c r="N483" s="3"/>
      <c r="O483" s="3"/>
      <c r="P483" s="3"/>
      <c r="Q483" s="3"/>
    </row>
    <row r="484" spans="1:17" ht="16.5" customHeight="1">
      <c r="A484" s="3"/>
      <c r="B484" s="3"/>
      <c r="C484" s="3"/>
      <c r="I484" s="3"/>
      <c r="J484" s="3"/>
      <c r="K484" s="3"/>
      <c r="L484" s="3"/>
      <c r="M484" s="3"/>
      <c r="N484" s="3"/>
      <c r="O484" s="3"/>
      <c r="P484" s="3"/>
      <c r="Q484" s="3"/>
    </row>
    <row r="485" spans="1:17" ht="16.5" customHeight="1">
      <c r="A485" s="3"/>
      <c r="B485" s="3"/>
      <c r="C485" s="3"/>
      <c r="I485" s="3"/>
      <c r="J485" s="3"/>
      <c r="K485" s="3"/>
      <c r="L485" s="3"/>
      <c r="M485" s="3"/>
      <c r="N485" s="3"/>
      <c r="O485" s="3"/>
      <c r="P485" s="3"/>
      <c r="Q485" s="3"/>
    </row>
    <row r="486" spans="1:17" ht="16.5" customHeight="1">
      <c r="A486" s="3"/>
      <c r="B486" s="3"/>
      <c r="C486" s="3"/>
      <c r="I486" s="3"/>
      <c r="J486" s="3"/>
      <c r="K486" s="3"/>
      <c r="L486" s="3"/>
      <c r="M486" s="3"/>
      <c r="N486" s="3"/>
      <c r="O486" s="3"/>
      <c r="P486" s="3"/>
      <c r="Q486" s="3"/>
    </row>
    <row r="487" spans="1:17" ht="16.5" customHeight="1">
      <c r="A487" s="3"/>
      <c r="B487" s="3"/>
      <c r="C487" s="3"/>
      <c r="I487" s="3"/>
      <c r="J487" s="3"/>
      <c r="K487" s="3"/>
      <c r="L487" s="3"/>
      <c r="M487" s="3"/>
      <c r="N487" s="3"/>
      <c r="O487" s="3"/>
      <c r="P487" s="3"/>
      <c r="Q487" s="3"/>
    </row>
    <row r="488" spans="1:17" ht="16.5" customHeight="1">
      <c r="A488" s="3"/>
      <c r="B488" s="3"/>
      <c r="C488" s="3"/>
      <c r="I488" s="3"/>
      <c r="J488" s="3"/>
      <c r="K488" s="3"/>
      <c r="L488" s="3"/>
      <c r="M488" s="3"/>
      <c r="N488" s="3"/>
      <c r="O488" s="3"/>
      <c r="P488" s="3"/>
      <c r="Q488" s="3"/>
    </row>
    <row r="489" spans="1:17" ht="16.5" customHeight="1">
      <c r="A489" s="3"/>
      <c r="B489" s="3"/>
      <c r="C489" s="3"/>
      <c r="I489" s="3"/>
      <c r="J489" s="3"/>
      <c r="K489" s="3"/>
      <c r="L489" s="3"/>
      <c r="M489" s="3"/>
      <c r="N489" s="3"/>
      <c r="O489" s="3"/>
      <c r="P489" s="3"/>
      <c r="Q489" s="3"/>
    </row>
    <row r="490" spans="1:17" ht="16.5" customHeight="1">
      <c r="A490" s="3"/>
      <c r="B490" s="3"/>
      <c r="C490" s="3"/>
      <c r="I490" s="3"/>
      <c r="J490" s="3"/>
      <c r="K490" s="3"/>
      <c r="L490" s="3"/>
      <c r="M490" s="3"/>
      <c r="N490" s="3"/>
      <c r="O490" s="3"/>
      <c r="P490" s="3"/>
      <c r="Q490" s="3"/>
    </row>
    <row r="491" spans="1:17" ht="16.5" customHeight="1">
      <c r="A491" s="3"/>
      <c r="B491" s="3"/>
      <c r="C491" s="3"/>
      <c r="I491" s="3"/>
      <c r="J491" s="3"/>
      <c r="K491" s="3"/>
      <c r="L491" s="3"/>
      <c r="M491" s="3"/>
      <c r="N491" s="3"/>
      <c r="O491" s="3"/>
      <c r="P491" s="3"/>
      <c r="Q491" s="3"/>
    </row>
    <row r="492" spans="1:17" ht="16.5" customHeight="1">
      <c r="A492" s="3"/>
      <c r="B492" s="3"/>
      <c r="C492" s="3"/>
      <c r="I492" s="3"/>
      <c r="J492" s="3"/>
      <c r="K492" s="3"/>
      <c r="L492" s="3"/>
      <c r="M492" s="3"/>
      <c r="N492" s="3"/>
      <c r="O492" s="3"/>
      <c r="P492" s="3"/>
      <c r="Q492" s="3"/>
    </row>
    <row r="493" spans="1:17" ht="16.5" customHeight="1">
      <c r="A493" s="3"/>
      <c r="B493" s="3"/>
      <c r="C493" s="3"/>
      <c r="I493" s="3"/>
      <c r="J493" s="3"/>
      <c r="K493" s="3"/>
      <c r="L493" s="3"/>
      <c r="M493" s="3"/>
      <c r="N493" s="3"/>
      <c r="O493" s="3"/>
      <c r="P493" s="3"/>
      <c r="Q493" s="3"/>
    </row>
    <row r="494" spans="1:17" ht="16.5" customHeight="1">
      <c r="A494" s="3"/>
      <c r="B494" s="3"/>
      <c r="C494" s="3"/>
      <c r="I494" s="3"/>
      <c r="J494" s="3"/>
      <c r="K494" s="3"/>
      <c r="L494" s="3"/>
      <c r="M494" s="3"/>
      <c r="N494" s="3"/>
      <c r="O494" s="3"/>
      <c r="P494" s="3"/>
      <c r="Q494" s="3"/>
    </row>
    <row r="495" spans="1:17" ht="16.5" customHeight="1">
      <c r="A495" s="3"/>
      <c r="B495" s="3"/>
      <c r="C495" s="3"/>
      <c r="I495" s="3"/>
      <c r="J495" s="3"/>
      <c r="K495" s="3"/>
      <c r="L495" s="3"/>
      <c r="M495" s="3"/>
      <c r="N495" s="3"/>
      <c r="O495" s="3"/>
      <c r="P495" s="3"/>
      <c r="Q495" s="3"/>
    </row>
    <row r="496" spans="1:17" ht="16.5" customHeight="1">
      <c r="A496" s="3"/>
      <c r="B496" s="3"/>
      <c r="C496" s="3"/>
      <c r="I496" s="3"/>
      <c r="J496" s="3"/>
      <c r="K496" s="3"/>
      <c r="L496" s="3"/>
      <c r="M496" s="3"/>
      <c r="N496" s="3"/>
      <c r="O496" s="3"/>
      <c r="P496" s="3"/>
      <c r="Q496" s="3"/>
    </row>
    <row r="497" spans="1:17" ht="16.5" customHeight="1">
      <c r="A497" s="3"/>
      <c r="B497" s="3"/>
      <c r="C497" s="3"/>
      <c r="I497" s="3"/>
      <c r="J497" s="3"/>
      <c r="K497" s="3"/>
      <c r="L497" s="3"/>
      <c r="M497" s="3"/>
      <c r="N497" s="3"/>
      <c r="O497" s="3"/>
      <c r="P497" s="3"/>
      <c r="Q497" s="3"/>
    </row>
    <row r="498" spans="1:17" ht="16.5" customHeight="1">
      <c r="A498" s="3"/>
      <c r="B498" s="3"/>
      <c r="C498" s="3"/>
      <c r="I498" s="3"/>
      <c r="J498" s="3"/>
      <c r="K498" s="3"/>
      <c r="L498" s="3"/>
      <c r="M498" s="3"/>
      <c r="N498" s="3"/>
      <c r="O498" s="3"/>
      <c r="P498" s="3"/>
      <c r="Q498" s="3"/>
    </row>
    <row r="499" spans="1:17" ht="16.5" customHeight="1">
      <c r="A499" s="3"/>
      <c r="B499" s="3"/>
      <c r="C499" s="3"/>
      <c r="I499" s="3"/>
      <c r="J499" s="3"/>
      <c r="K499" s="3"/>
      <c r="L499" s="3"/>
      <c r="M499" s="3"/>
      <c r="N499" s="3"/>
      <c r="O499" s="3"/>
      <c r="P499" s="3"/>
      <c r="Q499" s="3"/>
    </row>
    <row r="500" spans="1:17" ht="16.5" customHeight="1">
      <c r="A500" s="3"/>
      <c r="B500" s="3"/>
      <c r="C500" s="3"/>
      <c r="I500" s="3"/>
      <c r="J500" s="3"/>
      <c r="K500" s="3"/>
      <c r="L500" s="3"/>
      <c r="M500" s="3"/>
      <c r="N500" s="3"/>
      <c r="O500" s="3"/>
      <c r="P500" s="3"/>
      <c r="Q500" s="3"/>
    </row>
    <row r="501" spans="1:17" ht="16.5" customHeight="1">
      <c r="A501" s="3"/>
      <c r="B501" s="3"/>
      <c r="C501" s="3"/>
      <c r="I501" s="3"/>
      <c r="J501" s="3"/>
      <c r="K501" s="3"/>
      <c r="L501" s="3"/>
      <c r="M501" s="3"/>
      <c r="N501" s="3"/>
      <c r="O501" s="3"/>
      <c r="P501" s="3"/>
      <c r="Q501" s="3"/>
    </row>
    <row r="502" spans="1:17" ht="16.5" customHeight="1">
      <c r="A502" s="3"/>
      <c r="B502" s="3"/>
      <c r="C502" s="3"/>
      <c r="I502" s="3"/>
      <c r="J502" s="3"/>
      <c r="K502" s="3"/>
      <c r="L502" s="3"/>
      <c r="M502" s="3"/>
      <c r="N502" s="3"/>
      <c r="O502" s="3"/>
      <c r="P502" s="3"/>
      <c r="Q502" s="3"/>
    </row>
    <row r="503" spans="1:17" ht="16.5" customHeight="1">
      <c r="A503" s="3"/>
      <c r="B503" s="3"/>
      <c r="C503" s="3"/>
      <c r="I503" s="3"/>
      <c r="J503" s="3"/>
      <c r="K503" s="3"/>
      <c r="L503" s="3"/>
      <c r="M503" s="3"/>
      <c r="N503" s="3"/>
      <c r="O503" s="3"/>
      <c r="P503" s="3"/>
      <c r="Q503" s="3"/>
    </row>
    <row r="504" spans="1:17" ht="16.5" customHeight="1">
      <c r="A504" s="3"/>
      <c r="B504" s="3"/>
      <c r="C504" s="3"/>
      <c r="I504" s="3"/>
      <c r="J504" s="3"/>
      <c r="K504" s="3"/>
      <c r="L504" s="3"/>
      <c r="M504" s="3"/>
      <c r="N504" s="3"/>
      <c r="O504" s="3"/>
      <c r="P504" s="3"/>
      <c r="Q504" s="3"/>
    </row>
    <row r="505" spans="1:17" ht="16.5" customHeight="1">
      <c r="A505" s="3"/>
      <c r="B505" s="3"/>
      <c r="C505" s="3"/>
      <c r="I505" s="3"/>
      <c r="J505" s="3"/>
      <c r="K505" s="3"/>
      <c r="L505" s="3"/>
      <c r="M505" s="3"/>
      <c r="N505" s="3"/>
      <c r="O505" s="3"/>
      <c r="P505" s="3"/>
      <c r="Q505" s="3"/>
    </row>
    <row r="506" spans="1:17" ht="16.5" customHeight="1">
      <c r="A506" s="3"/>
      <c r="B506" s="3"/>
      <c r="C506" s="3"/>
      <c r="I506" s="3"/>
      <c r="J506" s="3"/>
      <c r="K506" s="3"/>
      <c r="L506" s="3"/>
      <c r="M506" s="3"/>
      <c r="N506" s="3"/>
      <c r="O506" s="3"/>
      <c r="P506" s="3"/>
      <c r="Q506" s="3"/>
    </row>
    <row r="507" spans="1:17" ht="16.5" customHeight="1">
      <c r="A507" s="3"/>
      <c r="B507" s="3"/>
      <c r="C507" s="3"/>
      <c r="I507" s="3"/>
      <c r="J507" s="3"/>
      <c r="K507" s="3"/>
      <c r="L507" s="3"/>
      <c r="M507" s="3"/>
      <c r="N507" s="3"/>
      <c r="O507" s="3"/>
      <c r="P507" s="3"/>
      <c r="Q507" s="3"/>
    </row>
    <row r="508" spans="1:17" ht="16.5" customHeight="1">
      <c r="A508" s="3"/>
      <c r="B508" s="3"/>
      <c r="C508" s="3"/>
      <c r="I508" s="3"/>
      <c r="J508" s="3"/>
      <c r="K508" s="3"/>
      <c r="L508" s="3"/>
      <c r="M508" s="3"/>
      <c r="N508" s="3"/>
      <c r="O508" s="3"/>
      <c r="P508" s="3"/>
      <c r="Q508" s="3"/>
    </row>
    <row r="509" spans="1:17" ht="16.5" customHeight="1">
      <c r="A509" s="3"/>
      <c r="B509" s="3"/>
      <c r="C509" s="3"/>
      <c r="I509" s="3"/>
      <c r="J509" s="3"/>
      <c r="K509" s="3"/>
      <c r="L509" s="3"/>
      <c r="M509" s="3"/>
      <c r="N509" s="3"/>
      <c r="O509" s="3"/>
      <c r="P509" s="3"/>
      <c r="Q509" s="3"/>
    </row>
    <row r="510" spans="1:17" ht="16.5" customHeight="1">
      <c r="A510" s="3"/>
      <c r="B510" s="3"/>
      <c r="C510" s="3"/>
      <c r="I510" s="3"/>
      <c r="J510" s="3"/>
      <c r="K510" s="3"/>
      <c r="L510" s="3"/>
      <c r="M510" s="3"/>
      <c r="N510" s="3"/>
      <c r="O510" s="3"/>
      <c r="P510" s="3"/>
      <c r="Q510" s="3"/>
    </row>
    <row r="511" spans="1:17" ht="16.5" customHeight="1">
      <c r="A511" s="3"/>
      <c r="B511" s="3"/>
      <c r="C511" s="3"/>
      <c r="I511" s="3"/>
      <c r="J511" s="3"/>
      <c r="K511" s="3"/>
      <c r="L511" s="3"/>
      <c r="M511" s="3"/>
      <c r="N511" s="3"/>
      <c r="O511" s="3"/>
      <c r="P511" s="3"/>
      <c r="Q511" s="3"/>
    </row>
    <row r="512" spans="1:17" ht="16.5" customHeight="1">
      <c r="A512" s="3"/>
      <c r="B512" s="3"/>
      <c r="C512" s="3"/>
      <c r="I512" s="3"/>
      <c r="J512" s="3"/>
      <c r="K512" s="3"/>
      <c r="L512" s="3"/>
      <c r="M512" s="3"/>
      <c r="N512" s="3"/>
      <c r="O512" s="3"/>
      <c r="P512" s="3"/>
      <c r="Q512" s="3"/>
    </row>
    <row r="513" spans="1:17" ht="16.5" customHeight="1">
      <c r="A513" s="3"/>
      <c r="B513" s="3"/>
      <c r="C513" s="3"/>
      <c r="I513" s="3"/>
      <c r="J513" s="3"/>
      <c r="K513" s="3"/>
      <c r="L513" s="3"/>
      <c r="M513" s="3"/>
      <c r="N513" s="3"/>
      <c r="O513" s="3"/>
      <c r="P513" s="3"/>
      <c r="Q513" s="3"/>
    </row>
    <row r="514" spans="1:17" ht="16.5" customHeight="1">
      <c r="A514" s="3"/>
      <c r="B514" s="3"/>
      <c r="C514" s="3"/>
      <c r="I514" s="3"/>
      <c r="J514" s="3"/>
      <c r="K514" s="3"/>
      <c r="L514" s="3"/>
      <c r="M514" s="3"/>
      <c r="N514" s="3"/>
      <c r="O514" s="3"/>
      <c r="P514" s="3"/>
      <c r="Q514" s="3"/>
    </row>
    <row r="515" spans="1:17" ht="16.5" customHeight="1">
      <c r="A515" s="3"/>
      <c r="B515" s="3"/>
      <c r="C515" s="3"/>
      <c r="I515" s="3"/>
      <c r="J515" s="3"/>
      <c r="K515" s="3"/>
      <c r="L515" s="3"/>
      <c r="M515" s="3"/>
      <c r="N515" s="3"/>
      <c r="O515" s="3"/>
      <c r="P515" s="3"/>
      <c r="Q515" s="3"/>
    </row>
    <row r="516" spans="1:17" ht="16.5" customHeight="1">
      <c r="A516" s="3"/>
      <c r="B516" s="3"/>
      <c r="C516" s="3"/>
      <c r="I516" s="3"/>
      <c r="J516" s="3"/>
      <c r="K516" s="3"/>
      <c r="L516" s="3"/>
      <c r="M516" s="3"/>
      <c r="N516" s="3"/>
      <c r="O516" s="3"/>
      <c r="P516" s="3"/>
      <c r="Q516" s="3"/>
    </row>
    <row r="517" spans="1:17" ht="16.5" customHeight="1">
      <c r="A517" s="3"/>
      <c r="B517" s="3"/>
      <c r="C517" s="3"/>
      <c r="I517" s="3"/>
      <c r="J517" s="3"/>
      <c r="K517" s="3"/>
      <c r="L517" s="3"/>
      <c r="M517" s="3"/>
      <c r="N517" s="3"/>
      <c r="O517" s="3"/>
      <c r="P517" s="3"/>
      <c r="Q517" s="3"/>
    </row>
    <row r="518" spans="1:17" ht="16.5" customHeight="1">
      <c r="A518" s="3"/>
      <c r="B518" s="3"/>
      <c r="C518" s="3"/>
      <c r="I518" s="3"/>
      <c r="J518" s="3"/>
      <c r="K518" s="3"/>
      <c r="L518" s="3"/>
      <c r="M518" s="3"/>
      <c r="N518" s="3"/>
      <c r="O518" s="3"/>
      <c r="P518" s="3"/>
      <c r="Q518" s="3"/>
    </row>
    <row r="519" spans="1:17" ht="16.5" customHeight="1">
      <c r="A519" s="3"/>
      <c r="B519" s="3"/>
      <c r="C519" s="3"/>
      <c r="I519" s="3"/>
      <c r="J519" s="3"/>
      <c r="K519" s="3"/>
      <c r="L519" s="3"/>
      <c r="M519" s="3"/>
      <c r="N519" s="3"/>
      <c r="O519" s="3"/>
      <c r="P519" s="3"/>
      <c r="Q519" s="3"/>
    </row>
    <row r="520" spans="1:17" ht="16.5" customHeight="1">
      <c r="A520" s="3"/>
      <c r="B520" s="3"/>
      <c r="C520" s="3"/>
      <c r="I520" s="3"/>
      <c r="J520" s="3"/>
      <c r="K520" s="3"/>
      <c r="L520" s="3"/>
      <c r="M520" s="3"/>
      <c r="N520" s="3"/>
      <c r="O520" s="3"/>
      <c r="P520" s="3"/>
      <c r="Q520" s="3"/>
    </row>
    <row r="521" spans="1:17" ht="16.5" customHeight="1">
      <c r="A521" s="3"/>
      <c r="B521" s="3"/>
      <c r="C521" s="3"/>
      <c r="I521" s="3"/>
      <c r="J521" s="3"/>
      <c r="K521" s="3"/>
      <c r="L521" s="3"/>
      <c r="M521" s="3"/>
      <c r="N521" s="3"/>
      <c r="O521" s="3"/>
      <c r="P521" s="3"/>
      <c r="Q521" s="3"/>
    </row>
    <row r="522" spans="1:17" ht="16.5" customHeight="1">
      <c r="A522" s="3"/>
      <c r="B522" s="3"/>
      <c r="C522" s="3"/>
      <c r="I522" s="3"/>
      <c r="J522" s="3"/>
      <c r="K522" s="3"/>
      <c r="L522" s="3"/>
      <c r="M522" s="3"/>
      <c r="N522" s="3"/>
      <c r="O522" s="3"/>
      <c r="P522" s="3"/>
      <c r="Q522" s="3"/>
    </row>
    <row r="523" spans="1:17" ht="16.5" customHeight="1">
      <c r="A523" s="3"/>
      <c r="B523" s="3"/>
      <c r="C523" s="3"/>
      <c r="I523" s="3"/>
      <c r="J523" s="3"/>
      <c r="K523" s="3"/>
      <c r="L523" s="3"/>
      <c r="M523" s="3"/>
      <c r="N523" s="3"/>
      <c r="O523" s="3"/>
      <c r="P523" s="3"/>
      <c r="Q523" s="3"/>
    </row>
    <row r="524" spans="1:17" ht="16.5" customHeight="1">
      <c r="A524" s="3"/>
      <c r="B524" s="3"/>
      <c r="C524" s="3"/>
      <c r="I524" s="3"/>
      <c r="J524" s="3"/>
      <c r="K524" s="3"/>
      <c r="L524" s="3"/>
      <c r="M524" s="3"/>
      <c r="N524" s="3"/>
      <c r="O524" s="3"/>
      <c r="P524" s="3"/>
      <c r="Q524" s="3"/>
    </row>
    <row r="525" spans="1:17" ht="16.5" customHeight="1">
      <c r="A525" s="3"/>
      <c r="B525" s="3"/>
      <c r="C525" s="3"/>
      <c r="I525" s="3"/>
      <c r="J525" s="3"/>
      <c r="K525" s="3"/>
      <c r="L525" s="3"/>
      <c r="M525" s="3"/>
      <c r="N525" s="3"/>
      <c r="O525" s="3"/>
      <c r="P525" s="3"/>
      <c r="Q525" s="3"/>
    </row>
    <row r="526" spans="1:17" ht="16.5" customHeight="1">
      <c r="A526" s="3"/>
      <c r="B526" s="3"/>
      <c r="C526" s="3"/>
      <c r="I526" s="3"/>
      <c r="J526" s="3"/>
      <c r="K526" s="3"/>
      <c r="L526" s="3"/>
      <c r="M526" s="3"/>
      <c r="N526" s="3"/>
      <c r="O526" s="3"/>
      <c r="P526" s="3"/>
      <c r="Q526" s="3"/>
    </row>
    <row r="527" spans="1:17" ht="16.5" customHeight="1">
      <c r="A527" s="3"/>
      <c r="B527" s="3"/>
      <c r="C527" s="3"/>
      <c r="I527" s="3"/>
      <c r="J527" s="3"/>
      <c r="K527" s="3"/>
      <c r="L527" s="3"/>
      <c r="M527" s="3"/>
      <c r="N527" s="3"/>
      <c r="O527" s="3"/>
      <c r="P527" s="3"/>
      <c r="Q527" s="3"/>
    </row>
    <row r="528" spans="1:17" ht="16.5" customHeight="1">
      <c r="A528" s="3"/>
      <c r="B528" s="3"/>
      <c r="C528" s="3"/>
      <c r="I528" s="3"/>
      <c r="J528" s="3"/>
      <c r="K528" s="3"/>
      <c r="L528" s="3"/>
      <c r="M528" s="3"/>
      <c r="N528" s="3"/>
      <c r="O528" s="3"/>
      <c r="P528" s="3"/>
      <c r="Q528" s="3"/>
    </row>
    <row r="529" spans="1:17" ht="16.5" customHeight="1">
      <c r="A529" s="3"/>
      <c r="B529" s="3"/>
      <c r="C529" s="3"/>
      <c r="I529" s="3"/>
      <c r="J529" s="3"/>
      <c r="K529" s="3"/>
      <c r="L529" s="3"/>
      <c r="M529" s="3"/>
      <c r="N529" s="3"/>
      <c r="O529" s="3"/>
      <c r="P529" s="3"/>
      <c r="Q529" s="3"/>
    </row>
    <row r="530" spans="1:17" ht="16.5" customHeight="1">
      <c r="A530" s="3"/>
      <c r="B530" s="3"/>
      <c r="C530" s="3"/>
      <c r="I530" s="3"/>
      <c r="J530" s="3"/>
      <c r="K530" s="3"/>
      <c r="L530" s="3"/>
      <c r="M530" s="3"/>
      <c r="N530" s="3"/>
      <c r="O530" s="3"/>
      <c r="P530" s="3"/>
      <c r="Q530" s="3"/>
    </row>
    <row r="531" spans="1:17" ht="16.5" customHeight="1">
      <c r="A531" s="3"/>
      <c r="B531" s="3"/>
      <c r="C531" s="3"/>
      <c r="I531" s="3"/>
      <c r="J531" s="3"/>
      <c r="K531" s="3"/>
      <c r="L531" s="3"/>
      <c r="M531" s="3"/>
      <c r="N531" s="3"/>
      <c r="O531" s="3"/>
      <c r="P531" s="3"/>
      <c r="Q531" s="3"/>
    </row>
    <row r="532" spans="1:17" ht="16.5" customHeight="1">
      <c r="A532" s="3"/>
      <c r="B532" s="3"/>
      <c r="C532" s="3"/>
      <c r="I532" s="3"/>
      <c r="J532" s="3"/>
      <c r="K532" s="3"/>
      <c r="L532" s="3"/>
      <c r="M532" s="3"/>
      <c r="N532" s="3"/>
      <c r="O532" s="3"/>
      <c r="P532" s="3"/>
      <c r="Q532" s="3"/>
    </row>
    <row r="533" spans="1:17" ht="16.5" customHeight="1">
      <c r="A533" s="3"/>
      <c r="B533" s="3"/>
      <c r="C533" s="3"/>
      <c r="I533" s="3"/>
      <c r="J533" s="3"/>
      <c r="K533" s="3"/>
      <c r="L533" s="3"/>
      <c r="M533" s="3"/>
      <c r="N533" s="3"/>
      <c r="O533" s="3"/>
      <c r="P533" s="3"/>
      <c r="Q533" s="3"/>
    </row>
    <row r="534" spans="1:17" ht="16.5" customHeight="1">
      <c r="A534" s="3"/>
      <c r="B534" s="3"/>
      <c r="C534" s="3"/>
      <c r="I534" s="3"/>
      <c r="J534" s="3"/>
      <c r="K534" s="3"/>
      <c r="L534" s="3"/>
      <c r="M534" s="3"/>
      <c r="N534" s="3"/>
      <c r="O534" s="3"/>
      <c r="P534" s="3"/>
      <c r="Q534" s="3"/>
    </row>
    <row r="535" spans="1:17" ht="16.5" customHeight="1">
      <c r="A535" s="3"/>
      <c r="B535" s="3"/>
      <c r="C535" s="3"/>
      <c r="I535" s="3"/>
      <c r="J535" s="3"/>
      <c r="K535" s="3"/>
      <c r="L535" s="3"/>
      <c r="M535" s="3"/>
      <c r="N535" s="3"/>
      <c r="O535" s="3"/>
      <c r="P535" s="3"/>
      <c r="Q535" s="3"/>
    </row>
    <row r="536" spans="1:17" ht="16.5" customHeight="1">
      <c r="A536" s="3"/>
      <c r="B536" s="3"/>
      <c r="C536" s="3"/>
      <c r="I536" s="3"/>
      <c r="J536" s="3"/>
      <c r="K536" s="3"/>
      <c r="L536" s="3"/>
      <c r="M536" s="3"/>
      <c r="N536" s="3"/>
      <c r="O536" s="3"/>
      <c r="P536" s="3"/>
      <c r="Q536" s="3"/>
    </row>
    <row r="537" spans="1:17" ht="16.5" customHeight="1">
      <c r="A537" s="3"/>
      <c r="B537" s="3"/>
      <c r="C537" s="3"/>
      <c r="I537" s="3"/>
      <c r="J537" s="3"/>
      <c r="K537" s="3"/>
      <c r="L537" s="3"/>
      <c r="M537" s="3"/>
      <c r="N537" s="3"/>
      <c r="O537" s="3"/>
      <c r="P537" s="3"/>
      <c r="Q537" s="3"/>
    </row>
    <row r="538" spans="1:17" ht="16.5" customHeight="1">
      <c r="A538" s="3"/>
      <c r="B538" s="3"/>
      <c r="C538" s="3"/>
      <c r="I538" s="3"/>
      <c r="J538" s="3"/>
      <c r="K538" s="3"/>
      <c r="L538" s="3"/>
      <c r="M538" s="3"/>
      <c r="N538" s="3"/>
      <c r="O538" s="3"/>
      <c r="P538" s="3"/>
      <c r="Q538" s="3"/>
    </row>
    <row r="539" spans="1:17" ht="16.5" customHeight="1">
      <c r="A539" s="3"/>
      <c r="B539" s="3"/>
      <c r="C539" s="3"/>
      <c r="I539" s="3"/>
      <c r="J539" s="3"/>
      <c r="K539" s="3"/>
      <c r="L539" s="3"/>
      <c r="M539" s="3"/>
      <c r="N539" s="3"/>
      <c r="O539" s="3"/>
      <c r="P539" s="3"/>
      <c r="Q539" s="3"/>
    </row>
    <row r="540" spans="1:17" ht="16.5" customHeight="1">
      <c r="A540" s="3"/>
      <c r="B540" s="3"/>
      <c r="C540" s="3"/>
      <c r="I540" s="3"/>
      <c r="J540" s="3"/>
      <c r="K540" s="3"/>
      <c r="L540" s="3"/>
      <c r="M540" s="3"/>
      <c r="N540" s="3"/>
      <c r="O540" s="3"/>
      <c r="P540" s="3"/>
      <c r="Q540" s="3"/>
    </row>
    <row r="541" spans="1:17" ht="16.5" customHeight="1">
      <c r="A541" s="3"/>
      <c r="B541" s="3"/>
      <c r="C541" s="3"/>
      <c r="I541" s="3"/>
      <c r="J541" s="3"/>
      <c r="K541" s="3"/>
      <c r="L541" s="3"/>
      <c r="M541" s="3"/>
      <c r="N541" s="3"/>
      <c r="O541" s="3"/>
      <c r="P541" s="3"/>
      <c r="Q541" s="3"/>
    </row>
    <row r="542" spans="1:17" ht="16.5" customHeight="1">
      <c r="A542" s="3"/>
      <c r="B542" s="3"/>
      <c r="C542" s="3"/>
      <c r="I542" s="3"/>
      <c r="J542" s="3"/>
      <c r="K542" s="3"/>
      <c r="L542" s="3"/>
      <c r="M542" s="3"/>
      <c r="N542" s="3"/>
      <c r="O542" s="3"/>
      <c r="P542" s="3"/>
      <c r="Q542" s="3"/>
    </row>
    <row r="543" spans="1:17" ht="16.5" customHeight="1">
      <c r="A543" s="3"/>
      <c r="B543" s="3"/>
      <c r="C543" s="3"/>
      <c r="I543" s="3"/>
      <c r="J543" s="3"/>
      <c r="K543" s="3"/>
      <c r="L543" s="3"/>
      <c r="M543" s="3"/>
      <c r="N543" s="3"/>
      <c r="O543" s="3"/>
      <c r="P543" s="3"/>
      <c r="Q543" s="3"/>
    </row>
    <row r="544" spans="1:17" ht="16.5" customHeight="1">
      <c r="A544" s="3"/>
      <c r="B544" s="3"/>
      <c r="C544" s="3"/>
      <c r="I544" s="3"/>
      <c r="J544" s="3"/>
      <c r="K544" s="3"/>
      <c r="L544" s="3"/>
      <c r="M544" s="3"/>
      <c r="N544" s="3"/>
      <c r="O544" s="3"/>
      <c r="P544" s="3"/>
      <c r="Q544" s="3"/>
    </row>
    <row r="545" spans="1:17" ht="16.5" customHeight="1">
      <c r="A545" s="3"/>
      <c r="B545" s="3"/>
      <c r="C545" s="3"/>
      <c r="I545" s="3"/>
      <c r="J545" s="3"/>
      <c r="K545" s="3"/>
      <c r="L545" s="3"/>
      <c r="M545" s="3"/>
      <c r="N545" s="3"/>
      <c r="O545" s="3"/>
      <c r="P545" s="3"/>
      <c r="Q545" s="3"/>
    </row>
    <row r="546" spans="1:17" ht="16.5" customHeight="1">
      <c r="A546" s="3"/>
      <c r="B546" s="3"/>
      <c r="C546" s="3"/>
      <c r="I546" s="3"/>
      <c r="J546" s="3"/>
      <c r="K546" s="3"/>
      <c r="L546" s="3"/>
      <c r="M546" s="3"/>
      <c r="N546" s="3"/>
      <c r="O546" s="3"/>
      <c r="P546" s="3"/>
      <c r="Q546" s="3"/>
    </row>
    <row r="547" spans="1:17" ht="16.5" customHeight="1">
      <c r="A547" s="3"/>
      <c r="B547" s="3"/>
      <c r="C547" s="3"/>
      <c r="I547" s="3"/>
      <c r="J547" s="3"/>
      <c r="K547" s="3"/>
      <c r="L547" s="3"/>
      <c r="M547" s="3"/>
      <c r="N547" s="3"/>
      <c r="O547" s="3"/>
      <c r="P547" s="3"/>
      <c r="Q547" s="3"/>
    </row>
    <row r="548" spans="1:17" ht="16.5" customHeight="1">
      <c r="A548" s="3"/>
      <c r="B548" s="3"/>
      <c r="C548" s="3"/>
      <c r="I548" s="3"/>
      <c r="J548" s="3"/>
      <c r="K548" s="3"/>
      <c r="L548" s="3"/>
      <c r="M548" s="3"/>
      <c r="N548" s="3"/>
      <c r="O548" s="3"/>
      <c r="P548" s="3"/>
      <c r="Q548" s="3"/>
    </row>
    <row r="549" spans="1:17" ht="16.5" customHeight="1">
      <c r="A549" s="3"/>
      <c r="B549" s="3"/>
      <c r="C549" s="3"/>
      <c r="I549" s="3"/>
      <c r="J549" s="3"/>
      <c r="K549" s="3"/>
      <c r="L549" s="3"/>
      <c r="M549" s="3"/>
      <c r="N549" s="3"/>
      <c r="O549" s="3"/>
      <c r="P549" s="3"/>
      <c r="Q549" s="3"/>
    </row>
    <row r="550" spans="1:17" ht="16.5" customHeight="1">
      <c r="A550" s="3"/>
      <c r="B550" s="3"/>
      <c r="C550" s="3"/>
      <c r="I550" s="3"/>
      <c r="J550" s="3"/>
      <c r="K550" s="3"/>
      <c r="L550" s="3"/>
      <c r="M550" s="3"/>
      <c r="N550" s="3"/>
      <c r="O550" s="3"/>
      <c r="P550" s="3"/>
      <c r="Q550" s="3"/>
    </row>
    <row r="551" spans="1:17" ht="16.5" customHeight="1">
      <c r="A551" s="3"/>
      <c r="B551" s="3"/>
      <c r="C551" s="3"/>
      <c r="I551" s="3"/>
      <c r="J551" s="3"/>
      <c r="K551" s="3"/>
      <c r="L551" s="3"/>
      <c r="M551" s="3"/>
      <c r="N551" s="3"/>
      <c r="O551" s="3"/>
      <c r="P551" s="3"/>
      <c r="Q551" s="3"/>
    </row>
    <row r="552" spans="1:17" ht="16.5" customHeight="1">
      <c r="A552" s="3"/>
      <c r="B552" s="3"/>
      <c r="C552" s="3"/>
      <c r="I552" s="3"/>
      <c r="J552" s="3"/>
      <c r="K552" s="3"/>
      <c r="L552" s="3"/>
      <c r="M552" s="3"/>
      <c r="N552" s="3"/>
      <c r="O552" s="3"/>
      <c r="P552" s="3"/>
      <c r="Q552" s="3"/>
    </row>
    <row r="553" spans="1:17" ht="16.5" customHeight="1">
      <c r="A553" s="3"/>
      <c r="B553" s="3"/>
      <c r="C553" s="3"/>
      <c r="I553" s="3"/>
      <c r="J553" s="3"/>
      <c r="K553" s="3"/>
      <c r="L553" s="3"/>
      <c r="M553" s="3"/>
      <c r="N553" s="3"/>
      <c r="O553" s="3"/>
      <c r="P553" s="3"/>
      <c r="Q553" s="3"/>
    </row>
    <row r="554" spans="1:17" ht="16.5" customHeight="1">
      <c r="A554" s="3"/>
      <c r="B554" s="3"/>
      <c r="C554" s="3"/>
      <c r="I554" s="3"/>
      <c r="J554" s="3"/>
      <c r="K554" s="3"/>
      <c r="L554" s="3"/>
      <c r="M554" s="3"/>
      <c r="N554" s="3"/>
      <c r="O554" s="3"/>
      <c r="P554" s="3"/>
      <c r="Q554" s="3"/>
    </row>
    <row r="555" spans="1:17" ht="16.5" customHeight="1">
      <c r="A555" s="3"/>
      <c r="B555" s="3"/>
      <c r="C555" s="3"/>
      <c r="I555" s="3"/>
      <c r="J555" s="3"/>
      <c r="K555" s="3"/>
      <c r="L555" s="3"/>
      <c r="M555" s="3"/>
      <c r="N555" s="3"/>
      <c r="O555" s="3"/>
      <c r="P555" s="3"/>
      <c r="Q555" s="3"/>
    </row>
    <row r="556" spans="1:17" ht="16.5" customHeight="1">
      <c r="A556" s="3"/>
      <c r="B556" s="3"/>
      <c r="C556" s="3"/>
      <c r="I556" s="3"/>
      <c r="J556" s="3"/>
      <c r="K556" s="3"/>
      <c r="L556" s="3"/>
      <c r="M556" s="3"/>
      <c r="N556" s="3"/>
      <c r="O556" s="3"/>
      <c r="P556" s="3"/>
      <c r="Q556" s="3"/>
    </row>
    <row r="557" spans="1:17" ht="16.5" customHeight="1">
      <c r="A557" s="3"/>
      <c r="B557" s="3"/>
      <c r="C557" s="3"/>
      <c r="I557" s="3"/>
      <c r="J557" s="3"/>
      <c r="K557" s="3"/>
      <c r="L557" s="3"/>
      <c r="M557" s="3"/>
      <c r="N557" s="3"/>
      <c r="O557" s="3"/>
      <c r="P557" s="3"/>
      <c r="Q557" s="3"/>
    </row>
    <row r="558" spans="1:17" ht="16.5" customHeight="1">
      <c r="A558" s="3"/>
      <c r="B558" s="3"/>
      <c r="C558" s="3"/>
      <c r="I558" s="3"/>
      <c r="J558" s="3"/>
      <c r="K558" s="3"/>
      <c r="L558" s="3"/>
      <c r="M558" s="3"/>
      <c r="N558" s="3"/>
      <c r="O558" s="3"/>
      <c r="P558" s="3"/>
      <c r="Q558" s="3"/>
    </row>
    <row r="559" spans="1:17" ht="16.5" customHeight="1">
      <c r="A559" s="3"/>
      <c r="B559" s="3"/>
      <c r="C559" s="3"/>
      <c r="I559" s="3"/>
      <c r="J559" s="3"/>
      <c r="K559" s="3"/>
      <c r="L559" s="3"/>
      <c r="M559" s="3"/>
      <c r="N559" s="3"/>
      <c r="O559" s="3"/>
      <c r="P559" s="3"/>
      <c r="Q559" s="3"/>
    </row>
    <row r="560" spans="1:17" ht="16.5" customHeight="1">
      <c r="A560" s="3"/>
      <c r="B560" s="3"/>
      <c r="C560" s="3"/>
      <c r="I560" s="3"/>
      <c r="J560" s="3"/>
      <c r="K560" s="3"/>
      <c r="L560" s="3"/>
      <c r="M560" s="3"/>
      <c r="N560" s="3"/>
      <c r="O560" s="3"/>
      <c r="P560" s="3"/>
      <c r="Q560" s="3"/>
    </row>
    <row r="561" spans="1:17" ht="16.5" customHeight="1">
      <c r="A561" s="3"/>
      <c r="B561" s="3"/>
      <c r="C561" s="3"/>
      <c r="I561" s="3"/>
      <c r="J561" s="3"/>
      <c r="K561" s="3"/>
      <c r="L561" s="3"/>
      <c r="M561" s="3"/>
      <c r="N561" s="3"/>
      <c r="O561" s="3"/>
      <c r="P561" s="3"/>
      <c r="Q561" s="3"/>
    </row>
    <row r="562" spans="1:17" ht="16.5" customHeight="1">
      <c r="A562" s="3"/>
      <c r="B562" s="3"/>
      <c r="C562" s="3"/>
      <c r="I562" s="3"/>
      <c r="J562" s="3"/>
      <c r="K562" s="3"/>
      <c r="L562" s="3"/>
      <c r="M562" s="3"/>
      <c r="N562" s="3"/>
      <c r="O562" s="3"/>
      <c r="P562" s="3"/>
      <c r="Q562" s="3"/>
    </row>
    <row r="563" spans="1:17" ht="16.5" customHeight="1">
      <c r="A563" s="3"/>
      <c r="B563" s="3"/>
      <c r="C563" s="3"/>
      <c r="I563" s="3"/>
      <c r="J563" s="3"/>
      <c r="K563" s="3"/>
      <c r="L563" s="3"/>
      <c r="M563" s="3"/>
      <c r="N563" s="3"/>
      <c r="O563" s="3"/>
      <c r="P563" s="3"/>
      <c r="Q563" s="3"/>
    </row>
    <row r="564" spans="1:17" ht="16.5" customHeight="1">
      <c r="A564" s="3"/>
      <c r="B564" s="3"/>
      <c r="C564" s="3"/>
      <c r="I564" s="3"/>
      <c r="J564" s="3"/>
      <c r="K564" s="3"/>
      <c r="L564" s="3"/>
      <c r="M564" s="3"/>
      <c r="N564" s="3"/>
      <c r="O564" s="3"/>
      <c r="P564" s="3"/>
      <c r="Q564" s="3"/>
    </row>
    <row r="565" spans="1:17" ht="16.5" customHeight="1">
      <c r="A565" s="3"/>
      <c r="B565" s="3"/>
      <c r="C565" s="3"/>
      <c r="I565" s="3"/>
      <c r="J565" s="3"/>
      <c r="K565" s="3"/>
      <c r="L565" s="3"/>
      <c r="M565" s="3"/>
      <c r="N565" s="3"/>
      <c r="O565" s="3"/>
      <c r="P565" s="3"/>
      <c r="Q565" s="3"/>
    </row>
    <row r="566" spans="1:17" ht="16.5" customHeight="1">
      <c r="A566" s="3"/>
      <c r="B566" s="3"/>
      <c r="C566" s="3"/>
      <c r="I566" s="3"/>
      <c r="J566" s="3"/>
      <c r="K566" s="3"/>
      <c r="L566" s="3"/>
      <c r="M566" s="3"/>
      <c r="N566" s="3"/>
      <c r="O566" s="3"/>
      <c r="P566" s="3"/>
      <c r="Q566" s="3"/>
    </row>
    <row r="567" spans="1:17" ht="16.5" customHeight="1">
      <c r="A567" s="3"/>
      <c r="B567" s="3"/>
      <c r="C567" s="3"/>
      <c r="I567" s="3"/>
      <c r="J567" s="3"/>
      <c r="K567" s="3"/>
      <c r="L567" s="3"/>
      <c r="M567" s="3"/>
      <c r="N567" s="3"/>
      <c r="O567" s="3"/>
      <c r="P567" s="3"/>
      <c r="Q567" s="3"/>
    </row>
    <row r="568" spans="1:17" ht="16.5" customHeight="1">
      <c r="A568" s="3"/>
      <c r="B568" s="3"/>
      <c r="C568" s="3"/>
      <c r="I568" s="3"/>
      <c r="J568" s="3"/>
      <c r="K568" s="3"/>
      <c r="L568" s="3"/>
      <c r="M568" s="3"/>
      <c r="N568" s="3"/>
      <c r="O568" s="3"/>
      <c r="P568" s="3"/>
      <c r="Q568" s="3"/>
    </row>
    <row r="569" spans="1:17" ht="16.5" customHeight="1">
      <c r="A569" s="3"/>
      <c r="B569" s="3"/>
      <c r="C569" s="3"/>
      <c r="I569" s="3"/>
      <c r="J569" s="3"/>
      <c r="K569" s="3"/>
      <c r="L569" s="3"/>
      <c r="M569" s="3"/>
      <c r="N569" s="3"/>
      <c r="O569" s="3"/>
      <c r="P569" s="3"/>
      <c r="Q569" s="3"/>
    </row>
    <row r="570" spans="1:17" ht="16.5" customHeight="1">
      <c r="A570" s="3"/>
      <c r="B570" s="3"/>
      <c r="C570" s="3"/>
      <c r="I570" s="3"/>
      <c r="J570" s="3"/>
      <c r="K570" s="3"/>
      <c r="L570" s="3"/>
      <c r="M570" s="3"/>
      <c r="N570" s="3"/>
      <c r="O570" s="3"/>
      <c r="P570" s="3"/>
      <c r="Q570" s="3"/>
    </row>
    <row r="571" spans="1:17" ht="16.5" customHeight="1">
      <c r="A571" s="3"/>
      <c r="B571" s="3"/>
      <c r="C571" s="3"/>
      <c r="I571" s="3"/>
      <c r="J571" s="3"/>
      <c r="K571" s="3"/>
      <c r="L571" s="3"/>
      <c r="M571" s="3"/>
      <c r="N571" s="3"/>
      <c r="O571" s="3"/>
      <c r="P571" s="3"/>
      <c r="Q571" s="3"/>
    </row>
    <row r="572" spans="1:17" ht="16.5" customHeight="1">
      <c r="A572" s="3"/>
      <c r="B572" s="3"/>
      <c r="C572" s="3"/>
      <c r="I572" s="3"/>
      <c r="J572" s="3"/>
      <c r="K572" s="3"/>
      <c r="L572" s="3"/>
      <c r="M572" s="3"/>
      <c r="N572" s="3"/>
      <c r="O572" s="3"/>
      <c r="P572" s="3"/>
      <c r="Q572" s="3"/>
    </row>
    <row r="573" spans="1:17" ht="16.5" customHeight="1">
      <c r="A573" s="3"/>
      <c r="B573" s="3"/>
      <c r="C573" s="3"/>
      <c r="I573" s="3"/>
      <c r="J573" s="3"/>
      <c r="K573" s="3"/>
      <c r="L573" s="3"/>
      <c r="M573" s="3"/>
      <c r="N573" s="3"/>
      <c r="O573" s="3"/>
      <c r="P573" s="3"/>
      <c r="Q573" s="3"/>
    </row>
    <row r="574" spans="1:17" ht="16.5" customHeight="1">
      <c r="A574" s="3"/>
      <c r="B574" s="3"/>
      <c r="C574" s="3"/>
      <c r="I574" s="3"/>
      <c r="J574" s="3"/>
      <c r="K574" s="3"/>
      <c r="L574" s="3"/>
      <c r="M574" s="3"/>
      <c r="N574" s="3"/>
      <c r="O574" s="3"/>
      <c r="P574" s="3"/>
      <c r="Q574" s="3"/>
    </row>
    <row r="575" spans="1:17" ht="16.5" customHeight="1">
      <c r="A575" s="3"/>
      <c r="B575" s="3"/>
      <c r="C575" s="3"/>
      <c r="I575" s="3"/>
      <c r="J575" s="3"/>
      <c r="K575" s="3"/>
      <c r="L575" s="3"/>
      <c r="M575" s="3"/>
      <c r="N575" s="3"/>
      <c r="O575" s="3"/>
      <c r="P575" s="3"/>
      <c r="Q575" s="3"/>
    </row>
    <row r="576" spans="1:17" ht="16.5" customHeight="1">
      <c r="A576" s="3"/>
      <c r="B576" s="3"/>
      <c r="C576" s="3"/>
      <c r="I576" s="3"/>
      <c r="J576" s="3"/>
      <c r="K576" s="3"/>
      <c r="L576" s="3"/>
      <c r="M576" s="3"/>
      <c r="N576" s="3"/>
      <c r="O576" s="3"/>
      <c r="P576" s="3"/>
      <c r="Q576" s="3"/>
    </row>
    <row r="577" spans="1:17" ht="16.5" customHeight="1">
      <c r="A577" s="3"/>
      <c r="B577" s="3"/>
      <c r="C577" s="3"/>
      <c r="I577" s="3"/>
      <c r="J577" s="3"/>
      <c r="K577" s="3"/>
      <c r="L577" s="3"/>
      <c r="M577" s="3"/>
      <c r="N577" s="3"/>
      <c r="O577" s="3"/>
      <c r="P577" s="3"/>
      <c r="Q577" s="3"/>
    </row>
    <row r="578" spans="1:17" ht="16.5" customHeight="1">
      <c r="A578" s="3"/>
      <c r="B578" s="3"/>
      <c r="C578" s="3"/>
      <c r="I578" s="3"/>
      <c r="J578" s="3"/>
      <c r="K578" s="3"/>
      <c r="L578" s="3"/>
      <c r="M578" s="3"/>
      <c r="N578" s="3"/>
      <c r="O578" s="3"/>
      <c r="P578" s="3"/>
      <c r="Q578" s="3"/>
    </row>
    <row r="579" spans="1:17" ht="16.5" customHeight="1">
      <c r="A579" s="3"/>
      <c r="B579" s="3"/>
      <c r="C579" s="3"/>
      <c r="I579" s="3"/>
      <c r="J579" s="3"/>
      <c r="K579" s="3"/>
      <c r="L579" s="3"/>
      <c r="M579" s="3"/>
      <c r="N579" s="3"/>
      <c r="O579" s="3"/>
      <c r="P579" s="3"/>
      <c r="Q579" s="3"/>
    </row>
    <row r="580" spans="1:17" ht="16.5" customHeight="1">
      <c r="A580" s="3"/>
      <c r="B580" s="3"/>
      <c r="C580" s="3"/>
      <c r="I580" s="3"/>
      <c r="J580" s="3"/>
      <c r="K580" s="3"/>
      <c r="L580" s="3"/>
      <c r="M580" s="3"/>
      <c r="N580" s="3"/>
      <c r="O580" s="3"/>
      <c r="P580" s="3"/>
      <c r="Q580" s="3"/>
    </row>
    <row r="581" spans="1:17" ht="16.5" customHeight="1">
      <c r="A581" s="3"/>
      <c r="B581" s="3"/>
      <c r="C581" s="3"/>
      <c r="I581" s="3"/>
      <c r="J581" s="3"/>
      <c r="K581" s="3"/>
      <c r="L581" s="3"/>
      <c r="M581" s="3"/>
      <c r="N581" s="3"/>
      <c r="O581" s="3"/>
      <c r="P581" s="3"/>
      <c r="Q581" s="3"/>
    </row>
    <row r="582" spans="1:17" ht="16.5" customHeight="1">
      <c r="A582" s="3"/>
      <c r="B582" s="3"/>
      <c r="C582" s="3"/>
      <c r="I582" s="3"/>
      <c r="J582" s="3"/>
      <c r="K582" s="3"/>
      <c r="L582" s="3"/>
      <c r="M582" s="3"/>
      <c r="N582" s="3"/>
      <c r="O582" s="3"/>
      <c r="P582" s="3"/>
      <c r="Q582" s="3"/>
    </row>
    <row r="583" spans="1:17" ht="16.5" customHeight="1">
      <c r="A583" s="3"/>
      <c r="B583" s="3"/>
      <c r="C583" s="3"/>
      <c r="I583" s="3"/>
      <c r="J583" s="3"/>
      <c r="K583" s="3"/>
      <c r="L583" s="3"/>
      <c r="M583" s="3"/>
      <c r="N583" s="3"/>
      <c r="O583" s="3"/>
      <c r="P583" s="3"/>
      <c r="Q583" s="3"/>
    </row>
    <row r="584" spans="1:17" ht="16.5" customHeight="1">
      <c r="A584" s="3"/>
      <c r="B584" s="3"/>
      <c r="C584" s="3"/>
      <c r="I584" s="3"/>
      <c r="J584" s="3"/>
      <c r="K584" s="3"/>
      <c r="L584" s="3"/>
      <c r="M584" s="3"/>
      <c r="N584" s="3"/>
      <c r="O584" s="3"/>
      <c r="P584" s="3"/>
      <c r="Q584" s="3"/>
    </row>
    <row r="585" spans="1:17" ht="16.5" customHeight="1">
      <c r="A585" s="3"/>
      <c r="B585" s="3"/>
      <c r="C585" s="3"/>
      <c r="I585" s="3"/>
      <c r="J585" s="3"/>
      <c r="K585" s="3"/>
      <c r="L585" s="3"/>
      <c r="M585" s="3"/>
      <c r="N585" s="3"/>
      <c r="O585" s="3"/>
      <c r="P585" s="3"/>
      <c r="Q585" s="3"/>
    </row>
    <row r="586" spans="1:17" ht="16.5" customHeight="1">
      <c r="A586" s="3"/>
      <c r="B586" s="3"/>
      <c r="C586" s="3"/>
      <c r="I586" s="3"/>
      <c r="J586" s="3"/>
      <c r="K586" s="3"/>
      <c r="L586" s="3"/>
      <c r="M586" s="3"/>
      <c r="N586" s="3"/>
      <c r="O586" s="3"/>
      <c r="P586" s="3"/>
      <c r="Q586" s="3"/>
    </row>
    <row r="587" spans="1:17" ht="16.5" customHeight="1">
      <c r="A587" s="3"/>
      <c r="B587" s="3"/>
      <c r="C587" s="3"/>
      <c r="I587" s="3"/>
      <c r="J587" s="3"/>
      <c r="K587" s="3"/>
      <c r="L587" s="3"/>
      <c r="M587" s="3"/>
      <c r="N587" s="3"/>
      <c r="O587" s="3"/>
      <c r="P587" s="3"/>
      <c r="Q587" s="3"/>
    </row>
    <row r="588" spans="1:17" ht="16.5" customHeight="1">
      <c r="A588" s="3"/>
      <c r="B588" s="3"/>
      <c r="C588" s="3"/>
      <c r="I588" s="3"/>
      <c r="J588" s="3"/>
      <c r="K588" s="3"/>
      <c r="L588" s="3"/>
      <c r="M588" s="3"/>
      <c r="N588" s="3"/>
      <c r="O588" s="3"/>
      <c r="P588" s="3"/>
      <c r="Q588" s="3"/>
    </row>
    <row r="589" spans="1:17" ht="16.5" customHeight="1">
      <c r="A589" s="3"/>
      <c r="B589" s="3"/>
      <c r="C589" s="3"/>
      <c r="I589" s="3"/>
      <c r="J589" s="3"/>
      <c r="K589" s="3"/>
      <c r="L589" s="3"/>
      <c r="M589" s="3"/>
      <c r="N589" s="3"/>
      <c r="O589" s="3"/>
      <c r="P589" s="3"/>
      <c r="Q589" s="3"/>
    </row>
    <row r="590" spans="1:17" ht="16.5" customHeight="1">
      <c r="A590" s="3"/>
      <c r="B590" s="3"/>
      <c r="C590" s="3"/>
      <c r="I590" s="3"/>
      <c r="J590" s="3"/>
      <c r="K590" s="3"/>
      <c r="L590" s="3"/>
      <c r="M590" s="3"/>
      <c r="N590" s="3"/>
      <c r="O590" s="3"/>
      <c r="P590" s="3"/>
      <c r="Q590" s="3"/>
    </row>
    <row r="591" spans="1:17" ht="16.5" customHeight="1">
      <c r="A591" s="3"/>
      <c r="B591" s="3"/>
      <c r="C591" s="3"/>
      <c r="I591" s="3"/>
      <c r="J591" s="3"/>
      <c r="K591" s="3"/>
      <c r="L591" s="3"/>
      <c r="M591" s="3"/>
      <c r="N591" s="3"/>
      <c r="O591" s="3"/>
      <c r="P591" s="3"/>
      <c r="Q591" s="3"/>
    </row>
    <row r="592" spans="1:17" ht="16.5" customHeight="1">
      <c r="A592" s="3"/>
      <c r="B592" s="3"/>
      <c r="C592" s="3"/>
      <c r="I592" s="3"/>
      <c r="J592" s="3"/>
      <c r="K592" s="3"/>
      <c r="L592" s="3"/>
      <c r="M592" s="3"/>
      <c r="N592" s="3"/>
      <c r="O592" s="3"/>
      <c r="P592" s="3"/>
      <c r="Q592" s="3"/>
    </row>
    <row r="593" spans="1:17" ht="16.5" customHeight="1">
      <c r="A593" s="3"/>
      <c r="B593" s="3"/>
      <c r="C593" s="3"/>
      <c r="I593" s="3"/>
      <c r="J593" s="3"/>
      <c r="K593" s="3"/>
      <c r="L593" s="3"/>
      <c r="M593" s="3"/>
      <c r="N593" s="3"/>
      <c r="O593" s="3"/>
      <c r="P593" s="3"/>
      <c r="Q593" s="3"/>
    </row>
    <row r="594" spans="1:17" ht="16.5" customHeight="1">
      <c r="A594" s="3"/>
      <c r="B594" s="3"/>
      <c r="C594" s="3"/>
      <c r="I594" s="3"/>
      <c r="J594" s="3"/>
      <c r="K594" s="3"/>
      <c r="L594" s="3"/>
      <c r="M594" s="3"/>
      <c r="N594" s="3"/>
      <c r="O594" s="3"/>
      <c r="P594" s="3"/>
      <c r="Q594" s="3"/>
    </row>
    <row r="595" spans="1:17" ht="16.5" customHeight="1">
      <c r="A595" s="3"/>
      <c r="B595" s="3"/>
      <c r="C595" s="3"/>
      <c r="I595" s="3"/>
      <c r="J595" s="3"/>
      <c r="K595" s="3"/>
      <c r="L595" s="3"/>
      <c r="M595" s="3"/>
      <c r="N595" s="3"/>
      <c r="O595" s="3"/>
      <c r="P595" s="3"/>
      <c r="Q595" s="3"/>
    </row>
    <row r="596" spans="1:17" ht="16.5" customHeight="1">
      <c r="A596" s="3"/>
      <c r="B596" s="3"/>
      <c r="C596" s="3"/>
      <c r="I596" s="3"/>
      <c r="J596" s="3"/>
      <c r="K596" s="3"/>
      <c r="L596" s="3"/>
      <c r="M596" s="3"/>
      <c r="N596" s="3"/>
      <c r="O596" s="3"/>
      <c r="P596" s="3"/>
      <c r="Q596" s="3"/>
    </row>
    <row r="597" spans="1:17" ht="16.5" customHeight="1">
      <c r="A597" s="3"/>
      <c r="B597" s="3"/>
      <c r="C597" s="3"/>
      <c r="I597" s="3"/>
      <c r="J597" s="3"/>
      <c r="K597" s="3"/>
      <c r="L597" s="3"/>
      <c r="M597" s="3"/>
      <c r="N597" s="3"/>
      <c r="O597" s="3"/>
      <c r="P597" s="3"/>
      <c r="Q597" s="3"/>
    </row>
    <row r="598" spans="1:17" ht="16.5" customHeight="1">
      <c r="A598" s="3"/>
      <c r="B598" s="3"/>
      <c r="C598" s="3"/>
      <c r="I598" s="3"/>
      <c r="J598" s="3"/>
      <c r="K598" s="3"/>
      <c r="L598" s="3"/>
      <c r="M598" s="3"/>
      <c r="N598" s="3"/>
      <c r="O598" s="3"/>
      <c r="P598" s="3"/>
      <c r="Q598" s="3"/>
    </row>
    <row r="599" spans="1:17" ht="16.5" customHeight="1">
      <c r="A599" s="3"/>
      <c r="B599" s="3"/>
      <c r="C599" s="3"/>
      <c r="I599" s="3"/>
      <c r="J599" s="3"/>
      <c r="K599" s="3"/>
      <c r="L599" s="3"/>
      <c r="M599" s="3"/>
      <c r="N599" s="3"/>
      <c r="O599" s="3"/>
      <c r="P599" s="3"/>
      <c r="Q599" s="3"/>
    </row>
    <row r="600" spans="1:17" ht="16.5" customHeight="1">
      <c r="A600" s="3"/>
      <c r="B600" s="3"/>
      <c r="C600" s="3"/>
      <c r="I600" s="3"/>
      <c r="J600" s="3"/>
      <c r="K600" s="3"/>
      <c r="L600" s="3"/>
      <c r="M600" s="3"/>
      <c r="N600" s="3"/>
      <c r="O600" s="3"/>
      <c r="P600" s="3"/>
      <c r="Q600" s="3"/>
    </row>
    <row r="601" spans="1:17" ht="16.5" customHeight="1">
      <c r="A601" s="3"/>
      <c r="B601" s="3"/>
      <c r="C601" s="3"/>
      <c r="I601" s="3"/>
      <c r="J601" s="3"/>
      <c r="K601" s="3"/>
      <c r="L601" s="3"/>
      <c r="M601" s="3"/>
      <c r="N601" s="3"/>
      <c r="O601" s="3"/>
      <c r="P601" s="3"/>
      <c r="Q601" s="3"/>
    </row>
    <row r="602" spans="1:17" ht="16.5" customHeight="1">
      <c r="A602" s="3"/>
      <c r="B602" s="3"/>
      <c r="C602" s="3"/>
      <c r="I602" s="3"/>
      <c r="J602" s="3"/>
      <c r="K602" s="3"/>
      <c r="L602" s="3"/>
      <c r="M602" s="3"/>
      <c r="N602" s="3"/>
      <c r="O602" s="3"/>
      <c r="P602" s="3"/>
      <c r="Q602" s="3"/>
    </row>
    <row r="603" spans="1:17" ht="16.5" customHeight="1">
      <c r="A603" s="3"/>
      <c r="B603" s="3"/>
      <c r="C603" s="3"/>
      <c r="I603" s="3"/>
      <c r="J603" s="3"/>
      <c r="K603" s="3"/>
      <c r="L603" s="3"/>
      <c r="M603" s="3"/>
      <c r="N603" s="3"/>
      <c r="O603" s="3"/>
      <c r="P603" s="3"/>
      <c r="Q603" s="3"/>
    </row>
    <row r="604" spans="1:17" ht="16.5" customHeight="1">
      <c r="A604" s="3"/>
      <c r="B604" s="3"/>
      <c r="C604" s="3"/>
      <c r="I604" s="3"/>
      <c r="J604" s="3"/>
      <c r="K604" s="3"/>
      <c r="L604" s="3"/>
      <c r="M604" s="3"/>
      <c r="N604" s="3"/>
      <c r="O604" s="3"/>
      <c r="P604" s="3"/>
      <c r="Q604" s="3"/>
    </row>
    <row r="605" spans="1:17" ht="16.5" customHeight="1">
      <c r="A605" s="3"/>
      <c r="B605" s="3"/>
      <c r="C605" s="3"/>
      <c r="I605" s="3"/>
      <c r="J605" s="3"/>
      <c r="K605" s="3"/>
      <c r="L605" s="3"/>
      <c r="M605" s="3"/>
      <c r="N605" s="3"/>
      <c r="O605" s="3"/>
      <c r="P605" s="3"/>
      <c r="Q605" s="3"/>
    </row>
    <row r="606" spans="1:17" ht="16.5" customHeight="1">
      <c r="A606" s="3"/>
      <c r="B606" s="3"/>
      <c r="C606" s="3"/>
      <c r="I606" s="3"/>
      <c r="J606" s="3"/>
      <c r="K606" s="3"/>
      <c r="L606" s="3"/>
      <c r="M606" s="3"/>
      <c r="N606" s="3"/>
      <c r="O606" s="3"/>
      <c r="P606" s="3"/>
      <c r="Q606" s="3"/>
    </row>
    <row r="607" spans="1:17" ht="16.5" customHeight="1">
      <c r="A607" s="3"/>
      <c r="B607" s="3"/>
      <c r="C607" s="3"/>
      <c r="I607" s="3"/>
      <c r="J607" s="3"/>
      <c r="K607" s="3"/>
      <c r="L607" s="3"/>
      <c r="M607" s="3"/>
      <c r="N607" s="3"/>
      <c r="O607" s="3"/>
      <c r="P607" s="3"/>
      <c r="Q607" s="3"/>
    </row>
    <row r="608" spans="1:17" ht="16.5" customHeight="1">
      <c r="A608" s="3"/>
      <c r="B608" s="3"/>
      <c r="C608" s="3"/>
      <c r="I608" s="3"/>
      <c r="J608" s="3"/>
      <c r="K608" s="3"/>
      <c r="L608" s="3"/>
      <c r="M608" s="3"/>
      <c r="N608" s="3"/>
      <c r="O608" s="3"/>
      <c r="P608" s="3"/>
      <c r="Q608" s="3"/>
    </row>
    <row r="609" spans="1:17" ht="16.5" customHeight="1">
      <c r="A609" s="3"/>
      <c r="B609" s="3"/>
      <c r="C609" s="3"/>
      <c r="I609" s="3"/>
      <c r="J609" s="3"/>
      <c r="K609" s="3"/>
      <c r="L609" s="3"/>
      <c r="M609" s="3"/>
      <c r="N609" s="3"/>
      <c r="O609" s="3"/>
      <c r="P609" s="3"/>
      <c r="Q609" s="3"/>
    </row>
    <row r="610" spans="1:17" ht="16.5" customHeight="1">
      <c r="A610" s="3"/>
      <c r="B610" s="3"/>
      <c r="C610" s="3"/>
      <c r="I610" s="3"/>
      <c r="J610" s="3"/>
      <c r="K610" s="3"/>
      <c r="L610" s="3"/>
      <c r="M610" s="3"/>
      <c r="N610" s="3"/>
      <c r="O610" s="3"/>
      <c r="P610" s="3"/>
      <c r="Q610" s="3"/>
    </row>
    <row r="611" spans="1:17" ht="16.5" customHeight="1">
      <c r="A611" s="3"/>
      <c r="B611" s="3"/>
      <c r="C611" s="3"/>
      <c r="I611" s="3"/>
      <c r="J611" s="3"/>
      <c r="K611" s="3"/>
      <c r="L611" s="3"/>
      <c r="M611" s="3"/>
      <c r="N611" s="3"/>
      <c r="O611" s="3"/>
      <c r="P611" s="3"/>
      <c r="Q611" s="3"/>
    </row>
    <row r="612" spans="1:17" ht="16.5" customHeight="1">
      <c r="A612" s="3"/>
      <c r="B612" s="3"/>
      <c r="C612" s="3"/>
      <c r="I612" s="3"/>
      <c r="J612" s="3"/>
      <c r="K612" s="3"/>
      <c r="L612" s="3"/>
      <c r="M612" s="3"/>
      <c r="N612" s="3"/>
      <c r="O612" s="3"/>
      <c r="P612" s="3"/>
      <c r="Q612" s="3"/>
    </row>
    <row r="613" spans="1:17" ht="16.5" customHeight="1">
      <c r="A613" s="3"/>
      <c r="B613" s="3"/>
      <c r="C613" s="3"/>
      <c r="I613" s="3"/>
      <c r="J613" s="3"/>
      <c r="K613" s="3"/>
      <c r="L613" s="3"/>
      <c r="M613" s="3"/>
      <c r="N613" s="3"/>
      <c r="O613" s="3"/>
      <c r="P613" s="3"/>
      <c r="Q613" s="3"/>
    </row>
    <row r="614" spans="1:17" ht="16.5" customHeight="1">
      <c r="A614" s="3"/>
      <c r="B614" s="3"/>
      <c r="C614" s="3"/>
      <c r="I614" s="3"/>
      <c r="J614" s="3"/>
      <c r="K614" s="3"/>
      <c r="L614" s="3"/>
      <c r="M614" s="3"/>
      <c r="N614" s="3"/>
      <c r="O614" s="3"/>
      <c r="P614" s="3"/>
      <c r="Q614" s="3"/>
    </row>
    <row r="615" spans="1:17" ht="16.5" customHeight="1">
      <c r="A615" s="3"/>
      <c r="B615" s="3"/>
      <c r="C615" s="3"/>
      <c r="I615" s="3"/>
      <c r="J615" s="3"/>
      <c r="K615" s="3"/>
      <c r="L615" s="3"/>
      <c r="M615" s="3"/>
      <c r="N615" s="3"/>
      <c r="O615" s="3"/>
      <c r="P615" s="3"/>
      <c r="Q615" s="3"/>
    </row>
    <row r="616" spans="1:17" ht="16.5" customHeight="1">
      <c r="A616" s="3"/>
      <c r="B616" s="3"/>
      <c r="C616" s="3"/>
      <c r="I616" s="3"/>
      <c r="J616" s="3"/>
      <c r="K616" s="3"/>
      <c r="L616" s="3"/>
      <c r="M616" s="3"/>
      <c r="N616" s="3"/>
      <c r="O616" s="3"/>
      <c r="P616" s="3"/>
      <c r="Q616" s="3"/>
    </row>
    <row r="617" spans="1:17" ht="16.5" customHeight="1">
      <c r="A617" s="3"/>
      <c r="B617" s="3"/>
      <c r="C617" s="3"/>
      <c r="I617" s="3"/>
      <c r="J617" s="3"/>
      <c r="K617" s="3"/>
      <c r="L617" s="3"/>
      <c r="M617" s="3"/>
      <c r="N617" s="3"/>
      <c r="O617" s="3"/>
      <c r="P617" s="3"/>
      <c r="Q617" s="3"/>
    </row>
    <row r="618" spans="1:17" ht="16.5" customHeight="1">
      <c r="A618" s="3"/>
      <c r="B618" s="3"/>
      <c r="C618" s="3"/>
      <c r="I618" s="3"/>
      <c r="J618" s="3"/>
      <c r="K618" s="3"/>
      <c r="L618" s="3"/>
      <c r="M618" s="3"/>
      <c r="N618" s="3"/>
      <c r="O618" s="3"/>
      <c r="P618" s="3"/>
      <c r="Q618" s="3"/>
    </row>
    <row r="619" spans="1:17" ht="16.5" customHeight="1">
      <c r="A619" s="3"/>
      <c r="B619" s="3"/>
      <c r="C619" s="3"/>
      <c r="I619" s="3"/>
      <c r="J619" s="3"/>
      <c r="K619" s="3"/>
      <c r="L619" s="3"/>
      <c r="M619" s="3"/>
      <c r="N619" s="3"/>
      <c r="O619" s="3"/>
      <c r="P619" s="3"/>
      <c r="Q619" s="3"/>
    </row>
    <row r="620" spans="1:17" ht="16.5" customHeight="1">
      <c r="A620" s="3"/>
      <c r="B620" s="3"/>
      <c r="C620" s="3"/>
      <c r="I620" s="3"/>
      <c r="J620" s="3"/>
      <c r="K620" s="3"/>
      <c r="L620" s="3"/>
      <c r="M620" s="3"/>
      <c r="N620" s="3"/>
      <c r="O620" s="3"/>
      <c r="P620" s="3"/>
      <c r="Q620" s="3"/>
    </row>
    <row r="621" spans="1:17" ht="16.5" customHeight="1">
      <c r="A621" s="3"/>
      <c r="B621" s="3"/>
      <c r="C621" s="3"/>
      <c r="I621" s="3"/>
      <c r="J621" s="3"/>
      <c r="K621" s="3"/>
      <c r="L621" s="3"/>
      <c r="M621" s="3"/>
      <c r="N621" s="3"/>
      <c r="O621" s="3"/>
      <c r="P621" s="3"/>
      <c r="Q621" s="3"/>
    </row>
    <row r="622" spans="1:17" ht="16.5" customHeight="1">
      <c r="A622" s="3"/>
      <c r="B622" s="3"/>
      <c r="C622" s="3"/>
      <c r="I622" s="3"/>
      <c r="J622" s="3"/>
      <c r="K622" s="3"/>
      <c r="L622" s="3"/>
      <c r="M622" s="3"/>
      <c r="N622" s="3"/>
      <c r="O622" s="3"/>
      <c r="P622" s="3"/>
      <c r="Q622" s="3"/>
    </row>
    <row r="623" spans="1:17" ht="16.5" customHeight="1">
      <c r="A623" s="3"/>
      <c r="B623" s="3"/>
      <c r="C623" s="3"/>
      <c r="I623" s="3"/>
      <c r="J623" s="3"/>
      <c r="K623" s="3"/>
      <c r="L623" s="3"/>
      <c r="M623" s="3"/>
      <c r="N623" s="3"/>
      <c r="O623" s="3"/>
      <c r="P623" s="3"/>
      <c r="Q623" s="3"/>
    </row>
    <row r="624" spans="1:17" ht="16.5" customHeight="1">
      <c r="A624" s="3"/>
      <c r="B624" s="3"/>
      <c r="C624" s="3"/>
      <c r="I624" s="3"/>
      <c r="J624" s="3"/>
      <c r="K624" s="3"/>
      <c r="L624" s="3"/>
      <c r="M624" s="3"/>
      <c r="N624" s="3"/>
      <c r="O624" s="3"/>
      <c r="P624" s="3"/>
      <c r="Q624" s="3"/>
    </row>
    <row r="625" spans="1:17" ht="16.5" customHeight="1">
      <c r="A625" s="3"/>
      <c r="B625" s="3"/>
      <c r="C625" s="3"/>
      <c r="I625" s="3"/>
      <c r="J625" s="3"/>
      <c r="K625" s="3"/>
      <c r="L625" s="3"/>
      <c r="M625" s="3"/>
      <c r="N625" s="3"/>
      <c r="O625" s="3"/>
      <c r="P625" s="3"/>
      <c r="Q625" s="3"/>
    </row>
    <row r="626" spans="1:17" ht="16.5" customHeight="1">
      <c r="A626" s="3"/>
      <c r="B626" s="3"/>
      <c r="C626" s="3"/>
      <c r="I626" s="3"/>
      <c r="J626" s="3"/>
      <c r="K626" s="3"/>
      <c r="L626" s="3"/>
      <c r="M626" s="3"/>
      <c r="N626" s="3"/>
      <c r="O626" s="3"/>
      <c r="P626" s="3"/>
      <c r="Q626" s="3"/>
    </row>
    <row r="627" spans="1:17" ht="16.5" customHeight="1">
      <c r="A627" s="3"/>
      <c r="B627" s="3"/>
      <c r="C627" s="3"/>
      <c r="I627" s="3"/>
      <c r="J627" s="3"/>
      <c r="K627" s="3"/>
      <c r="L627" s="3"/>
      <c r="M627" s="3"/>
      <c r="N627" s="3"/>
      <c r="O627" s="3"/>
      <c r="P627" s="3"/>
      <c r="Q627" s="3"/>
    </row>
    <row r="628" spans="1:17" ht="16.5" customHeight="1">
      <c r="A628" s="3"/>
      <c r="B628" s="3"/>
      <c r="C628" s="3"/>
      <c r="I628" s="3"/>
      <c r="J628" s="3"/>
      <c r="K628" s="3"/>
      <c r="L628" s="3"/>
      <c r="M628" s="3"/>
      <c r="N628" s="3"/>
      <c r="O628" s="3"/>
      <c r="P628" s="3"/>
      <c r="Q628" s="3"/>
    </row>
    <row r="629" spans="1:17" ht="16.5" customHeight="1">
      <c r="A629" s="3"/>
      <c r="B629" s="3"/>
      <c r="C629" s="3"/>
      <c r="I629" s="3"/>
      <c r="J629" s="3"/>
      <c r="K629" s="3"/>
      <c r="L629" s="3"/>
      <c r="M629" s="3"/>
      <c r="N629" s="3"/>
      <c r="O629" s="3"/>
      <c r="P629" s="3"/>
      <c r="Q629" s="3"/>
    </row>
    <row r="630" spans="1:17" ht="16.5" customHeight="1">
      <c r="A630" s="3"/>
      <c r="B630" s="3"/>
      <c r="C630" s="3"/>
      <c r="I630" s="3"/>
      <c r="J630" s="3"/>
      <c r="K630" s="3"/>
      <c r="L630" s="3"/>
      <c r="M630" s="3"/>
      <c r="N630" s="3"/>
      <c r="O630" s="3"/>
      <c r="P630" s="3"/>
      <c r="Q630" s="3"/>
    </row>
    <row r="631" spans="1:17" ht="16.5" customHeight="1">
      <c r="A631" s="3"/>
      <c r="B631" s="3"/>
      <c r="C631" s="3"/>
      <c r="I631" s="3"/>
      <c r="J631" s="3"/>
      <c r="K631" s="3"/>
      <c r="L631" s="3"/>
      <c r="M631" s="3"/>
      <c r="N631" s="3"/>
      <c r="O631" s="3"/>
      <c r="P631" s="3"/>
      <c r="Q631" s="3"/>
    </row>
    <row r="632" spans="1:17" ht="16.5" customHeight="1">
      <c r="A632" s="3"/>
      <c r="B632" s="3"/>
      <c r="C632" s="3"/>
      <c r="I632" s="3"/>
      <c r="J632" s="3"/>
      <c r="K632" s="3"/>
      <c r="L632" s="3"/>
      <c r="M632" s="3"/>
      <c r="N632" s="3"/>
      <c r="O632" s="3"/>
      <c r="P632" s="3"/>
      <c r="Q632" s="3"/>
    </row>
    <row r="633" spans="1:17" ht="16.5" customHeight="1">
      <c r="A633" s="3"/>
      <c r="B633" s="3"/>
      <c r="C633" s="3"/>
      <c r="I633" s="3"/>
      <c r="J633" s="3"/>
      <c r="K633" s="3"/>
      <c r="L633" s="3"/>
      <c r="M633" s="3"/>
      <c r="N633" s="3"/>
      <c r="O633" s="3"/>
      <c r="P633" s="3"/>
      <c r="Q633" s="3"/>
    </row>
    <row r="634" spans="1:17" ht="16.5" customHeight="1">
      <c r="A634" s="3"/>
      <c r="B634" s="3"/>
      <c r="C634" s="3"/>
      <c r="I634" s="3"/>
      <c r="J634" s="3"/>
      <c r="K634" s="3"/>
      <c r="L634" s="3"/>
      <c r="M634" s="3"/>
      <c r="N634" s="3"/>
      <c r="O634" s="3"/>
      <c r="P634" s="3"/>
      <c r="Q634" s="3"/>
    </row>
    <row r="635" spans="1:17" ht="16.5" customHeight="1">
      <c r="A635" s="3"/>
      <c r="B635" s="3"/>
      <c r="C635" s="3"/>
      <c r="I635" s="3"/>
      <c r="J635" s="3"/>
      <c r="K635" s="3"/>
      <c r="L635" s="3"/>
      <c r="M635" s="3"/>
      <c r="N635" s="3"/>
      <c r="O635" s="3"/>
      <c r="P635" s="3"/>
      <c r="Q635" s="3"/>
    </row>
    <row r="636" spans="1:17" ht="16.5" customHeight="1">
      <c r="A636" s="3"/>
      <c r="B636" s="3"/>
      <c r="C636" s="3"/>
      <c r="I636" s="3"/>
      <c r="J636" s="3"/>
      <c r="K636" s="3"/>
      <c r="L636" s="3"/>
      <c r="M636" s="3"/>
      <c r="N636" s="3"/>
      <c r="O636" s="3"/>
      <c r="P636" s="3"/>
      <c r="Q636" s="3"/>
    </row>
    <row r="637" spans="1:17" ht="16.5" customHeight="1">
      <c r="A637" s="3"/>
      <c r="B637" s="3"/>
      <c r="C637" s="3"/>
      <c r="I637" s="3"/>
      <c r="J637" s="3"/>
      <c r="K637" s="3"/>
      <c r="L637" s="3"/>
      <c r="M637" s="3"/>
      <c r="N637" s="3"/>
      <c r="O637" s="3"/>
      <c r="P637" s="3"/>
      <c r="Q637" s="3"/>
    </row>
    <row r="638" spans="1:17" ht="16.5" customHeight="1">
      <c r="A638" s="3"/>
      <c r="B638" s="3"/>
      <c r="C638" s="3"/>
      <c r="I638" s="3"/>
      <c r="J638" s="3"/>
      <c r="K638" s="3"/>
      <c r="L638" s="3"/>
      <c r="M638" s="3"/>
      <c r="N638" s="3"/>
      <c r="O638" s="3"/>
      <c r="P638" s="3"/>
      <c r="Q638" s="3"/>
    </row>
    <row r="639" spans="1:17" ht="16.5" customHeight="1">
      <c r="A639" s="3"/>
      <c r="B639" s="3"/>
      <c r="C639" s="3"/>
      <c r="I639" s="3"/>
      <c r="J639" s="3"/>
      <c r="K639" s="3"/>
      <c r="L639" s="3"/>
      <c r="M639" s="3"/>
      <c r="N639" s="3"/>
      <c r="O639" s="3"/>
      <c r="P639" s="3"/>
      <c r="Q639" s="3"/>
    </row>
    <row r="640" spans="1:17" ht="16.5" customHeight="1">
      <c r="A640" s="3"/>
      <c r="B640" s="3"/>
      <c r="C640" s="3"/>
      <c r="I640" s="3"/>
      <c r="J640" s="3"/>
      <c r="K640" s="3"/>
      <c r="L640" s="3"/>
      <c r="M640" s="3"/>
      <c r="N640" s="3"/>
      <c r="O640" s="3"/>
      <c r="P640" s="3"/>
      <c r="Q640" s="3"/>
    </row>
    <row r="641" spans="1:17" ht="16.5" customHeight="1">
      <c r="A641" s="3"/>
      <c r="B641" s="3"/>
      <c r="C641" s="3"/>
      <c r="I641" s="3"/>
      <c r="J641" s="3"/>
      <c r="K641" s="3"/>
      <c r="L641" s="3"/>
      <c r="M641" s="3"/>
      <c r="N641" s="3"/>
      <c r="O641" s="3"/>
      <c r="P641" s="3"/>
      <c r="Q641" s="3"/>
    </row>
    <row r="642" spans="1:17" ht="16.5" customHeight="1">
      <c r="A642" s="3"/>
      <c r="B642" s="3"/>
      <c r="C642" s="3"/>
      <c r="I642" s="3"/>
      <c r="J642" s="3"/>
      <c r="K642" s="3"/>
      <c r="L642" s="3"/>
      <c r="M642" s="3"/>
      <c r="N642" s="3"/>
      <c r="O642" s="3"/>
      <c r="P642" s="3"/>
      <c r="Q642" s="3"/>
    </row>
    <row r="643" spans="1:17" ht="16.5" customHeight="1">
      <c r="A643" s="3"/>
      <c r="B643" s="3"/>
      <c r="C643" s="3"/>
      <c r="I643" s="3"/>
      <c r="J643" s="3"/>
      <c r="K643" s="3"/>
      <c r="L643" s="3"/>
      <c r="M643" s="3"/>
      <c r="N643" s="3"/>
      <c r="O643" s="3"/>
      <c r="P643" s="3"/>
      <c r="Q643" s="3"/>
    </row>
    <row r="644" spans="1:17" ht="16.5" customHeight="1">
      <c r="A644" s="3"/>
      <c r="B644" s="3"/>
      <c r="C644" s="3"/>
      <c r="I644" s="3"/>
      <c r="J644" s="3"/>
      <c r="K644" s="3"/>
      <c r="L644" s="3"/>
      <c r="M644" s="3"/>
      <c r="N644" s="3"/>
      <c r="O644" s="3"/>
      <c r="P644" s="3"/>
      <c r="Q644" s="3"/>
    </row>
    <row r="645" spans="1:17" ht="16.5" customHeight="1">
      <c r="A645" s="3"/>
      <c r="B645" s="3"/>
      <c r="C645" s="3"/>
      <c r="I645" s="3"/>
      <c r="J645" s="3"/>
      <c r="K645" s="3"/>
      <c r="L645" s="3"/>
      <c r="M645" s="3"/>
      <c r="N645" s="3"/>
      <c r="O645" s="3"/>
      <c r="P645" s="3"/>
      <c r="Q645" s="3"/>
    </row>
    <row r="646" spans="1:17" ht="16.5" customHeight="1">
      <c r="A646" s="3"/>
      <c r="B646" s="3"/>
      <c r="C646" s="3"/>
      <c r="I646" s="3"/>
      <c r="J646" s="3"/>
      <c r="K646" s="3"/>
      <c r="L646" s="3"/>
      <c r="M646" s="3"/>
      <c r="N646" s="3"/>
      <c r="O646" s="3"/>
      <c r="P646" s="3"/>
      <c r="Q646" s="3"/>
    </row>
    <row r="647" spans="1:17" ht="16.5" customHeight="1">
      <c r="A647" s="3"/>
      <c r="B647" s="3"/>
      <c r="C647" s="3"/>
      <c r="I647" s="3"/>
      <c r="J647" s="3"/>
      <c r="K647" s="3"/>
      <c r="L647" s="3"/>
      <c r="M647" s="3"/>
      <c r="N647" s="3"/>
      <c r="O647" s="3"/>
      <c r="P647" s="3"/>
      <c r="Q647" s="3"/>
    </row>
    <row r="648" spans="1:17" ht="16.5" customHeight="1">
      <c r="A648" s="3"/>
      <c r="B648" s="3"/>
      <c r="C648" s="3"/>
      <c r="I648" s="3"/>
      <c r="J648" s="3"/>
      <c r="K648" s="3"/>
      <c r="L648" s="3"/>
      <c r="M648" s="3"/>
      <c r="N648" s="3"/>
      <c r="O648" s="3"/>
      <c r="P648" s="3"/>
      <c r="Q648" s="3"/>
    </row>
    <row r="649" spans="1:17" ht="16.5" customHeight="1">
      <c r="A649" s="3"/>
      <c r="B649" s="3"/>
      <c r="C649" s="3"/>
      <c r="I649" s="3"/>
      <c r="J649" s="3"/>
      <c r="K649" s="3"/>
      <c r="L649" s="3"/>
      <c r="M649" s="3"/>
      <c r="N649" s="3"/>
      <c r="O649" s="3"/>
      <c r="P649" s="3"/>
      <c r="Q649" s="3"/>
    </row>
    <row r="650" spans="1:17" ht="16.5" customHeight="1">
      <c r="A650" s="3"/>
      <c r="B650" s="3"/>
      <c r="C650" s="3"/>
      <c r="I650" s="3"/>
      <c r="J650" s="3"/>
      <c r="K650" s="3"/>
      <c r="L650" s="3"/>
      <c r="M650" s="3"/>
      <c r="N650" s="3"/>
      <c r="O650" s="3"/>
      <c r="P650" s="3"/>
      <c r="Q650" s="3"/>
    </row>
    <row r="651" spans="1:17" ht="16.5" customHeight="1">
      <c r="A651" s="3"/>
      <c r="B651" s="3"/>
      <c r="C651" s="3"/>
      <c r="I651" s="3"/>
      <c r="J651" s="3"/>
      <c r="K651" s="3"/>
      <c r="L651" s="3"/>
      <c r="M651" s="3"/>
      <c r="N651" s="3"/>
      <c r="O651" s="3"/>
      <c r="P651" s="3"/>
      <c r="Q651" s="3"/>
    </row>
    <row r="652" spans="1:17" ht="16.5" customHeight="1">
      <c r="A652" s="3"/>
      <c r="B652" s="3"/>
      <c r="C652" s="3"/>
      <c r="I652" s="3"/>
      <c r="J652" s="3"/>
      <c r="K652" s="3"/>
      <c r="L652" s="3"/>
      <c r="M652" s="3"/>
      <c r="N652" s="3"/>
      <c r="O652" s="3"/>
      <c r="P652" s="3"/>
      <c r="Q652" s="3"/>
    </row>
    <row r="653" spans="1:17" ht="16.5" customHeight="1">
      <c r="A653" s="3"/>
      <c r="B653" s="3"/>
      <c r="C653" s="3"/>
      <c r="I653" s="3"/>
      <c r="J653" s="3"/>
      <c r="K653" s="3"/>
      <c r="L653" s="3"/>
      <c r="M653" s="3"/>
      <c r="N653" s="3"/>
      <c r="O653" s="3"/>
      <c r="P653" s="3"/>
      <c r="Q653" s="3"/>
    </row>
    <row r="654" spans="1:17" ht="16.5" customHeight="1">
      <c r="A654" s="3"/>
      <c r="B654" s="3"/>
      <c r="C654" s="3"/>
      <c r="I654" s="3"/>
      <c r="J654" s="3"/>
      <c r="K654" s="3"/>
      <c r="L654" s="3"/>
      <c r="M654" s="3"/>
      <c r="N654" s="3"/>
      <c r="O654" s="3"/>
      <c r="P654" s="3"/>
      <c r="Q654" s="3"/>
    </row>
    <row r="655" spans="1:17" ht="16.5" customHeight="1">
      <c r="A655" s="3"/>
      <c r="B655" s="3"/>
      <c r="C655" s="3"/>
      <c r="I655" s="3"/>
      <c r="J655" s="3"/>
      <c r="K655" s="3"/>
      <c r="L655" s="3"/>
      <c r="M655" s="3"/>
      <c r="N655" s="3"/>
      <c r="O655" s="3"/>
      <c r="P655" s="3"/>
      <c r="Q655" s="3"/>
    </row>
    <row r="656" spans="1:17" ht="16.5" customHeight="1">
      <c r="A656" s="3"/>
      <c r="B656" s="3"/>
      <c r="C656" s="3"/>
      <c r="I656" s="3"/>
      <c r="J656" s="3"/>
      <c r="K656" s="3"/>
      <c r="L656" s="3"/>
      <c r="M656" s="3"/>
      <c r="N656" s="3"/>
      <c r="O656" s="3"/>
      <c r="P656" s="3"/>
      <c r="Q656" s="3"/>
    </row>
    <row r="657" spans="1:17" ht="16.5" customHeight="1">
      <c r="A657" s="3"/>
      <c r="B657" s="3"/>
      <c r="C657" s="3"/>
      <c r="I657" s="3"/>
      <c r="J657" s="3"/>
      <c r="K657" s="3"/>
      <c r="L657" s="3"/>
      <c r="M657" s="3"/>
      <c r="N657" s="3"/>
      <c r="O657" s="3"/>
      <c r="P657" s="3"/>
      <c r="Q657" s="3"/>
    </row>
    <row r="658" spans="1:17" ht="16.5" customHeight="1">
      <c r="A658" s="3"/>
      <c r="B658" s="3"/>
      <c r="C658" s="3"/>
      <c r="I658" s="3"/>
      <c r="J658" s="3"/>
      <c r="K658" s="3"/>
      <c r="L658" s="3"/>
      <c r="M658" s="3"/>
      <c r="N658" s="3"/>
      <c r="O658" s="3"/>
      <c r="P658" s="3"/>
      <c r="Q658" s="3"/>
    </row>
    <row r="659" spans="1:17" ht="16.5" customHeight="1">
      <c r="A659" s="3"/>
      <c r="B659" s="3"/>
      <c r="C659" s="3"/>
      <c r="I659" s="3"/>
      <c r="J659" s="3"/>
      <c r="K659" s="3"/>
      <c r="L659" s="3"/>
      <c r="M659" s="3"/>
      <c r="N659" s="3"/>
      <c r="O659" s="3"/>
      <c r="P659" s="3"/>
      <c r="Q659" s="3"/>
    </row>
    <row r="660" spans="1:17" ht="16.5" customHeight="1">
      <c r="A660" s="3"/>
      <c r="B660" s="3"/>
      <c r="C660" s="3"/>
      <c r="I660" s="3"/>
      <c r="J660" s="3"/>
      <c r="K660" s="3"/>
      <c r="L660" s="3"/>
      <c r="M660" s="3"/>
      <c r="N660" s="3"/>
      <c r="O660" s="3"/>
      <c r="P660" s="3"/>
      <c r="Q660" s="3"/>
    </row>
    <row r="661" spans="1:17" ht="16.5" customHeight="1">
      <c r="A661" s="3"/>
      <c r="B661" s="3"/>
      <c r="C661" s="3"/>
      <c r="I661" s="3"/>
      <c r="J661" s="3"/>
      <c r="K661" s="3"/>
      <c r="L661" s="3"/>
      <c r="M661" s="3"/>
      <c r="N661" s="3"/>
      <c r="O661" s="3"/>
      <c r="P661" s="3"/>
      <c r="Q661" s="3"/>
    </row>
    <row r="662" spans="1:17" ht="16.5" customHeight="1">
      <c r="A662" s="3"/>
      <c r="B662" s="3"/>
      <c r="C662" s="3"/>
      <c r="I662" s="3"/>
      <c r="J662" s="3"/>
      <c r="K662" s="3"/>
      <c r="L662" s="3"/>
      <c r="M662" s="3"/>
      <c r="N662" s="3"/>
      <c r="O662" s="3"/>
      <c r="P662" s="3"/>
      <c r="Q662" s="3"/>
    </row>
    <row r="663" spans="1:17" ht="16.5" customHeight="1">
      <c r="A663" s="3"/>
      <c r="B663" s="3"/>
      <c r="C663" s="3"/>
      <c r="I663" s="3"/>
      <c r="J663" s="3"/>
      <c r="K663" s="3"/>
      <c r="L663" s="3"/>
      <c r="M663" s="3"/>
      <c r="N663" s="3"/>
      <c r="O663" s="3"/>
      <c r="P663" s="3"/>
      <c r="Q663" s="3"/>
    </row>
    <row r="664" spans="1:17" ht="16.5" customHeight="1">
      <c r="A664" s="3"/>
      <c r="B664" s="3"/>
      <c r="C664" s="3"/>
      <c r="I664" s="3"/>
      <c r="J664" s="3"/>
      <c r="K664" s="3"/>
      <c r="L664" s="3"/>
      <c r="M664" s="3"/>
      <c r="N664" s="3"/>
      <c r="O664" s="3"/>
      <c r="P664" s="3"/>
      <c r="Q664" s="3"/>
    </row>
    <row r="665" spans="1:17" ht="16.5" customHeight="1">
      <c r="A665" s="3"/>
      <c r="B665" s="3"/>
      <c r="C665" s="3"/>
      <c r="I665" s="3"/>
      <c r="J665" s="3"/>
      <c r="K665" s="3"/>
      <c r="L665" s="3"/>
      <c r="M665" s="3"/>
      <c r="N665" s="3"/>
      <c r="O665" s="3"/>
      <c r="P665" s="3"/>
      <c r="Q665" s="3"/>
    </row>
    <row r="666" spans="1:17" ht="16.5" customHeight="1">
      <c r="A666" s="3"/>
      <c r="B666" s="3"/>
      <c r="C666" s="3"/>
      <c r="I666" s="3"/>
      <c r="J666" s="3"/>
      <c r="K666" s="3"/>
      <c r="L666" s="3"/>
      <c r="M666" s="3"/>
      <c r="N666" s="3"/>
      <c r="O666" s="3"/>
      <c r="P666" s="3"/>
      <c r="Q666" s="3"/>
    </row>
    <row r="667" spans="1:17" ht="16.5" customHeight="1">
      <c r="A667" s="3"/>
      <c r="B667" s="3"/>
      <c r="C667" s="3"/>
      <c r="I667" s="3"/>
      <c r="J667" s="3"/>
      <c r="K667" s="3"/>
      <c r="L667" s="3"/>
      <c r="M667" s="3"/>
      <c r="N667" s="3"/>
      <c r="O667" s="3"/>
      <c r="P667" s="3"/>
      <c r="Q667" s="3"/>
    </row>
    <row r="668" spans="1:17" ht="16.5" customHeight="1">
      <c r="A668" s="3"/>
      <c r="B668" s="3"/>
      <c r="C668" s="3"/>
      <c r="I668" s="3"/>
      <c r="J668" s="3"/>
      <c r="K668" s="3"/>
      <c r="L668" s="3"/>
      <c r="M668" s="3"/>
      <c r="N668" s="3"/>
      <c r="O668" s="3"/>
      <c r="P668" s="3"/>
      <c r="Q668" s="3"/>
    </row>
    <row r="669" spans="1:17" ht="16.5" customHeight="1">
      <c r="A669" s="3"/>
      <c r="B669" s="3"/>
      <c r="C669" s="3"/>
      <c r="I669" s="3"/>
      <c r="J669" s="3"/>
      <c r="K669" s="3"/>
      <c r="L669" s="3"/>
      <c r="M669" s="3"/>
      <c r="N669" s="3"/>
      <c r="O669" s="3"/>
      <c r="P669" s="3"/>
      <c r="Q669" s="3"/>
    </row>
    <row r="670" spans="1:17" ht="16.5" customHeight="1">
      <c r="A670" s="3"/>
      <c r="B670" s="3"/>
      <c r="C670" s="3"/>
      <c r="I670" s="3"/>
      <c r="J670" s="3"/>
      <c r="K670" s="3"/>
      <c r="L670" s="3"/>
      <c r="M670" s="3"/>
      <c r="N670" s="3"/>
      <c r="O670" s="3"/>
      <c r="P670" s="3"/>
      <c r="Q670" s="3"/>
    </row>
    <row r="671" spans="1:17" ht="16.5" customHeight="1">
      <c r="A671" s="3"/>
      <c r="B671" s="3"/>
      <c r="C671" s="3"/>
      <c r="I671" s="3"/>
      <c r="J671" s="3"/>
      <c r="K671" s="3"/>
      <c r="L671" s="3"/>
      <c r="M671" s="3"/>
      <c r="N671" s="3"/>
      <c r="O671" s="3"/>
      <c r="P671" s="3"/>
      <c r="Q671" s="3"/>
    </row>
    <row r="672" spans="1:17" ht="16.5" customHeight="1">
      <c r="A672" s="3"/>
      <c r="B672" s="3"/>
      <c r="C672" s="3"/>
      <c r="I672" s="3"/>
      <c r="J672" s="3"/>
      <c r="K672" s="3"/>
      <c r="L672" s="3"/>
      <c r="M672" s="3"/>
      <c r="N672" s="3"/>
      <c r="O672" s="3"/>
      <c r="P672" s="3"/>
      <c r="Q672" s="3"/>
    </row>
    <row r="673" spans="1:17" ht="16.5" customHeight="1">
      <c r="A673" s="3"/>
      <c r="B673" s="3"/>
      <c r="C673" s="3"/>
      <c r="I673" s="3"/>
      <c r="J673" s="3"/>
      <c r="K673" s="3"/>
      <c r="L673" s="3"/>
      <c r="M673" s="3"/>
      <c r="N673" s="3"/>
      <c r="O673" s="3"/>
      <c r="P673" s="3"/>
      <c r="Q673" s="3"/>
    </row>
    <row r="674" spans="1:17" ht="16.5" customHeight="1">
      <c r="A674" s="3"/>
      <c r="B674" s="3"/>
      <c r="C674" s="3"/>
      <c r="I674" s="3"/>
      <c r="J674" s="3"/>
      <c r="K674" s="3"/>
      <c r="L674" s="3"/>
      <c r="M674" s="3"/>
      <c r="N674" s="3"/>
      <c r="O674" s="3"/>
      <c r="P674" s="3"/>
      <c r="Q674" s="3"/>
    </row>
    <row r="675" spans="1:17" ht="16.5" customHeight="1">
      <c r="A675" s="3"/>
      <c r="B675" s="3"/>
      <c r="C675" s="3"/>
      <c r="I675" s="3"/>
      <c r="J675" s="3"/>
      <c r="K675" s="3"/>
      <c r="L675" s="3"/>
      <c r="M675" s="3"/>
      <c r="N675" s="3"/>
      <c r="O675" s="3"/>
      <c r="P675" s="3"/>
      <c r="Q675" s="3"/>
    </row>
    <row r="676" spans="1:17" ht="16.5" customHeight="1">
      <c r="A676" s="3"/>
      <c r="B676" s="3"/>
      <c r="C676" s="3"/>
      <c r="I676" s="3"/>
      <c r="J676" s="3"/>
      <c r="K676" s="3"/>
      <c r="L676" s="3"/>
      <c r="M676" s="3"/>
      <c r="N676" s="3"/>
      <c r="O676" s="3"/>
      <c r="P676" s="3"/>
      <c r="Q676" s="3"/>
    </row>
    <row r="677" spans="1:17" ht="16.5" customHeight="1">
      <c r="A677" s="3"/>
      <c r="B677" s="3"/>
      <c r="C677" s="3"/>
      <c r="I677" s="3"/>
      <c r="J677" s="3"/>
      <c r="K677" s="3"/>
      <c r="L677" s="3"/>
      <c r="M677" s="3"/>
      <c r="N677" s="3"/>
      <c r="O677" s="3"/>
      <c r="P677" s="3"/>
      <c r="Q677" s="3"/>
    </row>
    <row r="678" spans="1:17" ht="16.5" customHeight="1">
      <c r="A678" s="3"/>
      <c r="B678" s="3"/>
      <c r="C678" s="3"/>
      <c r="I678" s="3"/>
      <c r="J678" s="3"/>
      <c r="K678" s="3"/>
      <c r="L678" s="3"/>
      <c r="M678" s="3"/>
      <c r="N678" s="3"/>
      <c r="O678" s="3"/>
      <c r="P678" s="3"/>
      <c r="Q678" s="3"/>
    </row>
    <row r="679" spans="1:17" ht="16.5" customHeight="1">
      <c r="A679" s="3"/>
      <c r="B679" s="3"/>
      <c r="C679" s="3"/>
      <c r="I679" s="3"/>
      <c r="J679" s="3"/>
      <c r="K679" s="3"/>
      <c r="L679" s="3"/>
      <c r="M679" s="3"/>
      <c r="N679" s="3"/>
      <c r="O679" s="3"/>
      <c r="P679" s="3"/>
      <c r="Q679" s="3"/>
    </row>
    <row r="680" spans="1:17" ht="16.5" customHeight="1">
      <c r="A680" s="3"/>
      <c r="B680" s="3"/>
      <c r="C680" s="3"/>
      <c r="I680" s="3"/>
      <c r="J680" s="3"/>
      <c r="K680" s="3"/>
      <c r="L680" s="3"/>
      <c r="M680" s="3"/>
      <c r="N680" s="3"/>
      <c r="O680" s="3"/>
      <c r="P680" s="3"/>
      <c r="Q680" s="3"/>
    </row>
    <row r="681" spans="1:17" ht="16.5" customHeight="1">
      <c r="A681" s="3"/>
      <c r="B681" s="3"/>
      <c r="C681" s="3"/>
      <c r="I681" s="3"/>
      <c r="J681" s="3"/>
      <c r="K681" s="3"/>
      <c r="L681" s="3"/>
      <c r="M681" s="3"/>
      <c r="N681" s="3"/>
      <c r="O681" s="3"/>
      <c r="P681" s="3"/>
      <c r="Q681" s="3"/>
    </row>
    <row r="682" spans="1:17" ht="16.5" customHeight="1">
      <c r="A682" s="3"/>
      <c r="B682" s="3"/>
      <c r="C682" s="3"/>
      <c r="I682" s="3"/>
      <c r="J682" s="3"/>
      <c r="K682" s="3"/>
      <c r="L682" s="3"/>
      <c r="M682" s="3"/>
      <c r="N682" s="3"/>
      <c r="O682" s="3"/>
      <c r="P682" s="3"/>
      <c r="Q682" s="3"/>
    </row>
    <row r="683" spans="1:17" ht="16.5" customHeight="1">
      <c r="A683" s="3"/>
      <c r="B683" s="3"/>
      <c r="C683" s="3"/>
      <c r="I683" s="3"/>
      <c r="J683" s="3"/>
      <c r="K683" s="3"/>
      <c r="L683" s="3"/>
      <c r="M683" s="3"/>
      <c r="N683" s="3"/>
      <c r="O683" s="3"/>
      <c r="P683" s="3"/>
      <c r="Q683" s="3"/>
    </row>
    <row r="684" spans="1:17" ht="16.5" customHeight="1">
      <c r="A684" s="3"/>
      <c r="B684" s="3"/>
      <c r="C684" s="3"/>
      <c r="I684" s="3"/>
      <c r="J684" s="3"/>
      <c r="K684" s="3"/>
      <c r="L684" s="3"/>
      <c r="M684" s="3"/>
      <c r="N684" s="3"/>
      <c r="O684" s="3"/>
      <c r="P684" s="3"/>
      <c r="Q684" s="3"/>
    </row>
    <row r="685" spans="1:17" ht="16.5" customHeight="1">
      <c r="A685" s="3"/>
      <c r="B685" s="3"/>
      <c r="C685" s="3"/>
      <c r="I685" s="3"/>
      <c r="J685" s="3"/>
      <c r="K685" s="3"/>
      <c r="L685" s="3"/>
      <c r="M685" s="3"/>
      <c r="N685" s="3"/>
      <c r="O685" s="3"/>
      <c r="P685" s="3"/>
      <c r="Q685" s="3"/>
    </row>
    <row r="686" spans="1:17" ht="16.5" customHeight="1">
      <c r="A686" s="3"/>
      <c r="B686" s="3"/>
      <c r="C686" s="3"/>
      <c r="I686" s="3"/>
      <c r="J686" s="3"/>
      <c r="K686" s="3"/>
      <c r="L686" s="3"/>
      <c r="M686" s="3"/>
      <c r="N686" s="3"/>
      <c r="O686" s="3"/>
      <c r="P686" s="3"/>
      <c r="Q686" s="3"/>
    </row>
    <row r="687" spans="1:17" ht="16.5" customHeight="1">
      <c r="A687" s="3"/>
      <c r="B687" s="3"/>
      <c r="C687" s="3"/>
      <c r="I687" s="3"/>
      <c r="J687" s="3"/>
      <c r="K687" s="3"/>
      <c r="L687" s="3"/>
      <c r="M687" s="3"/>
      <c r="N687" s="3"/>
      <c r="O687" s="3"/>
      <c r="P687" s="3"/>
      <c r="Q687" s="3"/>
    </row>
    <row r="688" spans="1:17" ht="16.5" customHeight="1">
      <c r="A688" s="3"/>
      <c r="B688" s="3"/>
      <c r="C688" s="3"/>
      <c r="I688" s="3"/>
      <c r="J688" s="3"/>
      <c r="K688" s="3"/>
      <c r="L688" s="3"/>
      <c r="M688" s="3"/>
      <c r="N688" s="3"/>
      <c r="O688" s="3"/>
      <c r="P688" s="3"/>
      <c r="Q688" s="3"/>
    </row>
    <row r="689" spans="1:17" ht="16.5" customHeight="1">
      <c r="A689" s="3"/>
      <c r="B689" s="3"/>
      <c r="C689" s="3"/>
      <c r="I689" s="3"/>
      <c r="J689" s="3"/>
      <c r="K689" s="3"/>
      <c r="L689" s="3"/>
      <c r="M689" s="3"/>
      <c r="N689" s="3"/>
      <c r="O689" s="3"/>
      <c r="P689" s="3"/>
      <c r="Q689" s="3"/>
    </row>
    <row r="690" spans="1:17" ht="16.5" customHeight="1">
      <c r="A690" s="3"/>
      <c r="B690" s="3"/>
      <c r="C690" s="3"/>
      <c r="I690" s="3"/>
      <c r="J690" s="3"/>
      <c r="K690" s="3"/>
      <c r="L690" s="3"/>
      <c r="M690" s="3"/>
      <c r="N690" s="3"/>
      <c r="O690" s="3"/>
      <c r="P690" s="3"/>
      <c r="Q690" s="3"/>
    </row>
    <row r="691" spans="1:17" ht="16.5" customHeight="1">
      <c r="A691" s="3"/>
      <c r="B691" s="3"/>
      <c r="C691" s="3"/>
      <c r="I691" s="3"/>
      <c r="J691" s="3"/>
      <c r="K691" s="3"/>
      <c r="L691" s="3"/>
      <c r="M691" s="3"/>
      <c r="N691" s="3"/>
      <c r="O691" s="3"/>
      <c r="P691" s="3"/>
      <c r="Q691" s="3"/>
    </row>
    <row r="692" spans="1:17" ht="16.5" customHeight="1">
      <c r="A692" s="3"/>
      <c r="B692" s="3"/>
      <c r="C692" s="3"/>
      <c r="I692" s="3"/>
      <c r="J692" s="3"/>
      <c r="K692" s="3"/>
      <c r="L692" s="3"/>
      <c r="M692" s="3"/>
      <c r="N692" s="3"/>
      <c r="O692" s="3"/>
      <c r="P692" s="3"/>
      <c r="Q692" s="3"/>
    </row>
    <row r="693" spans="1:17" ht="16.5" customHeight="1">
      <c r="A693" s="3"/>
      <c r="B693" s="3"/>
      <c r="C693" s="3"/>
      <c r="I693" s="3"/>
      <c r="J693" s="3"/>
      <c r="K693" s="3"/>
      <c r="L693" s="3"/>
      <c r="M693" s="3"/>
      <c r="N693" s="3"/>
      <c r="O693" s="3"/>
      <c r="P693" s="3"/>
      <c r="Q693" s="3"/>
    </row>
    <row r="694" spans="1:17" ht="16.5" customHeight="1">
      <c r="A694" s="3"/>
      <c r="B694" s="3"/>
      <c r="C694" s="3"/>
      <c r="I694" s="3"/>
      <c r="J694" s="3"/>
      <c r="K694" s="3"/>
      <c r="L694" s="3"/>
      <c r="M694" s="3"/>
      <c r="N694" s="3"/>
      <c r="O694" s="3"/>
      <c r="P694" s="3"/>
      <c r="Q694" s="3"/>
    </row>
    <row r="695" spans="1:17" ht="16.5" customHeight="1">
      <c r="A695" s="3"/>
      <c r="B695" s="3"/>
      <c r="C695" s="3"/>
      <c r="I695" s="3"/>
      <c r="J695" s="3"/>
      <c r="K695" s="3"/>
      <c r="L695" s="3"/>
      <c r="M695" s="3"/>
      <c r="N695" s="3"/>
      <c r="O695" s="3"/>
      <c r="P695" s="3"/>
      <c r="Q695" s="3"/>
    </row>
    <row r="696" spans="1:17" ht="16.5" customHeight="1">
      <c r="A696" s="3"/>
      <c r="B696" s="3"/>
      <c r="C696" s="3"/>
      <c r="I696" s="3"/>
      <c r="J696" s="3"/>
      <c r="K696" s="3"/>
      <c r="L696" s="3"/>
      <c r="M696" s="3"/>
      <c r="N696" s="3"/>
      <c r="O696" s="3"/>
      <c r="P696" s="3"/>
      <c r="Q696" s="3"/>
    </row>
    <row r="697" spans="1:17" ht="16.5" customHeight="1">
      <c r="A697" s="3"/>
      <c r="B697" s="3"/>
      <c r="C697" s="3"/>
      <c r="I697" s="3"/>
      <c r="J697" s="3"/>
      <c r="K697" s="3"/>
      <c r="L697" s="3"/>
      <c r="M697" s="3"/>
      <c r="N697" s="3"/>
      <c r="O697" s="3"/>
      <c r="P697" s="3"/>
      <c r="Q697" s="3"/>
    </row>
    <row r="698" spans="1:17" ht="16.5" customHeight="1">
      <c r="A698" s="3"/>
      <c r="B698" s="3"/>
      <c r="C698" s="3"/>
      <c r="I698" s="3"/>
      <c r="J698" s="3"/>
      <c r="K698" s="3"/>
      <c r="L698" s="3"/>
      <c r="M698" s="3"/>
      <c r="N698" s="3"/>
      <c r="O698" s="3"/>
      <c r="P698" s="3"/>
      <c r="Q698" s="3"/>
    </row>
    <row r="699" spans="1:17" ht="16.5" customHeight="1">
      <c r="A699" s="3"/>
      <c r="B699" s="3"/>
      <c r="C699" s="3"/>
      <c r="I699" s="3"/>
      <c r="J699" s="3"/>
      <c r="K699" s="3"/>
      <c r="L699" s="3"/>
      <c r="M699" s="3"/>
      <c r="N699" s="3"/>
      <c r="O699" s="3"/>
      <c r="P699" s="3"/>
      <c r="Q699" s="3"/>
    </row>
    <row r="700" spans="1:17" ht="16.5" customHeight="1">
      <c r="A700" s="3"/>
      <c r="B700" s="3"/>
      <c r="C700" s="3"/>
      <c r="I700" s="3"/>
      <c r="J700" s="3"/>
      <c r="K700" s="3"/>
      <c r="L700" s="3"/>
      <c r="M700" s="3"/>
      <c r="N700" s="3"/>
      <c r="O700" s="3"/>
      <c r="P700" s="3"/>
      <c r="Q700" s="3"/>
    </row>
    <row r="701" spans="1:17" ht="16.5" customHeight="1">
      <c r="A701" s="3"/>
      <c r="B701" s="3"/>
      <c r="C701" s="3"/>
      <c r="I701" s="3"/>
      <c r="J701" s="3"/>
      <c r="K701" s="3"/>
      <c r="L701" s="3"/>
      <c r="M701" s="3"/>
      <c r="N701" s="3"/>
      <c r="O701" s="3"/>
      <c r="P701" s="3"/>
      <c r="Q701" s="3"/>
    </row>
    <row r="702" spans="1:17" ht="16.5" customHeight="1">
      <c r="A702" s="3"/>
      <c r="B702" s="3"/>
      <c r="C702" s="3"/>
      <c r="I702" s="3"/>
      <c r="J702" s="3"/>
      <c r="K702" s="3"/>
      <c r="L702" s="3"/>
      <c r="M702" s="3"/>
      <c r="N702" s="3"/>
      <c r="O702" s="3"/>
      <c r="P702" s="3"/>
      <c r="Q702" s="3"/>
    </row>
    <row r="703" spans="1:17" ht="16.5" customHeight="1">
      <c r="A703" s="3"/>
      <c r="B703" s="3"/>
      <c r="C703" s="3"/>
      <c r="I703" s="3"/>
      <c r="J703" s="3"/>
      <c r="K703" s="3"/>
      <c r="L703" s="3"/>
      <c r="M703" s="3"/>
      <c r="N703" s="3"/>
      <c r="O703" s="3"/>
      <c r="P703" s="3"/>
      <c r="Q703" s="3"/>
    </row>
    <row r="704" spans="1:17" ht="16.5" customHeight="1">
      <c r="A704" s="3"/>
      <c r="B704" s="3"/>
      <c r="C704" s="3"/>
      <c r="I704" s="3"/>
      <c r="J704" s="3"/>
      <c r="K704" s="3"/>
      <c r="L704" s="3"/>
      <c r="M704" s="3"/>
      <c r="N704" s="3"/>
      <c r="O704" s="3"/>
      <c r="P704" s="3"/>
      <c r="Q704" s="3"/>
    </row>
    <row r="705" spans="1:17" ht="16.5" customHeight="1">
      <c r="A705" s="3"/>
      <c r="B705" s="3"/>
      <c r="C705" s="3"/>
      <c r="I705" s="3"/>
      <c r="J705" s="3"/>
      <c r="K705" s="3"/>
      <c r="L705" s="3"/>
      <c r="M705" s="3"/>
      <c r="N705" s="3"/>
      <c r="O705" s="3"/>
      <c r="P705" s="3"/>
      <c r="Q705" s="3"/>
    </row>
    <row r="706" spans="1:17" ht="16.5" customHeight="1">
      <c r="A706" s="3"/>
      <c r="B706" s="3"/>
      <c r="C706" s="3"/>
      <c r="I706" s="3"/>
      <c r="J706" s="3"/>
      <c r="K706" s="3"/>
      <c r="L706" s="3"/>
      <c r="M706" s="3"/>
      <c r="N706" s="3"/>
      <c r="O706" s="3"/>
      <c r="P706" s="3"/>
      <c r="Q706" s="3"/>
    </row>
    <row r="707" spans="1:17" ht="16.5" customHeight="1">
      <c r="A707" s="3"/>
      <c r="B707" s="3"/>
      <c r="C707" s="3"/>
      <c r="I707" s="3"/>
      <c r="J707" s="3"/>
      <c r="K707" s="3"/>
      <c r="L707" s="3"/>
      <c r="M707" s="3"/>
      <c r="N707" s="3"/>
      <c r="O707" s="3"/>
      <c r="P707" s="3"/>
      <c r="Q707" s="3"/>
    </row>
    <row r="708" spans="1:17" ht="16.5" customHeight="1">
      <c r="A708" s="3"/>
      <c r="B708" s="3"/>
      <c r="C708" s="3"/>
      <c r="I708" s="3"/>
      <c r="J708" s="3"/>
      <c r="K708" s="3"/>
      <c r="L708" s="3"/>
      <c r="M708" s="3"/>
      <c r="N708" s="3"/>
      <c r="O708" s="3"/>
      <c r="P708" s="3"/>
      <c r="Q708" s="3"/>
    </row>
    <row r="709" spans="1:17" ht="16.5" customHeight="1">
      <c r="A709" s="3"/>
      <c r="B709" s="3"/>
      <c r="C709" s="3"/>
      <c r="I709" s="3"/>
      <c r="J709" s="3"/>
      <c r="K709" s="3"/>
      <c r="L709" s="3"/>
      <c r="M709" s="3"/>
      <c r="N709" s="3"/>
      <c r="O709" s="3"/>
      <c r="P709" s="3"/>
      <c r="Q709" s="3"/>
    </row>
    <row r="710" spans="1:17" ht="16.5" customHeight="1">
      <c r="A710" s="3"/>
      <c r="B710" s="3"/>
      <c r="C710" s="3"/>
      <c r="I710" s="3"/>
      <c r="J710" s="3"/>
      <c r="K710" s="3"/>
      <c r="L710" s="3"/>
      <c r="M710" s="3"/>
      <c r="N710" s="3"/>
      <c r="O710" s="3"/>
      <c r="P710" s="3"/>
      <c r="Q710" s="3"/>
    </row>
    <row r="711" spans="1:17" ht="16.5" customHeight="1">
      <c r="A711" s="3"/>
      <c r="B711" s="3"/>
      <c r="C711" s="3"/>
      <c r="I711" s="3"/>
      <c r="J711" s="3"/>
      <c r="K711" s="3"/>
      <c r="L711" s="3"/>
      <c r="M711" s="3"/>
      <c r="N711" s="3"/>
      <c r="O711" s="3"/>
      <c r="P711" s="3"/>
      <c r="Q711" s="3"/>
    </row>
    <row r="712" spans="1:17" ht="16.5" customHeight="1">
      <c r="A712" s="3"/>
      <c r="B712" s="3"/>
      <c r="C712" s="3"/>
      <c r="I712" s="3"/>
      <c r="J712" s="3"/>
      <c r="K712" s="3"/>
      <c r="L712" s="3"/>
      <c r="M712" s="3"/>
      <c r="N712" s="3"/>
      <c r="O712" s="3"/>
      <c r="P712" s="3"/>
      <c r="Q712" s="3"/>
    </row>
    <row r="713" spans="1:17" ht="16.5" customHeight="1">
      <c r="A713" s="3"/>
      <c r="B713" s="3"/>
      <c r="C713" s="3"/>
      <c r="I713" s="3"/>
      <c r="J713" s="3"/>
      <c r="K713" s="3"/>
      <c r="L713" s="3"/>
      <c r="M713" s="3"/>
      <c r="N713" s="3"/>
      <c r="O713" s="3"/>
      <c r="P713" s="3"/>
      <c r="Q713" s="3"/>
    </row>
    <row r="714" spans="1:17" ht="16.5" customHeight="1">
      <c r="A714" s="3"/>
      <c r="B714" s="3"/>
      <c r="C714" s="3"/>
      <c r="I714" s="3"/>
      <c r="J714" s="3"/>
      <c r="K714" s="3"/>
      <c r="L714" s="3"/>
      <c r="M714" s="3"/>
      <c r="N714" s="3"/>
      <c r="O714" s="3"/>
      <c r="P714" s="3"/>
      <c r="Q714" s="3"/>
    </row>
    <row r="715" spans="1:17" ht="16.5" customHeight="1">
      <c r="A715" s="3"/>
      <c r="B715" s="3"/>
      <c r="C715" s="3"/>
      <c r="I715" s="3"/>
      <c r="J715" s="3"/>
      <c r="K715" s="3"/>
      <c r="L715" s="3"/>
      <c r="M715" s="3"/>
      <c r="N715" s="3"/>
      <c r="O715" s="3"/>
      <c r="P715" s="3"/>
      <c r="Q715" s="3"/>
    </row>
    <row r="716" spans="1:17" ht="16.5" customHeight="1">
      <c r="A716" s="3"/>
      <c r="B716" s="3"/>
      <c r="C716" s="3"/>
      <c r="I716" s="3"/>
      <c r="J716" s="3"/>
      <c r="K716" s="3"/>
      <c r="L716" s="3"/>
      <c r="M716" s="3"/>
      <c r="N716" s="3"/>
      <c r="O716" s="3"/>
      <c r="P716" s="3"/>
      <c r="Q716" s="3"/>
    </row>
    <row r="717" spans="1:17" ht="16.5" customHeight="1">
      <c r="A717" s="3"/>
      <c r="B717" s="3"/>
      <c r="C717" s="3"/>
      <c r="I717" s="3"/>
      <c r="J717" s="3"/>
      <c r="K717" s="3"/>
      <c r="L717" s="3"/>
      <c r="M717" s="3"/>
      <c r="N717" s="3"/>
      <c r="O717" s="3"/>
      <c r="P717" s="3"/>
      <c r="Q717" s="3"/>
    </row>
    <row r="718" spans="1:17" ht="16.5" customHeight="1">
      <c r="A718" s="3"/>
      <c r="B718" s="3"/>
      <c r="C718" s="3"/>
      <c r="I718" s="3"/>
      <c r="J718" s="3"/>
      <c r="K718" s="3"/>
      <c r="L718" s="3"/>
      <c r="M718" s="3"/>
      <c r="N718" s="3"/>
      <c r="O718" s="3"/>
      <c r="P718" s="3"/>
      <c r="Q718" s="3"/>
    </row>
    <row r="719" spans="1:17" ht="16.5" customHeight="1">
      <c r="A719" s="3"/>
      <c r="B719" s="3"/>
      <c r="C719" s="3"/>
      <c r="I719" s="3"/>
      <c r="J719" s="3"/>
      <c r="K719" s="3"/>
      <c r="L719" s="3"/>
      <c r="M719" s="3"/>
      <c r="N719" s="3"/>
      <c r="O719" s="3"/>
      <c r="P719" s="3"/>
      <c r="Q719" s="3"/>
    </row>
    <row r="720" spans="1:17" ht="16.5" customHeight="1">
      <c r="A720" s="3"/>
      <c r="B720" s="3"/>
      <c r="C720" s="3"/>
      <c r="I720" s="3"/>
      <c r="J720" s="3"/>
      <c r="K720" s="3"/>
      <c r="L720" s="3"/>
      <c r="M720" s="3"/>
      <c r="N720" s="3"/>
      <c r="O720" s="3"/>
      <c r="P720" s="3"/>
      <c r="Q720" s="3"/>
    </row>
    <row r="721" spans="1:17" ht="16.5" customHeight="1">
      <c r="A721" s="3"/>
      <c r="B721" s="3"/>
      <c r="C721" s="3"/>
      <c r="I721" s="3"/>
      <c r="J721" s="3"/>
      <c r="K721" s="3"/>
      <c r="L721" s="3"/>
      <c r="M721" s="3"/>
      <c r="N721" s="3"/>
      <c r="O721" s="3"/>
      <c r="P721" s="3"/>
      <c r="Q721" s="3"/>
    </row>
    <row r="722" spans="1:17" ht="16.5" customHeight="1">
      <c r="A722" s="3"/>
      <c r="B722" s="3"/>
      <c r="C722" s="3"/>
      <c r="I722" s="3"/>
      <c r="J722" s="3"/>
      <c r="K722" s="3"/>
      <c r="L722" s="3"/>
      <c r="M722" s="3"/>
      <c r="N722" s="3"/>
      <c r="O722" s="3"/>
      <c r="P722" s="3"/>
      <c r="Q722" s="3"/>
    </row>
    <row r="723" spans="1:17" ht="16.5" customHeight="1">
      <c r="A723" s="3"/>
      <c r="B723" s="3"/>
      <c r="C723" s="3"/>
      <c r="I723" s="3"/>
      <c r="J723" s="3"/>
      <c r="K723" s="3"/>
      <c r="L723" s="3"/>
      <c r="M723" s="3"/>
      <c r="N723" s="3"/>
      <c r="O723" s="3"/>
      <c r="P723" s="3"/>
      <c r="Q723" s="3"/>
    </row>
    <row r="724" spans="1:17" ht="16.5" customHeight="1">
      <c r="A724" s="3"/>
      <c r="B724" s="3"/>
      <c r="C724" s="3"/>
      <c r="I724" s="3"/>
      <c r="J724" s="3"/>
      <c r="K724" s="3"/>
      <c r="L724" s="3"/>
      <c r="M724" s="3"/>
      <c r="N724" s="3"/>
      <c r="O724" s="3"/>
      <c r="P724" s="3"/>
      <c r="Q724" s="3"/>
    </row>
    <row r="725" spans="1:17" ht="16.5" customHeight="1">
      <c r="A725" s="3"/>
      <c r="B725" s="3"/>
      <c r="C725" s="3"/>
      <c r="I725" s="3"/>
      <c r="J725" s="3"/>
      <c r="K725" s="3"/>
      <c r="L725" s="3"/>
      <c r="M725" s="3"/>
      <c r="N725" s="3"/>
      <c r="O725" s="3"/>
      <c r="P725" s="3"/>
      <c r="Q725" s="3"/>
    </row>
    <row r="726" spans="1:17" ht="16.5" customHeight="1">
      <c r="A726" s="3"/>
      <c r="B726" s="3"/>
      <c r="C726" s="3"/>
      <c r="I726" s="3"/>
      <c r="J726" s="3"/>
      <c r="K726" s="3"/>
      <c r="L726" s="3"/>
      <c r="M726" s="3"/>
      <c r="N726" s="3"/>
      <c r="O726" s="3"/>
      <c r="P726" s="3"/>
      <c r="Q726" s="3"/>
    </row>
    <row r="727" spans="1:17" ht="16.5" customHeight="1">
      <c r="A727" s="3"/>
      <c r="B727" s="3"/>
      <c r="C727" s="3"/>
      <c r="I727" s="3"/>
      <c r="J727" s="3"/>
      <c r="K727" s="3"/>
      <c r="L727" s="3"/>
      <c r="M727" s="3"/>
      <c r="N727" s="3"/>
      <c r="O727" s="3"/>
      <c r="P727" s="3"/>
      <c r="Q727" s="3"/>
    </row>
    <row r="728" spans="1:17" ht="16.5" customHeight="1">
      <c r="A728" s="3"/>
      <c r="B728" s="3"/>
      <c r="C728" s="3"/>
      <c r="I728" s="3"/>
      <c r="J728" s="3"/>
      <c r="K728" s="3"/>
      <c r="L728" s="3"/>
      <c r="M728" s="3"/>
      <c r="N728" s="3"/>
      <c r="O728" s="3"/>
      <c r="P728" s="3"/>
      <c r="Q728" s="3"/>
    </row>
    <row r="729" spans="1:17" ht="16.5" customHeight="1">
      <c r="A729" s="3"/>
      <c r="B729" s="3"/>
      <c r="C729" s="3"/>
      <c r="I729" s="3"/>
      <c r="J729" s="3"/>
      <c r="K729" s="3"/>
      <c r="L729" s="3"/>
      <c r="M729" s="3"/>
      <c r="N729" s="3"/>
      <c r="O729" s="3"/>
      <c r="P729" s="3"/>
      <c r="Q729" s="3"/>
    </row>
    <row r="730" spans="1:17" ht="16.5" customHeight="1">
      <c r="A730" s="3"/>
      <c r="B730" s="3"/>
      <c r="C730" s="3"/>
      <c r="I730" s="3"/>
      <c r="J730" s="3"/>
      <c r="K730" s="3"/>
      <c r="L730" s="3"/>
      <c r="M730" s="3"/>
      <c r="N730" s="3"/>
      <c r="O730" s="3"/>
      <c r="P730" s="3"/>
      <c r="Q730" s="3"/>
    </row>
    <row r="731" spans="1:17" ht="16.5" customHeight="1">
      <c r="A731" s="3"/>
      <c r="B731" s="3"/>
      <c r="C731" s="3"/>
      <c r="I731" s="3"/>
      <c r="J731" s="3"/>
      <c r="K731" s="3"/>
      <c r="L731" s="3"/>
      <c r="M731" s="3"/>
      <c r="N731" s="3"/>
      <c r="O731" s="3"/>
      <c r="P731" s="3"/>
      <c r="Q731" s="3"/>
    </row>
    <row r="732" spans="1:17" ht="16.5" customHeight="1">
      <c r="A732" s="3"/>
      <c r="B732" s="3"/>
      <c r="C732" s="3"/>
      <c r="I732" s="3"/>
      <c r="J732" s="3"/>
      <c r="K732" s="3"/>
      <c r="L732" s="3"/>
      <c r="M732" s="3"/>
      <c r="N732" s="3"/>
      <c r="O732" s="3"/>
      <c r="P732" s="3"/>
      <c r="Q732" s="3"/>
    </row>
    <row r="733" spans="1:17" ht="16.5" customHeight="1">
      <c r="A733" s="3"/>
      <c r="B733" s="3"/>
      <c r="C733" s="3"/>
      <c r="I733" s="3"/>
      <c r="J733" s="3"/>
      <c r="K733" s="3"/>
      <c r="L733" s="3"/>
      <c r="M733" s="3"/>
      <c r="N733" s="3"/>
      <c r="O733" s="3"/>
      <c r="P733" s="3"/>
      <c r="Q733" s="3"/>
    </row>
    <row r="734" spans="1:17" ht="16.5" customHeight="1">
      <c r="A734" s="3"/>
      <c r="B734" s="3"/>
      <c r="C734" s="3"/>
      <c r="I734" s="3"/>
      <c r="J734" s="3"/>
      <c r="K734" s="3"/>
      <c r="L734" s="3"/>
      <c r="M734" s="3"/>
      <c r="N734" s="3"/>
      <c r="O734" s="3"/>
      <c r="P734" s="3"/>
      <c r="Q734" s="3"/>
    </row>
    <row r="735" spans="1:17" ht="16.5" customHeight="1">
      <c r="A735" s="3"/>
      <c r="B735" s="3"/>
      <c r="C735" s="3"/>
      <c r="I735" s="3"/>
      <c r="J735" s="3"/>
      <c r="K735" s="3"/>
      <c r="L735" s="3"/>
      <c r="M735" s="3"/>
      <c r="N735" s="3"/>
      <c r="O735" s="3"/>
      <c r="P735" s="3"/>
      <c r="Q735" s="3"/>
    </row>
    <row r="736" spans="1:17" ht="16.5" customHeight="1">
      <c r="A736" s="3"/>
      <c r="B736" s="3"/>
      <c r="C736" s="3"/>
      <c r="I736" s="3"/>
      <c r="J736" s="3"/>
      <c r="K736" s="3"/>
      <c r="L736" s="3"/>
      <c r="M736" s="3"/>
      <c r="N736" s="3"/>
      <c r="O736" s="3"/>
      <c r="P736" s="3"/>
      <c r="Q736" s="3"/>
    </row>
    <row r="737" spans="1:17" ht="16.5" customHeight="1">
      <c r="A737" s="3"/>
      <c r="B737" s="3"/>
      <c r="C737" s="3"/>
      <c r="I737" s="3"/>
      <c r="J737" s="3"/>
      <c r="K737" s="3"/>
      <c r="L737" s="3"/>
      <c r="M737" s="3"/>
      <c r="N737" s="3"/>
      <c r="O737" s="3"/>
      <c r="P737" s="3"/>
      <c r="Q737" s="3"/>
    </row>
    <row r="738" spans="1:17" ht="16.5" customHeight="1">
      <c r="A738" s="3"/>
      <c r="B738" s="3"/>
      <c r="C738" s="3"/>
      <c r="I738" s="3"/>
      <c r="J738" s="3"/>
      <c r="K738" s="3"/>
      <c r="L738" s="3"/>
      <c r="M738" s="3"/>
      <c r="N738" s="3"/>
      <c r="O738" s="3"/>
      <c r="P738" s="3"/>
      <c r="Q738" s="3"/>
    </row>
    <row r="739" spans="1:17" ht="16.5" customHeight="1">
      <c r="A739" s="3"/>
      <c r="B739" s="3"/>
      <c r="C739" s="3"/>
      <c r="I739" s="3"/>
      <c r="J739" s="3"/>
      <c r="K739" s="3"/>
      <c r="L739" s="3"/>
      <c r="M739" s="3"/>
      <c r="N739" s="3"/>
      <c r="O739" s="3"/>
      <c r="P739" s="3"/>
      <c r="Q739" s="3"/>
    </row>
    <row r="740" spans="1:17" ht="16.5" customHeight="1">
      <c r="A740" s="3"/>
      <c r="B740" s="3"/>
      <c r="C740" s="3"/>
      <c r="I740" s="3"/>
      <c r="J740" s="3"/>
      <c r="K740" s="3"/>
      <c r="L740" s="3"/>
      <c r="M740" s="3"/>
      <c r="N740" s="3"/>
      <c r="O740" s="3"/>
      <c r="P740" s="3"/>
      <c r="Q740" s="3"/>
    </row>
    <row r="741" spans="1:17" ht="16.5" customHeight="1">
      <c r="A741" s="3"/>
      <c r="B741" s="3"/>
      <c r="C741" s="3"/>
      <c r="I741" s="3"/>
      <c r="J741" s="3"/>
      <c r="K741" s="3"/>
      <c r="L741" s="3"/>
      <c r="M741" s="3"/>
      <c r="N741" s="3"/>
      <c r="O741" s="3"/>
      <c r="P741" s="3"/>
      <c r="Q741" s="3"/>
    </row>
    <row r="742" spans="1:17" ht="16.5" customHeight="1">
      <c r="A742" s="3"/>
      <c r="B742" s="3"/>
      <c r="C742" s="3"/>
      <c r="I742" s="3"/>
      <c r="J742" s="3"/>
      <c r="K742" s="3"/>
      <c r="L742" s="3"/>
      <c r="M742" s="3"/>
      <c r="N742" s="3"/>
      <c r="O742" s="3"/>
      <c r="P742" s="3"/>
      <c r="Q742" s="3"/>
    </row>
    <row r="743" spans="1:17" ht="16.5" customHeight="1">
      <c r="A743" s="3"/>
      <c r="B743" s="3"/>
      <c r="C743" s="3"/>
      <c r="I743" s="3"/>
      <c r="J743" s="3"/>
      <c r="K743" s="3"/>
      <c r="L743" s="3"/>
      <c r="M743" s="3"/>
      <c r="N743" s="3"/>
      <c r="O743" s="3"/>
      <c r="P743" s="3"/>
      <c r="Q743" s="3"/>
    </row>
    <row r="744" spans="1:17" ht="16.5" customHeight="1">
      <c r="A744" s="3"/>
      <c r="B744" s="3"/>
      <c r="C744" s="3"/>
      <c r="I744" s="3"/>
      <c r="J744" s="3"/>
      <c r="K744" s="3"/>
      <c r="L744" s="3"/>
      <c r="M744" s="3"/>
      <c r="N744" s="3"/>
      <c r="O744" s="3"/>
      <c r="P744" s="3"/>
      <c r="Q744" s="3"/>
    </row>
    <row r="745" spans="1:17" ht="16.5" customHeight="1">
      <c r="A745" s="3"/>
      <c r="B745" s="3"/>
      <c r="C745" s="3"/>
      <c r="I745" s="3"/>
      <c r="J745" s="3"/>
      <c r="K745" s="3"/>
      <c r="L745" s="3"/>
      <c r="M745" s="3"/>
      <c r="N745" s="3"/>
      <c r="O745" s="3"/>
      <c r="P745" s="3"/>
      <c r="Q745" s="3"/>
    </row>
    <row r="746" spans="1:17" ht="16.5" customHeight="1">
      <c r="A746" s="3"/>
      <c r="B746" s="3"/>
      <c r="C746" s="3"/>
      <c r="I746" s="3"/>
      <c r="J746" s="3"/>
      <c r="K746" s="3"/>
      <c r="L746" s="3"/>
      <c r="M746" s="3"/>
      <c r="N746" s="3"/>
      <c r="O746" s="3"/>
      <c r="P746" s="3"/>
      <c r="Q746" s="3"/>
    </row>
    <row r="747" spans="1:17" ht="16.5" customHeight="1">
      <c r="A747" s="3"/>
      <c r="B747" s="3"/>
      <c r="C747" s="3"/>
      <c r="I747" s="3"/>
      <c r="J747" s="3"/>
      <c r="K747" s="3"/>
      <c r="L747" s="3"/>
      <c r="M747" s="3"/>
      <c r="N747" s="3"/>
      <c r="O747" s="3"/>
      <c r="P747" s="3"/>
      <c r="Q747" s="3"/>
    </row>
    <row r="748" spans="1:17" ht="16.5" customHeight="1">
      <c r="A748" s="3"/>
      <c r="B748" s="3"/>
      <c r="C748" s="3"/>
      <c r="I748" s="3"/>
      <c r="J748" s="3"/>
      <c r="K748" s="3"/>
      <c r="L748" s="3"/>
      <c r="M748" s="3"/>
      <c r="N748" s="3"/>
      <c r="O748" s="3"/>
      <c r="P748" s="3"/>
      <c r="Q748" s="3"/>
    </row>
    <row r="749" spans="1:17" ht="16.5" customHeight="1">
      <c r="A749" s="3"/>
      <c r="B749" s="3"/>
      <c r="C749" s="3"/>
      <c r="I749" s="3"/>
      <c r="J749" s="3"/>
      <c r="K749" s="3"/>
      <c r="L749" s="3"/>
      <c r="M749" s="3"/>
      <c r="N749" s="3"/>
      <c r="O749" s="3"/>
      <c r="P749" s="3"/>
      <c r="Q749" s="3"/>
    </row>
    <row r="750" spans="1:17" ht="16.5" customHeight="1">
      <c r="A750" s="3"/>
      <c r="B750" s="3"/>
      <c r="C750" s="3"/>
      <c r="I750" s="3"/>
      <c r="J750" s="3"/>
      <c r="K750" s="3"/>
      <c r="L750" s="3"/>
      <c r="M750" s="3"/>
      <c r="N750" s="3"/>
      <c r="O750" s="3"/>
      <c r="P750" s="3"/>
      <c r="Q750" s="3"/>
    </row>
    <row r="751" spans="1:17" ht="16.5" customHeight="1">
      <c r="A751" s="3"/>
      <c r="B751" s="3"/>
      <c r="C751" s="3"/>
      <c r="I751" s="3"/>
      <c r="J751" s="3"/>
      <c r="K751" s="3"/>
      <c r="L751" s="3"/>
      <c r="M751" s="3"/>
      <c r="N751" s="3"/>
      <c r="O751" s="3"/>
      <c r="P751" s="3"/>
      <c r="Q751" s="3"/>
    </row>
    <row r="752" spans="1:17" ht="16.5" customHeight="1">
      <c r="A752" s="3"/>
      <c r="B752" s="3"/>
      <c r="C752" s="3"/>
      <c r="I752" s="3"/>
      <c r="J752" s="3"/>
      <c r="K752" s="3"/>
      <c r="L752" s="3"/>
      <c r="M752" s="3"/>
      <c r="N752" s="3"/>
      <c r="O752" s="3"/>
      <c r="P752" s="3"/>
      <c r="Q752" s="3"/>
    </row>
    <row r="753" spans="1:17" ht="16.5" customHeight="1">
      <c r="A753" s="3"/>
      <c r="B753" s="3"/>
      <c r="C753" s="3"/>
      <c r="I753" s="3"/>
      <c r="J753" s="3"/>
      <c r="K753" s="3"/>
      <c r="L753" s="3"/>
      <c r="M753" s="3"/>
      <c r="N753" s="3"/>
      <c r="O753" s="3"/>
      <c r="P753" s="3"/>
      <c r="Q753" s="3"/>
    </row>
    <row r="754" spans="1:17" ht="16.5" customHeight="1">
      <c r="A754" s="3"/>
      <c r="B754" s="3"/>
      <c r="C754" s="3"/>
      <c r="I754" s="3"/>
      <c r="J754" s="3"/>
      <c r="K754" s="3"/>
      <c r="L754" s="3"/>
      <c r="M754" s="3"/>
      <c r="N754" s="3"/>
      <c r="O754" s="3"/>
      <c r="P754" s="3"/>
      <c r="Q754" s="3"/>
    </row>
    <row r="755" spans="1:17" ht="16.5" customHeight="1">
      <c r="A755" s="3"/>
      <c r="B755" s="3"/>
      <c r="C755" s="3"/>
      <c r="I755" s="3"/>
      <c r="J755" s="3"/>
      <c r="K755" s="3"/>
      <c r="L755" s="3"/>
      <c r="M755" s="3"/>
      <c r="N755" s="3"/>
      <c r="O755" s="3"/>
      <c r="P755" s="3"/>
      <c r="Q755" s="3"/>
    </row>
    <row r="756" spans="1:17" ht="16.5" customHeight="1">
      <c r="A756" s="3"/>
      <c r="B756" s="3"/>
      <c r="C756" s="3"/>
      <c r="I756" s="3"/>
      <c r="J756" s="3"/>
      <c r="K756" s="3"/>
      <c r="L756" s="3"/>
      <c r="M756" s="3"/>
      <c r="N756" s="3"/>
      <c r="O756" s="3"/>
      <c r="P756" s="3"/>
      <c r="Q756" s="3"/>
    </row>
    <row r="757" spans="1:17" ht="16.5" customHeight="1">
      <c r="A757" s="3"/>
      <c r="B757" s="3"/>
      <c r="C757" s="3"/>
      <c r="I757" s="3"/>
      <c r="J757" s="3"/>
      <c r="K757" s="3"/>
      <c r="L757" s="3"/>
      <c r="M757" s="3"/>
      <c r="N757" s="3"/>
      <c r="O757" s="3"/>
      <c r="P757" s="3"/>
      <c r="Q757" s="3"/>
    </row>
    <row r="758" spans="1:17" ht="16.5" customHeight="1">
      <c r="A758" s="3"/>
      <c r="B758" s="3"/>
      <c r="C758" s="3"/>
      <c r="I758" s="3"/>
      <c r="J758" s="3"/>
      <c r="K758" s="3"/>
      <c r="L758" s="3"/>
      <c r="M758" s="3"/>
      <c r="N758" s="3"/>
      <c r="O758" s="3"/>
      <c r="P758" s="3"/>
      <c r="Q758" s="3"/>
    </row>
    <row r="759" spans="1:17" ht="16.5" customHeight="1">
      <c r="A759" s="3"/>
      <c r="B759" s="3"/>
      <c r="C759" s="3"/>
      <c r="I759" s="3"/>
      <c r="J759" s="3"/>
      <c r="K759" s="3"/>
      <c r="L759" s="3"/>
      <c r="M759" s="3"/>
      <c r="N759" s="3"/>
      <c r="O759" s="3"/>
      <c r="P759" s="3"/>
      <c r="Q759" s="3"/>
    </row>
    <row r="760" spans="1:17" ht="16.5" customHeight="1">
      <c r="A760" s="3"/>
      <c r="B760" s="3"/>
      <c r="C760" s="3"/>
      <c r="I760" s="3"/>
      <c r="J760" s="3"/>
      <c r="K760" s="3"/>
      <c r="L760" s="3"/>
      <c r="M760" s="3"/>
      <c r="N760" s="3"/>
      <c r="O760" s="3"/>
      <c r="P760" s="3"/>
      <c r="Q760" s="3"/>
    </row>
    <row r="761" spans="1:17" ht="16.5" customHeight="1">
      <c r="A761" s="3"/>
      <c r="B761" s="3"/>
      <c r="C761" s="3"/>
      <c r="I761" s="3"/>
      <c r="J761" s="3"/>
      <c r="K761" s="3"/>
      <c r="L761" s="3"/>
      <c r="M761" s="3"/>
      <c r="N761" s="3"/>
      <c r="O761" s="3"/>
      <c r="P761" s="3"/>
      <c r="Q761" s="3"/>
    </row>
    <row r="762" spans="1:17" ht="16.5" customHeight="1">
      <c r="A762" s="3"/>
      <c r="B762" s="3"/>
      <c r="C762" s="3"/>
      <c r="I762" s="3"/>
      <c r="J762" s="3"/>
      <c r="K762" s="3"/>
      <c r="L762" s="3"/>
      <c r="M762" s="3"/>
      <c r="N762" s="3"/>
      <c r="O762" s="3"/>
      <c r="P762" s="3"/>
      <c r="Q762" s="3"/>
    </row>
    <row r="763" spans="1:17" ht="16.5" customHeight="1">
      <c r="A763" s="3"/>
      <c r="B763" s="3"/>
      <c r="C763" s="3"/>
      <c r="I763" s="3"/>
      <c r="J763" s="3"/>
      <c r="K763" s="3"/>
      <c r="L763" s="3"/>
      <c r="M763" s="3"/>
      <c r="N763" s="3"/>
      <c r="O763" s="3"/>
      <c r="P763" s="3"/>
      <c r="Q763" s="3"/>
    </row>
    <row r="764" spans="1:17" ht="16.5" customHeight="1">
      <c r="A764" s="3"/>
      <c r="B764" s="3"/>
      <c r="C764" s="3"/>
      <c r="I764" s="3"/>
      <c r="J764" s="3"/>
      <c r="K764" s="3"/>
      <c r="L764" s="3"/>
      <c r="M764" s="3"/>
      <c r="N764" s="3"/>
      <c r="O764" s="3"/>
      <c r="P764" s="3"/>
      <c r="Q764" s="3"/>
    </row>
    <row r="765" spans="1:17" ht="16.5" customHeight="1">
      <c r="A765" s="3"/>
      <c r="B765" s="3"/>
      <c r="C765" s="3"/>
      <c r="I765" s="3"/>
      <c r="J765" s="3"/>
      <c r="K765" s="3"/>
      <c r="L765" s="3"/>
      <c r="M765" s="3"/>
      <c r="N765" s="3"/>
      <c r="O765" s="3"/>
      <c r="P765" s="3"/>
      <c r="Q765" s="3"/>
    </row>
    <row r="766" spans="1:17" ht="16.5" customHeight="1">
      <c r="A766" s="3"/>
      <c r="B766" s="3"/>
      <c r="C766" s="3"/>
      <c r="I766" s="3"/>
      <c r="J766" s="3"/>
      <c r="K766" s="3"/>
      <c r="L766" s="3"/>
      <c r="M766" s="3"/>
      <c r="N766" s="3"/>
      <c r="O766" s="3"/>
      <c r="P766" s="3"/>
      <c r="Q766" s="3"/>
    </row>
    <row r="767" spans="1:17" ht="16.5" customHeight="1">
      <c r="A767" s="3"/>
      <c r="B767" s="3"/>
      <c r="C767" s="3"/>
      <c r="I767" s="3"/>
      <c r="J767" s="3"/>
      <c r="K767" s="3"/>
      <c r="L767" s="3"/>
      <c r="M767" s="3"/>
      <c r="N767" s="3"/>
      <c r="O767" s="3"/>
      <c r="P767" s="3"/>
      <c r="Q767" s="3"/>
    </row>
    <row r="768" spans="1:17" ht="16.5" customHeight="1">
      <c r="A768" s="3"/>
      <c r="B768" s="3"/>
      <c r="C768" s="3"/>
      <c r="I768" s="3"/>
      <c r="J768" s="3"/>
      <c r="K768" s="3"/>
      <c r="L768" s="3"/>
      <c r="M768" s="3"/>
      <c r="N768" s="3"/>
      <c r="O768" s="3"/>
      <c r="P768" s="3"/>
      <c r="Q768" s="3"/>
    </row>
    <row r="769" spans="1:17" ht="16.5" customHeight="1">
      <c r="A769" s="3"/>
      <c r="B769" s="3"/>
      <c r="C769" s="3"/>
      <c r="I769" s="3"/>
      <c r="J769" s="3"/>
      <c r="K769" s="3"/>
      <c r="L769" s="3"/>
      <c r="M769" s="3"/>
      <c r="N769" s="3"/>
      <c r="O769" s="3"/>
      <c r="P769" s="3"/>
      <c r="Q769" s="3"/>
    </row>
    <row r="770" spans="1:17" ht="16.5" customHeight="1">
      <c r="A770" s="3"/>
      <c r="B770" s="3"/>
      <c r="C770" s="3"/>
      <c r="I770" s="3"/>
      <c r="J770" s="3"/>
      <c r="K770" s="3"/>
      <c r="L770" s="3"/>
      <c r="M770" s="3"/>
      <c r="N770" s="3"/>
      <c r="O770" s="3"/>
      <c r="P770" s="3"/>
      <c r="Q770" s="3"/>
    </row>
    <row r="771" spans="1:17" ht="16.5" customHeight="1">
      <c r="A771" s="3"/>
      <c r="B771" s="3"/>
      <c r="C771" s="3"/>
      <c r="I771" s="3"/>
      <c r="J771" s="3"/>
      <c r="K771" s="3"/>
      <c r="L771" s="3"/>
      <c r="M771" s="3"/>
      <c r="N771" s="3"/>
      <c r="O771" s="3"/>
      <c r="P771" s="3"/>
      <c r="Q771" s="3"/>
    </row>
    <row r="772" spans="1:17" ht="16.5" customHeight="1">
      <c r="A772" s="3"/>
      <c r="B772" s="3"/>
      <c r="C772" s="3"/>
      <c r="I772" s="3"/>
      <c r="J772" s="3"/>
      <c r="K772" s="3"/>
      <c r="L772" s="3"/>
      <c r="M772" s="3"/>
      <c r="N772" s="3"/>
      <c r="O772" s="3"/>
      <c r="P772" s="3"/>
      <c r="Q772" s="3"/>
    </row>
    <row r="773" spans="1:17" ht="16.5" customHeight="1">
      <c r="A773" s="3"/>
      <c r="B773" s="3"/>
      <c r="C773" s="3"/>
      <c r="I773" s="3"/>
      <c r="J773" s="3"/>
      <c r="K773" s="3"/>
      <c r="L773" s="3"/>
      <c r="M773" s="3"/>
      <c r="N773" s="3"/>
      <c r="O773" s="3"/>
      <c r="P773" s="3"/>
      <c r="Q773" s="3"/>
    </row>
    <row r="774" spans="1:17" ht="16.5" customHeight="1">
      <c r="A774" s="3"/>
      <c r="B774" s="3"/>
      <c r="C774" s="3"/>
      <c r="I774" s="3"/>
      <c r="J774" s="3"/>
      <c r="K774" s="3"/>
      <c r="L774" s="3"/>
      <c r="M774" s="3"/>
      <c r="N774" s="3"/>
      <c r="O774" s="3"/>
      <c r="P774" s="3"/>
      <c r="Q774" s="3"/>
    </row>
    <row r="775" spans="1:17" ht="16.5" customHeight="1">
      <c r="A775" s="3"/>
      <c r="B775" s="3"/>
      <c r="C775" s="3"/>
      <c r="I775" s="3"/>
      <c r="J775" s="3"/>
      <c r="K775" s="3"/>
      <c r="L775" s="3"/>
      <c r="M775" s="3"/>
      <c r="N775" s="3"/>
      <c r="O775" s="3"/>
      <c r="P775" s="3"/>
      <c r="Q775" s="3"/>
    </row>
    <row r="776" spans="1:17" ht="16.5" customHeight="1">
      <c r="A776" s="3"/>
      <c r="B776" s="3"/>
      <c r="C776" s="3"/>
      <c r="I776" s="3"/>
      <c r="J776" s="3"/>
      <c r="K776" s="3"/>
      <c r="L776" s="3"/>
      <c r="M776" s="3"/>
      <c r="N776" s="3"/>
      <c r="O776" s="3"/>
      <c r="P776" s="3"/>
      <c r="Q776" s="3"/>
    </row>
    <row r="777" spans="1:17" ht="16.5" customHeight="1">
      <c r="A777" s="3"/>
      <c r="B777" s="3"/>
      <c r="C777" s="3"/>
      <c r="I777" s="3"/>
      <c r="J777" s="3"/>
      <c r="K777" s="3"/>
      <c r="L777" s="3"/>
      <c r="M777" s="3"/>
      <c r="N777" s="3"/>
      <c r="O777" s="3"/>
      <c r="P777" s="3"/>
      <c r="Q777" s="3"/>
    </row>
    <row r="778" spans="1:17" ht="16.5" customHeight="1">
      <c r="A778" s="3"/>
      <c r="B778" s="3"/>
      <c r="C778" s="3"/>
      <c r="I778" s="3"/>
      <c r="J778" s="3"/>
      <c r="K778" s="3"/>
      <c r="L778" s="3"/>
      <c r="M778" s="3"/>
      <c r="N778" s="3"/>
      <c r="O778" s="3"/>
      <c r="P778" s="3"/>
      <c r="Q778" s="3"/>
    </row>
    <row r="779" spans="1:17" ht="16.5" customHeight="1">
      <c r="A779" s="3"/>
      <c r="B779" s="3"/>
      <c r="C779" s="3"/>
      <c r="I779" s="3"/>
      <c r="J779" s="3"/>
      <c r="K779" s="3"/>
      <c r="L779" s="3"/>
      <c r="M779" s="3"/>
      <c r="N779" s="3"/>
      <c r="O779" s="3"/>
      <c r="P779" s="3"/>
      <c r="Q779" s="3"/>
    </row>
    <row r="780" spans="1:17" ht="16.5" customHeight="1">
      <c r="A780" s="3"/>
      <c r="B780" s="3"/>
      <c r="C780" s="3"/>
      <c r="I780" s="3"/>
      <c r="J780" s="3"/>
      <c r="K780" s="3"/>
      <c r="L780" s="3"/>
      <c r="M780" s="3"/>
      <c r="N780" s="3"/>
      <c r="O780" s="3"/>
      <c r="P780" s="3"/>
      <c r="Q780" s="3"/>
    </row>
    <row r="781" spans="1:17" ht="16.5" customHeight="1">
      <c r="A781" s="3"/>
      <c r="B781" s="3"/>
      <c r="C781" s="3"/>
      <c r="I781" s="3"/>
      <c r="J781" s="3"/>
      <c r="K781" s="3"/>
      <c r="L781" s="3"/>
      <c r="M781" s="3"/>
      <c r="N781" s="3"/>
      <c r="O781" s="3"/>
      <c r="P781" s="3"/>
      <c r="Q781" s="3"/>
    </row>
    <row r="782" spans="1:17" ht="16.5" customHeight="1">
      <c r="A782" s="3"/>
      <c r="B782" s="3"/>
      <c r="C782" s="3"/>
      <c r="I782" s="3"/>
      <c r="J782" s="3"/>
      <c r="K782" s="3"/>
      <c r="L782" s="3"/>
      <c r="M782" s="3"/>
      <c r="N782" s="3"/>
      <c r="O782" s="3"/>
      <c r="P782" s="3"/>
      <c r="Q782" s="3"/>
    </row>
    <row r="783" spans="1:17" ht="16.5" customHeight="1">
      <c r="A783" s="3"/>
      <c r="B783" s="3"/>
      <c r="C783" s="3"/>
      <c r="I783" s="3"/>
      <c r="J783" s="3"/>
      <c r="K783" s="3"/>
      <c r="L783" s="3"/>
      <c r="M783" s="3"/>
      <c r="N783" s="3"/>
      <c r="O783" s="3"/>
      <c r="P783" s="3"/>
      <c r="Q783" s="3"/>
    </row>
    <row r="784" spans="1:17" ht="16.5" customHeight="1">
      <c r="A784" s="3"/>
      <c r="B784" s="3"/>
      <c r="C784" s="3"/>
      <c r="I784" s="3"/>
      <c r="J784" s="3"/>
      <c r="K784" s="3"/>
      <c r="L784" s="3"/>
      <c r="M784" s="3"/>
      <c r="N784" s="3"/>
      <c r="O784" s="3"/>
      <c r="P784" s="3"/>
      <c r="Q784" s="3"/>
    </row>
    <row r="785" spans="1:17" ht="16.5" customHeight="1">
      <c r="A785" s="3"/>
      <c r="B785" s="3"/>
      <c r="C785" s="3"/>
      <c r="I785" s="3"/>
      <c r="J785" s="3"/>
      <c r="K785" s="3"/>
      <c r="L785" s="3"/>
      <c r="M785" s="3"/>
      <c r="N785" s="3"/>
      <c r="O785" s="3"/>
      <c r="P785" s="3"/>
      <c r="Q785" s="3"/>
    </row>
    <row r="786" spans="1:17" ht="16.5" customHeight="1">
      <c r="A786" s="3"/>
      <c r="B786" s="3"/>
      <c r="C786" s="3"/>
      <c r="I786" s="3"/>
      <c r="J786" s="3"/>
      <c r="K786" s="3"/>
      <c r="L786" s="3"/>
      <c r="M786" s="3"/>
      <c r="N786" s="3"/>
      <c r="O786" s="3"/>
      <c r="P786" s="3"/>
      <c r="Q786" s="3"/>
    </row>
    <row r="787" spans="1:17" ht="16.5" customHeight="1">
      <c r="A787" s="3"/>
      <c r="B787" s="3"/>
      <c r="C787" s="3"/>
      <c r="I787" s="3"/>
      <c r="J787" s="3"/>
      <c r="K787" s="3"/>
      <c r="L787" s="3"/>
      <c r="M787" s="3"/>
      <c r="N787" s="3"/>
      <c r="O787" s="3"/>
      <c r="P787" s="3"/>
      <c r="Q787" s="3"/>
    </row>
    <row r="788" spans="1:17" ht="16.5" customHeight="1">
      <c r="A788" s="3"/>
      <c r="B788" s="3"/>
      <c r="C788" s="3"/>
      <c r="I788" s="3"/>
      <c r="J788" s="3"/>
      <c r="K788" s="3"/>
      <c r="L788" s="3"/>
      <c r="M788" s="3"/>
      <c r="N788" s="3"/>
      <c r="O788" s="3"/>
      <c r="P788" s="3"/>
      <c r="Q788" s="3"/>
    </row>
    <row r="789" spans="1:17" ht="16.5" customHeight="1">
      <c r="A789" s="3"/>
      <c r="B789" s="3"/>
      <c r="C789" s="3"/>
      <c r="I789" s="3"/>
      <c r="J789" s="3"/>
      <c r="K789" s="3"/>
      <c r="L789" s="3"/>
      <c r="M789" s="3"/>
      <c r="N789" s="3"/>
      <c r="O789" s="3"/>
      <c r="P789" s="3"/>
      <c r="Q789" s="3"/>
    </row>
    <row r="790" spans="1:17" ht="16.5" customHeight="1">
      <c r="A790" s="3"/>
      <c r="B790" s="3"/>
      <c r="C790" s="3"/>
      <c r="I790" s="3"/>
      <c r="J790" s="3"/>
      <c r="K790" s="3"/>
      <c r="L790" s="3"/>
      <c r="M790" s="3"/>
      <c r="N790" s="3"/>
      <c r="O790" s="3"/>
      <c r="P790" s="3"/>
      <c r="Q790" s="3"/>
    </row>
    <row r="791" spans="1:17" ht="16.5" customHeight="1">
      <c r="A791" s="3"/>
      <c r="B791" s="3"/>
      <c r="C791" s="3"/>
      <c r="I791" s="3"/>
      <c r="J791" s="3"/>
      <c r="K791" s="3"/>
      <c r="L791" s="3"/>
      <c r="M791" s="3"/>
      <c r="N791" s="3"/>
      <c r="O791" s="3"/>
      <c r="P791" s="3"/>
      <c r="Q791" s="3"/>
    </row>
    <row r="792" spans="1:17" ht="16.5" customHeight="1">
      <c r="A792" s="3"/>
      <c r="B792" s="3"/>
      <c r="C792" s="3"/>
      <c r="I792" s="3"/>
      <c r="J792" s="3"/>
      <c r="K792" s="3"/>
      <c r="L792" s="3"/>
      <c r="M792" s="3"/>
      <c r="N792" s="3"/>
      <c r="O792" s="3"/>
      <c r="P792" s="3"/>
      <c r="Q792" s="3"/>
    </row>
    <row r="793" spans="1:17" ht="16.5" customHeight="1">
      <c r="A793" s="3"/>
      <c r="B793" s="3"/>
      <c r="C793" s="3"/>
      <c r="I793" s="3"/>
      <c r="J793" s="3"/>
      <c r="K793" s="3"/>
      <c r="L793" s="3"/>
      <c r="M793" s="3"/>
      <c r="N793" s="3"/>
      <c r="O793" s="3"/>
      <c r="P793" s="3"/>
      <c r="Q793" s="3"/>
    </row>
    <row r="794" spans="1:17" ht="16.5" customHeight="1">
      <c r="A794" s="3"/>
      <c r="B794" s="3"/>
      <c r="C794" s="3"/>
      <c r="I794" s="3"/>
      <c r="J794" s="3"/>
      <c r="K794" s="3"/>
      <c r="L794" s="3"/>
      <c r="M794" s="3"/>
      <c r="N794" s="3"/>
      <c r="O794" s="3"/>
      <c r="P794" s="3"/>
      <c r="Q794" s="3"/>
    </row>
    <row r="795" spans="1:17" ht="16.5" customHeight="1">
      <c r="A795" s="3"/>
      <c r="B795" s="3"/>
      <c r="C795" s="3"/>
      <c r="I795" s="3"/>
      <c r="J795" s="3"/>
      <c r="K795" s="3"/>
      <c r="L795" s="3"/>
      <c r="M795" s="3"/>
      <c r="N795" s="3"/>
      <c r="O795" s="3"/>
      <c r="P795" s="3"/>
      <c r="Q795" s="3"/>
    </row>
    <row r="796" spans="1:17" ht="16.5" customHeight="1">
      <c r="A796" s="3"/>
      <c r="B796" s="3"/>
      <c r="C796" s="3"/>
      <c r="I796" s="3"/>
      <c r="J796" s="3"/>
      <c r="K796" s="3"/>
      <c r="L796" s="3"/>
      <c r="M796" s="3"/>
      <c r="N796" s="3"/>
      <c r="O796" s="3"/>
      <c r="P796" s="3"/>
      <c r="Q796" s="3"/>
    </row>
    <row r="797" spans="1:17" ht="16.5" customHeight="1">
      <c r="A797" s="3"/>
      <c r="B797" s="3"/>
      <c r="C797" s="3"/>
      <c r="I797" s="3"/>
      <c r="J797" s="3"/>
      <c r="K797" s="3"/>
      <c r="L797" s="3"/>
      <c r="M797" s="3"/>
      <c r="N797" s="3"/>
      <c r="O797" s="3"/>
      <c r="P797" s="3"/>
      <c r="Q797" s="3"/>
    </row>
    <row r="798" spans="1:17" ht="16.5" customHeight="1">
      <c r="A798" s="3"/>
      <c r="B798" s="3"/>
      <c r="C798" s="3"/>
      <c r="I798" s="3"/>
      <c r="J798" s="3"/>
      <c r="K798" s="3"/>
      <c r="L798" s="3"/>
      <c r="M798" s="3"/>
      <c r="N798" s="3"/>
      <c r="O798" s="3"/>
      <c r="P798" s="3"/>
      <c r="Q798" s="3"/>
    </row>
    <row r="799" spans="1:17" ht="16.5" customHeight="1">
      <c r="A799" s="3"/>
      <c r="B799" s="3"/>
      <c r="C799" s="3"/>
      <c r="I799" s="3"/>
      <c r="J799" s="3"/>
      <c r="K799" s="3"/>
      <c r="L799" s="3"/>
      <c r="M799" s="3"/>
      <c r="N799" s="3"/>
      <c r="O799" s="3"/>
      <c r="P799" s="3"/>
      <c r="Q799" s="3"/>
    </row>
    <row r="800" spans="1:17" ht="16.5" customHeight="1">
      <c r="A800" s="3"/>
      <c r="B800" s="3"/>
      <c r="C800" s="3"/>
      <c r="I800" s="3"/>
      <c r="J800" s="3"/>
      <c r="K800" s="3"/>
      <c r="L800" s="3"/>
      <c r="M800" s="3"/>
      <c r="N800" s="3"/>
      <c r="O800" s="3"/>
      <c r="P800" s="3"/>
      <c r="Q800" s="3"/>
    </row>
    <row r="801" spans="1:17" ht="16.5" customHeight="1">
      <c r="A801" s="3"/>
      <c r="B801" s="3"/>
      <c r="C801" s="3"/>
      <c r="I801" s="3"/>
      <c r="J801" s="3"/>
      <c r="K801" s="3"/>
      <c r="L801" s="3"/>
      <c r="M801" s="3"/>
      <c r="N801" s="3"/>
      <c r="O801" s="3"/>
      <c r="P801" s="3"/>
      <c r="Q801" s="3"/>
    </row>
    <row r="802" spans="1:17" ht="16.5" customHeight="1">
      <c r="A802" s="3"/>
      <c r="B802" s="3"/>
      <c r="C802" s="3"/>
      <c r="I802" s="3"/>
      <c r="J802" s="3"/>
      <c r="K802" s="3"/>
      <c r="L802" s="3"/>
      <c r="M802" s="3"/>
      <c r="N802" s="3"/>
      <c r="O802" s="3"/>
      <c r="P802" s="3"/>
      <c r="Q802" s="3"/>
    </row>
    <row r="803" spans="1:17" ht="16.5" customHeight="1">
      <c r="A803" s="3"/>
      <c r="B803" s="3"/>
      <c r="C803" s="3"/>
      <c r="I803" s="3"/>
      <c r="J803" s="3"/>
      <c r="K803" s="3"/>
      <c r="L803" s="3"/>
      <c r="M803" s="3"/>
      <c r="N803" s="3"/>
      <c r="O803" s="3"/>
      <c r="P803" s="3"/>
      <c r="Q803" s="3"/>
    </row>
    <row r="804" spans="1:17" ht="16.5" customHeight="1">
      <c r="A804" s="3"/>
      <c r="B804" s="3"/>
      <c r="C804" s="3"/>
      <c r="I804" s="3"/>
      <c r="J804" s="3"/>
      <c r="K804" s="3"/>
      <c r="L804" s="3"/>
      <c r="M804" s="3"/>
      <c r="N804" s="3"/>
      <c r="O804" s="3"/>
      <c r="P804" s="3"/>
      <c r="Q804" s="3"/>
    </row>
    <row r="805" spans="1:17" ht="16.5" customHeight="1">
      <c r="A805" s="3"/>
      <c r="B805" s="3"/>
      <c r="C805" s="3"/>
      <c r="I805" s="3"/>
      <c r="J805" s="3"/>
      <c r="K805" s="3"/>
      <c r="L805" s="3"/>
      <c r="M805" s="3"/>
      <c r="N805" s="3"/>
      <c r="O805" s="3"/>
      <c r="P805" s="3"/>
      <c r="Q805" s="3"/>
    </row>
    <row r="806" spans="1:17" ht="16.5" customHeight="1">
      <c r="A806" s="3"/>
      <c r="B806" s="3"/>
      <c r="C806" s="3"/>
      <c r="I806" s="3"/>
      <c r="J806" s="3"/>
      <c r="K806" s="3"/>
      <c r="L806" s="3"/>
      <c r="M806" s="3"/>
      <c r="N806" s="3"/>
      <c r="O806" s="3"/>
      <c r="P806" s="3"/>
      <c r="Q806" s="3"/>
    </row>
    <row r="807" spans="1:17" ht="16.5" customHeight="1">
      <c r="A807" s="3"/>
      <c r="B807" s="3"/>
      <c r="C807" s="3"/>
      <c r="I807" s="3"/>
      <c r="J807" s="3"/>
      <c r="K807" s="3"/>
      <c r="L807" s="3"/>
      <c r="M807" s="3"/>
      <c r="N807" s="3"/>
      <c r="O807" s="3"/>
      <c r="P807" s="3"/>
      <c r="Q807" s="3"/>
    </row>
    <row r="808" spans="1:17" ht="16.5" customHeight="1">
      <c r="A808" s="3"/>
      <c r="B808" s="3"/>
      <c r="C808" s="3"/>
      <c r="I808" s="3"/>
      <c r="J808" s="3"/>
      <c r="K808" s="3"/>
      <c r="L808" s="3"/>
      <c r="M808" s="3"/>
      <c r="N808" s="3"/>
      <c r="O808" s="3"/>
      <c r="P808" s="3"/>
      <c r="Q808" s="3"/>
    </row>
    <row r="809" spans="1:17" ht="16.5" customHeight="1">
      <c r="A809" s="3"/>
      <c r="B809" s="3"/>
      <c r="C809" s="3"/>
      <c r="I809" s="3"/>
      <c r="J809" s="3"/>
      <c r="K809" s="3"/>
      <c r="L809" s="3"/>
      <c r="M809" s="3"/>
      <c r="N809" s="3"/>
      <c r="O809" s="3"/>
      <c r="P809" s="3"/>
      <c r="Q809" s="3"/>
    </row>
    <row r="810" spans="1:17" ht="16.5" customHeight="1">
      <c r="A810" s="3"/>
      <c r="B810" s="3"/>
      <c r="C810" s="3"/>
      <c r="I810" s="3"/>
      <c r="J810" s="3"/>
      <c r="K810" s="3"/>
      <c r="L810" s="3"/>
      <c r="M810" s="3"/>
      <c r="N810" s="3"/>
      <c r="O810" s="3"/>
      <c r="P810" s="3"/>
      <c r="Q810" s="3"/>
    </row>
    <row r="811" spans="1:17" ht="16.5" customHeight="1">
      <c r="A811" s="3"/>
      <c r="B811" s="3"/>
      <c r="C811" s="3"/>
      <c r="I811" s="3"/>
      <c r="J811" s="3"/>
      <c r="K811" s="3"/>
      <c r="L811" s="3"/>
      <c r="M811" s="3"/>
      <c r="N811" s="3"/>
      <c r="O811" s="3"/>
      <c r="P811" s="3"/>
      <c r="Q811" s="3"/>
    </row>
    <row r="812" spans="1:17" ht="16.5" customHeight="1">
      <c r="A812" s="3"/>
      <c r="B812" s="3"/>
      <c r="C812" s="3"/>
      <c r="I812" s="3"/>
      <c r="J812" s="3"/>
      <c r="K812" s="3"/>
      <c r="L812" s="3"/>
      <c r="M812" s="3"/>
      <c r="N812" s="3"/>
      <c r="O812" s="3"/>
      <c r="P812" s="3"/>
      <c r="Q812" s="3"/>
    </row>
    <row r="813" spans="1:17" ht="16.5" customHeight="1">
      <c r="A813" s="3"/>
      <c r="B813" s="3"/>
      <c r="C813" s="3"/>
      <c r="I813" s="3"/>
      <c r="J813" s="3"/>
      <c r="K813" s="3"/>
      <c r="L813" s="3"/>
      <c r="M813" s="3"/>
      <c r="N813" s="3"/>
      <c r="O813" s="3"/>
      <c r="P813" s="3"/>
      <c r="Q813" s="3"/>
    </row>
    <row r="814" spans="1:17" ht="16.5" customHeight="1">
      <c r="A814" s="3"/>
      <c r="B814" s="3"/>
      <c r="C814" s="3"/>
      <c r="I814" s="3"/>
      <c r="J814" s="3"/>
      <c r="K814" s="3"/>
      <c r="L814" s="3"/>
      <c r="M814" s="3"/>
      <c r="N814" s="3"/>
      <c r="O814" s="3"/>
      <c r="P814" s="3"/>
      <c r="Q814" s="3"/>
    </row>
    <row r="815" spans="1:17" ht="16.5" customHeight="1">
      <c r="A815" s="3"/>
      <c r="B815" s="3"/>
      <c r="C815" s="3"/>
      <c r="I815" s="3"/>
      <c r="J815" s="3"/>
      <c r="K815" s="3"/>
      <c r="L815" s="3"/>
      <c r="M815" s="3"/>
      <c r="N815" s="3"/>
      <c r="O815" s="3"/>
      <c r="P815" s="3"/>
      <c r="Q815" s="3"/>
    </row>
    <row r="816" spans="1:17" ht="16.5" customHeight="1">
      <c r="A816" s="3"/>
      <c r="B816" s="3"/>
      <c r="C816" s="3"/>
      <c r="I816" s="3"/>
      <c r="J816" s="3"/>
      <c r="K816" s="3"/>
      <c r="L816" s="3"/>
      <c r="M816" s="3"/>
      <c r="N816" s="3"/>
      <c r="O816" s="3"/>
      <c r="P816" s="3"/>
      <c r="Q816" s="3"/>
    </row>
    <row r="817" spans="1:17" ht="16.5" customHeight="1">
      <c r="A817" s="3"/>
      <c r="B817" s="3"/>
      <c r="C817" s="3"/>
      <c r="I817" s="3"/>
      <c r="J817" s="3"/>
      <c r="K817" s="3"/>
      <c r="L817" s="3"/>
      <c r="M817" s="3"/>
      <c r="N817" s="3"/>
      <c r="O817" s="3"/>
      <c r="P817" s="3"/>
      <c r="Q817" s="3"/>
    </row>
    <row r="818" spans="1:17" ht="16.5" customHeight="1">
      <c r="A818" s="3"/>
      <c r="B818" s="3"/>
      <c r="C818" s="3"/>
      <c r="I818" s="3"/>
      <c r="J818" s="3"/>
      <c r="K818" s="3"/>
      <c r="L818" s="3"/>
      <c r="M818" s="3"/>
      <c r="N818" s="3"/>
      <c r="O818" s="3"/>
      <c r="P818" s="3"/>
      <c r="Q818" s="3"/>
    </row>
    <row r="819" spans="1:17" ht="16.5" customHeight="1">
      <c r="A819" s="3"/>
      <c r="B819" s="3"/>
      <c r="C819" s="3"/>
      <c r="I819" s="3"/>
      <c r="J819" s="3"/>
      <c r="K819" s="3"/>
      <c r="L819" s="3"/>
      <c r="M819" s="3"/>
      <c r="N819" s="3"/>
      <c r="O819" s="3"/>
      <c r="P819" s="3"/>
      <c r="Q819" s="3"/>
    </row>
    <row r="820" spans="1:17" ht="16.5" customHeight="1">
      <c r="A820" s="3"/>
      <c r="B820" s="3"/>
      <c r="C820" s="3"/>
      <c r="I820" s="3"/>
      <c r="J820" s="3"/>
      <c r="K820" s="3"/>
      <c r="L820" s="3"/>
      <c r="M820" s="3"/>
      <c r="N820" s="3"/>
      <c r="O820" s="3"/>
      <c r="P820" s="3"/>
      <c r="Q820" s="3"/>
    </row>
    <row r="821" spans="1:17" ht="16.5" customHeight="1">
      <c r="A821" s="3"/>
      <c r="B821" s="3"/>
      <c r="C821" s="3"/>
      <c r="I821" s="3"/>
      <c r="J821" s="3"/>
      <c r="K821" s="3"/>
      <c r="L821" s="3"/>
      <c r="M821" s="3"/>
      <c r="N821" s="3"/>
      <c r="O821" s="3"/>
      <c r="P821" s="3"/>
      <c r="Q821" s="3"/>
    </row>
    <row r="822" spans="1:17" ht="16.5" customHeight="1">
      <c r="A822" s="3"/>
      <c r="B822" s="3"/>
      <c r="C822" s="3"/>
      <c r="I822" s="3"/>
      <c r="J822" s="3"/>
      <c r="K822" s="3"/>
      <c r="L822" s="3"/>
      <c r="M822" s="3"/>
      <c r="N822" s="3"/>
      <c r="O822" s="3"/>
      <c r="P822" s="3"/>
      <c r="Q822" s="3"/>
    </row>
    <row r="823" spans="1:17" ht="16.5" customHeight="1">
      <c r="A823" s="3"/>
      <c r="B823" s="3"/>
      <c r="C823" s="3"/>
      <c r="I823" s="3"/>
      <c r="J823" s="3"/>
      <c r="K823" s="3"/>
      <c r="L823" s="3"/>
      <c r="M823" s="3"/>
      <c r="N823" s="3"/>
      <c r="O823" s="3"/>
      <c r="P823" s="3"/>
      <c r="Q823" s="3"/>
    </row>
    <row r="824" spans="1:17" ht="16.5" customHeight="1">
      <c r="A824" s="3"/>
      <c r="B824" s="3"/>
      <c r="C824" s="3"/>
      <c r="I824" s="3"/>
      <c r="J824" s="3"/>
      <c r="K824" s="3"/>
      <c r="L824" s="3"/>
      <c r="M824" s="3"/>
      <c r="N824" s="3"/>
      <c r="O824" s="3"/>
      <c r="P824" s="3"/>
      <c r="Q824" s="3"/>
    </row>
    <row r="825" spans="1:17" ht="16.5" customHeight="1">
      <c r="A825" s="3"/>
      <c r="B825" s="3"/>
      <c r="C825" s="3"/>
      <c r="I825" s="3"/>
      <c r="J825" s="3"/>
      <c r="K825" s="3"/>
      <c r="L825" s="3"/>
      <c r="M825" s="3"/>
      <c r="N825" s="3"/>
      <c r="O825" s="3"/>
      <c r="P825" s="3"/>
      <c r="Q825" s="3"/>
    </row>
    <row r="826" spans="1:17" ht="16.5" customHeight="1">
      <c r="A826" s="3"/>
      <c r="B826" s="3"/>
      <c r="C826" s="3"/>
      <c r="I826" s="3"/>
      <c r="J826" s="3"/>
      <c r="K826" s="3"/>
      <c r="L826" s="3"/>
      <c r="M826" s="3"/>
      <c r="N826" s="3"/>
      <c r="O826" s="3"/>
      <c r="P826" s="3"/>
      <c r="Q826" s="3"/>
    </row>
    <row r="827" spans="1:17" ht="16.5" customHeight="1">
      <c r="A827" s="3"/>
      <c r="B827" s="3"/>
      <c r="C827" s="3"/>
      <c r="I827" s="3"/>
      <c r="J827" s="3"/>
      <c r="K827" s="3"/>
      <c r="L827" s="3"/>
      <c r="M827" s="3"/>
      <c r="N827" s="3"/>
      <c r="O827" s="3"/>
      <c r="P827" s="3"/>
      <c r="Q827" s="3"/>
    </row>
    <row r="828" spans="1:17" ht="16.5" customHeight="1">
      <c r="A828" s="3"/>
      <c r="B828" s="3"/>
      <c r="C828" s="3"/>
      <c r="I828" s="3"/>
      <c r="J828" s="3"/>
      <c r="K828" s="3"/>
      <c r="L828" s="3"/>
      <c r="M828" s="3"/>
      <c r="N828" s="3"/>
      <c r="O828" s="3"/>
      <c r="P828" s="3"/>
      <c r="Q828" s="3"/>
    </row>
    <row r="829" spans="1:17" ht="16.5" customHeight="1">
      <c r="A829" s="3"/>
      <c r="B829" s="3"/>
      <c r="C829" s="3"/>
      <c r="I829" s="3"/>
      <c r="J829" s="3"/>
      <c r="K829" s="3"/>
      <c r="L829" s="3"/>
      <c r="M829" s="3"/>
      <c r="N829" s="3"/>
      <c r="O829" s="3"/>
      <c r="P829" s="3"/>
      <c r="Q829" s="3"/>
    </row>
    <row r="830" spans="1:17" ht="16.5" customHeight="1">
      <c r="A830" s="3"/>
      <c r="B830" s="3"/>
      <c r="C830" s="3"/>
      <c r="I830" s="3"/>
      <c r="J830" s="3"/>
      <c r="K830" s="3"/>
      <c r="L830" s="3"/>
      <c r="M830" s="3"/>
      <c r="N830" s="3"/>
      <c r="O830" s="3"/>
      <c r="P830" s="3"/>
      <c r="Q830" s="3"/>
    </row>
    <row r="831" spans="1:17" ht="16.5" customHeight="1">
      <c r="A831" s="3"/>
      <c r="B831" s="3"/>
      <c r="C831" s="3"/>
      <c r="I831" s="3"/>
      <c r="J831" s="3"/>
      <c r="K831" s="3"/>
      <c r="L831" s="3"/>
      <c r="M831" s="3"/>
      <c r="N831" s="3"/>
      <c r="O831" s="3"/>
      <c r="P831" s="3"/>
      <c r="Q831" s="3"/>
    </row>
    <row r="832" spans="1:17" ht="16.5" customHeight="1">
      <c r="A832" s="3"/>
      <c r="B832" s="3"/>
      <c r="C832" s="3"/>
      <c r="I832" s="3"/>
      <c r="J832" s="3"/>
      <c r="K832" s="3"/>
      <c r="L832" s="3"/>
      <c r="M832" s="3"/>
      <c r="N832" s="3"/>
      <c r="O832" s="3"/>
      <c r="P832" s="3"/>
      <c r="Q832" s="3"/>
    </row>
    <row r="833" spans="1:17" ht="16.5" customHeight="1">
      <c r="A833" s="3"/>
      <c r="B833" s="3"/>
      <c r="C833" s="3"/>
      <c r="I833" s="3"/>
      <c r="J833" s="3"/>
      <c r="K833" s="3"/>
      <c r="L833" s="3"/>
      <c r="M833" s="3"/>
      <c r="N833" s="3"/>
      <c r="O833" s="3"/>
      <c r="P833" s="3"/>
      <c r="Q833" s="3"/>
    </row>
    <row r="834" spans="1:17" ht="16.5" customHeight="1">
      <c r="A834" s="3"/>
      <c r="B834" s="3"/>
      <c r="C834" s="3"/>
      <c r="I834" s="3"/>
      <c r="J834" s="3"/>
      <c r="K834" s="3"/>
      <c r="L834" s="3"/>
      <c r="M834" s="3"/>
      <c r="N834" s="3"/>
      <c r="O834" s="3"/>
      <c r="P834" s="3"/>
      <c r="Q834" s="3"/>
    </row>
    <row r="835" spans="1:17" ht="16.5" customHeight="1">
      <c r="A835" s="3"/>
      <c r="B835" s="3"/>
      <c r="C835" s="3"/>
      <c r="I835" s="3"/>
      <c r="J835" s="3"/>
      <c r="K835" s="3"/>
      <c r="L835" s="3"/>
      <c r="M835" s="3"/>
      <c r="N835" s="3"/>
      <c r="O835" s="3"/>
      <c r="P835" s="3"/>
      <c r="Q835" s="3"/>
    </row>
    <row r="836" spans="1:17" ht="16.5" customHeight="1">
      <c r="A836" s="3"/>
      <c r="B836" s="3"/>
      <c r="C836" s="3"/>
      <c r="I836" s="3"/>
      <c r="J836" s="3"/>
      <c r="K836" s="3"/>
      <c r="L836" s="3"/>
      <c r="M836" s="3"/>
      <c r="N836" s="3"/>
      <c r="O836" s="3"/>
      <c r="P836" s="3"/>
      <c r="Q836" s="3"/>
    </row>
    <row r="837" spans="1:17" ht="16.5" customHeight="1">
      <c r="A837" s="3"/>
      <c r="B837" s="3"/>
      <c r="C837" s="3"/>
      <c r="I837" s="3"/>
      <c r="J837" s="3"/>
      <c r="K837" s="3"/>
      <c r="L837" s="3"/>
      <c r="M837" s="3"/>
      <c r="N837" s="3"/>
      <c r="O837" s="3"/>
      <c r="P837" s="3"/>
      <c r="Q837" s="3"/>
    </row>
    <row r="838" spans="1:17" ht="16.5" customHeight="1">
      <c r="A838" s="3"/>
      <c r="B838" s="3"/>
      <c r="C838" s="3"/>
      <c r="I838" s="3"/>
      <c r="J838" s="3"/>
      <c r="K838" s="3"/>
      <c r="L838" s="3"/>
      <c r="M838" s="3"/>
      <c r="N838" s="3"/>
      <c r="O838" s="3"/>
      <c r="P838" s="3"/>
      <c r="Q838" s="3"/>
    </row>
    <row r="839" spans="1:17" ht="16.5" customHeight="1">
      <c r="A839" s="3"/>
      <c r="B839" s="3"/>
      <c r="C839" s="3"/>
      <c r="I839" s="3"/>
      <c r="J839" s="3"/>
      <c r="K839" s="3"/>
      <c r="L839" s="3"/>
      <c r="M839" s="3"/>
      <c r="N839" s="3"/>
      <c r="O839" s="3"/>
      <c r="P839" s="3"/>
      <c r="Q839" s="3"/>
    </row>
    <row r="840" spans="1:17" ht="16.5" customHeight="1">
      <c r="A840" s="3"/>
      <c r="B840" s="3"/>
      <c r="C840" s="3"/>
      <c r="I840" s="3"/>
      <c r="J840" s="3"/>
      <c r="K840" s="3"/>
      <c r="L840" s="3"/>
      <c r="M840" s="3"/>
      <c r="N840" s="3"/>
      <c r="O840" s="3"/>
      <c r="P840" s="3"/>
      <c r="Q840" s="3"/>
    </row>
    <row r="841" spans="1:17" ht="16.5" customHeight="1">
      <c r="A841" s="3"/>
      <c r="B841" s="3"/>
      <c r="C841" s="3"/>
      <c r="I841" s="3"/>
      <c r="J841" s="3"/>
      <c r="K841" s="3"/>
      <c r="L841" s="3"/>
      <c r="M841" s="3"/>
      <c r="N841" s="3"/>
      <c r="O841" s="3"/>
      <c r="P841" s="3"/>
      <c r="Q841" s="3"/>
    </row>
    <row r="842" spans="1:17" ht="16.5" customHeight="1">
      <c r="A842" s="3"/>
      <c r="B842" s="3"/>
      <c r="C842" s="3"/>
      <c r="I842" s="3"/>
      <c r="J842" s="3"/>
      <c r="K842" s="3"/>
      <c r="L842" s="3"/>
      <c r="M842" s="3"/>
      <c r="N842" s="3"/>
      <c r="O842" s="3"/>
      <c r="P842" s="3"/>
      <c r="Q842" s="3"/>
    </row>
    <row r="843" spans="1:17" ht="16.5" customHeight="1">
      <c r="A843" s="3"/>
      <c r="B843" s="3"/>
      <c r="C843" s="3"/>
      <c r="I843" s="3"/>
      <c r="J843" s="3"/>
      <c r="K843" s="3"/>
      <c r="L843" s="3"/>
      <c r="M843" s="3"/>
      <c r="N843" s="3"/>
      <c r="O843" s="3"/>
      <c r="P843" s="3"/>
      <c r="Q843" s="3"/>
    </row>
    <row r="844" spans="1:17" ht="16.5" customHeight="1">
      <c r="A844" s="3"/>
      <c r="B844" s="3"/>
      <c r="C844" s="3"/>
      <c r="I844" s="3"/>
      <c r="J844" s="3"/>
      <c r="K844" s="3"/>
      <c r="L844" s="3"/>
      <c r="M844" s="3"/>
      <c r="N844" s="3"/>
      <c r="O844" s="3"/>
      <c r="P844" s="3"/>
      <c r="Q844" s="3"/>
    </row>
    <row r="845" spans="1:17" ht="16.5" customHeight="1">
      <c r="A845" s="3"/>
      <c r="B845" s="3"/>
      <c r="C845" s="3"/>
      <c r="I845" s="3"/>
      <c r="J845" s="3"/>
      <c r="K845" s="3"/>
      <c r="L845" s="3"/>
      <c r="M845" s="3"/>
      <c r="N845" s="3"/>
      <c r="O845" s="3"/>
      <c r="P845" s="3"/>
      <c r="Q845" s="3"/>
    </row>
    <row r="846" spans="1:17" ht="16.5" customHeight="1">
      <c r="A846" s="3"/>
      <c r="B846" s="3"/>
      <c r="C846" s="3"/>
      <c r="I846" s="3"/>
      <c r="J846" s="3"/>
      <c r="K846" s="3"/>
      <c r="L846" s="3"/>
      <c r="M846" s="3"/>
      <c r="N846" s="3"/>
      <c r="O846" s="3"/>
      <c r="P846" s="3"/>
      <c r="Q846" s="3"/>
    </row>
    <row r="847" spans="1:17" ht="16.5" customHeight="1">
      <c r="A847" s="3"/>
      <c r="B847" s="3"/>
      <c r="C847" s="3"/>
      <c r="I847" s="3"/>
      <c r="J847" s="3"/>
      <c r="K847" s="3"/>
      <c r="L847" s="3"/>
      <c r="M847" s="3"/>
      <c r="N847" s="3"/>
      <c r="O847" s="3"/>
      <c r="P847" s="3"/>
      <c r="Q847" s="3"/>
    </row>
    <row r="848" spans="1:17" ht="16.5" customHeight="1">
      <c r="A848" s="3"/>
      <c r="B848" s="3"/>
      <c r="C848" s="3"/>
      <c r="I848" s="3"/>
      <c r="J848" s="3"/>
      <c r="K848" s="3"/>
      <c r="L848" s="3"/>
      <c r="M848" s="3"/>
      <c r="N848" s="3"/>
      <c r="O848" s="3"/>
      <c r="P848" s="3"/>
      <c r="Q848" s="3"/>
    </row>
    <row r="849" spans="1:17" ht="16.5" customHeight="1">
      <c r="A849" s="3"/>
      <c r="B849" s="3"/>
      <c r="C849" s="3"/>
      <c r="I849" s="3"/>
      <c r="J849" s="3"/>
      <c r="K849" s="3"/>
      <c r="L849" s="3"/>
      <c r="M849" s="3"/>
      <c r="N849" s="3"/>
      <c r="O849" s="3"/>
      <c r="P849" s="3"/>
      <c r="Q849" s="3"/>
    </row>
    <row r="850" spans="1:17" ht="16.5" customHeight="1">
      <c r="A850" s="3"/>
      <c r="B850" s="3"/>
      <c r="C850" s="3"/>
      <c r="I850" s="3"/>
      <c r="J850" s="3"/>
      <c r="K850" s="3"/>
      <c r="L850" s="3"/>
      <c r="M850" s="3"/>
      <c r="N850" s="3"/>
      <c r="O850" s="3"/>
      <c r="P850" s="3"/>
      <c r="Q850" s="3"/>
    </row>
    <row r="851" spans="1:17" ht="16.5" customHeight="1">
      <c r="A851" s="3"/>
      <c r="B851" s="3"/>
      <c r="C851" s="3"/>
      <c r="I851" s="3"/>
      <c r="J851" s="3"/>
      <c r="K851" s="3"/>
      <c r="L851" s="3"/>
      <c r="M851" s="3"/>
      <c r="N851" s="3"/>
      <c r="O851" s="3"/>
      <c r="P851" s="3"/>
      <c r="Q851" s="3"/>
    </row>
    <row r="852" spans="1:17" ht="16.5" customHeight="1">
      <c r="A852" s="3"/>
      <c r="B852" s="3"/>
      <c r="C852" s="3"/>
      <c r="I852" s="3"/>
      <c r="J852" s="3"/>
      <c r="K852" s="3"/>
      <c r="L852" s="3"/>
      <c r="M852" s="3"/>
      <c r="N852" s="3"/>
      <c r="O852" s="3"/>
      <c r="P852" s="3"/>
      <c r="Q852" s="3"/>
    </row>
    <row r="853" spans="1:17" ht="16.5" customHeight="1">
      <c r="A853" s="3"/>
      <c r="B853" s="3"/>
      <c r="C853" s="3"/>
      <c r="I853" s="3"/>
      <c r="J853" s="3"/>
      <c r="K853" s="3"/>
      <c r="L853" s="3"/>
      <c r="M853" s="3"/>
      <c r="N853" s="3"/>
      <c r="O853" s="3"/>
      <c r="P853" s="3"/>
      <c r="Q853" s="3"/>
    </row>
    <row r="854" spans="1:17" ht="16.5" customHeight="1">
      <c r="A854" s="3"/>
      <c r="B854" s="3"/>
      <c r="C854" s="3"/>
      <c r="I854" s="3"/>
      <c r="J854" s="3"/>
      <c r="K854" s="3"/>
      <c r="L854" s="3"/>
      <c r="M854" s="3"/>
      <c r="N854" s="3"/>
      <c r="O854" s="3"/>
      <c r="P854" s="3"/>
      <c r="Q854" s="3"/>
    </row>
    <row r="855" spans="1:17" ht="16.5" customHeight="1">
      <c r="A855" s="3"/>
      <c r="B855" s="3"/>
      <c r="C855" s="3"/>
      <c r="I855" s="3"/>
      <c r="J855" s="3"/>
      <c r="K855" s="3"/>
      <c r="L855" s="3"/>
      <c r="M855" s="3"/>
      <c r="N855" s="3"/>
      <c r="O855" s="3"/>
      <c r="P855" s="3"/>
      <c r="Q855" s="3"/>
    </row>
    <row r="856" spans="1:17" ht="16.5" customHeight="1">
      <c r="A856" s="3"/>
      <c r="B856" s="3"/>
      <c r="C856" s="3"/>
      <c r="I856" s="3"/>
      <c r="J856" s="3"/>
      <c r="K856" s="3"/>
      <c r="L856" s="3"/>
      <c r="M856" s="3"/>
      <c r="N856" s="3"/>
      <c r="O856" s="3"/>
      <c r="P856" s="3"/>
      <c r="Q856" s="3"/>
    </row>
    <row r="857" spans="1:17" ht="16.5" customHeight="1">
      <c r="A857" s="3"/>
      <c r="B857" s="3"/>
      <c r="C857" s="3"/>
      <c r="I857" s="3"/>
      <c r="J857" s="3"/>
      <c r="K857" s="3"/>
      <c r="L857" s="3"/>
      <c r="M857" s="3"/>
      <c r="N857" s="3"/>
      <c r="O857" s="3"/>
      <c r="P857" s="3"/>
      <c r="Q857" s="3"/>
    </row>
    <row r="858" spans="1:17" ht="16.5" customHeight="1">
      <c r="A858" s="3"/>
      <c r="B858" s="3"/>
      <c r="C858" s="3"/>
      <c r="I858" s="3"/>
      <c r="J858" s="3"/>
      <c r="K858" s="3"/>
      <c r="L858" s="3"/>
      <c r="M858" s="3"/>
      <c r="N858" s="3"/>
      <c r="O858" s="3"/>
      <c r="P858" s="3"/>
      <c r="Q858" s="3"/>
    </row>
    <row r="859" spans="1:17" ht="16.5" customHeight="1">
      <c r="A859" s="3"/>
      <c r="B859" s="3"/>
      <c r="C859" s="3"/>
      <c r="I859" s="3"/>
      <c r="J859" s="3"/>
      <c r="K859" s="3"/>
      <c r="L859" s="3"/>
      <c r="M859" s="3"/>
      <c r="N859" s="3"/>
      <c r="O859" s="3"/>
      <c r="P859" s="3"/>
      <c r="Q859" s="3"/>
    </row>
    <row r="860" spans="1:17" ht="16.5" customHeight="1">
      <c r="A860" s="3"/>
      <c r="B860" s="3"/>
      <c r="C860" s="3"/>
      <c r="I860" s="3"/>
      <c r="J860" s="3"/>
      <c r="K860" s="3"/>
      <c r="L860" s="3"/>
      <c r="M860" s="3"/>
      <c r="N860" s="3"/>
      <c r="O860" s="3"/>
      <c r="P860" s="3"/>
      <c r="Q860" s="3"/>
    </row>
    <row r="861" spans="1:17" ht="16.5" customHeight="1">
      <c r="A861" s="3"/>
      <c r="B861" s="3"/>
      <c r="C861" s="3"/>
      <c r="I861" s="3"/>
      <c r="J861" s="3"/>
      <c r="K861" s="3"/>
      <c r="L861" s="3"/>
      <c r="M861" s="3"/>
      <c r="N861" s="3"/>
      <c r="O861" s="3"/>
      <c r="P861" s="3"/>
      <c r="Q861" s="3"/>
    </row>
    <row r="862" spans="1:17" ht="16.5" customHeight="1">
      <c r="A862" s="3"/>
      <c r="B862" s="3"/>
      <c r="C862" s="3"/>
      <c r="I862" s="3"/>
      <c r="J862" s="3"/>
      <c r="K862" s="3"/>
      <c r="L862" s="3"/>
      <c r="M862" s="3"/>
      <c r="N862" s="3"/>
      <c r="O862" s="3"/>
      <c r="P862" s="3"/>
      <c r="Q862" s="3"/>
    </row>
    <row r="863" spans="1:17" ht="16.5" customHeight="1">
      <c r="A863" s="3"/>
      <c r="B863" s="3"/>
      <c r="C863" s="3"/>
      <c r="I863" s="3"/>
      <c r="J863" s="3"/>
      <c r="K863" s="3"/>
      <c r="L863" s="3"/>
      <c r="M863" s="3"/>
      <c r="N863" s="3"/>
      <c r="O863" s="3"/>
      <c r="P863" s="3"/>
      <c r="Q863" s="3"/>
    </row>
    <row r="864" spans="1:17" ht="16.5" customHeight="1">
      <c r="A864" s="3"/>
      <c r="B864" s="3"/>
      <c r="C864" s="3"/>
      <c r="I864" s="3"/>
      <c r="J864" s="3"/>
      <c r="K864" s="3"/>
      <c r="L864" s="3"/>
      <c r="M864" s="3"/>
      <c r="N864" s="3"/>
      <c r="O864" s="3"/>
      <c r="P864" s="3"/>
      <c r="Q864" s="3"/>
    </row>
    <row r="865" spans="1:17" ht="16.5" customHeight="1">
      <c r="A865" s="3"/>
      <c r="B865" s="3"/>
      <c r="C865" s="3"/>
      <c r="I865" s="3"/>
      <c r="J865" s="3"/>
      <c r="K865" s="3"/>
      <c r="L865" s="3"/>
      <c r="M865" s="3"/>
      <c r="N865" s="3"/>
      <c r="O865" s="3"/>
      <c r="P865" s="3"/>
      <c r="Q865" s="3"/>
    </row>
    <row r="866" spans="1:17" ht="16.5" customHeight="1">
      <c r="A866" s="3"/>
      <c r="B866" s="3"/>
      <c r="C866" s="3"/>
      <c r="I866" s="3"/>
      <c r="J866" s="3"/>
      <c r="K866" s="3"/>
      <c r="L866" s="3"/>
      <c r="M866" s="3"/>
      <c r="N866" s="3"/>
      <c r="O866" s="3"/>
      <c r="P866" s="3"/>
      <c r="Q866" s="3"/>
    </row>
    <row r="867" spans="1:17" ht="16.5" customHeight="1">
      <c r="A867" s="3"/>
      <c r="B867" s="3"/>
      <c r="C867" s="3"/>
      <c r="I867" s="3"/>
      <c r="J867" s="3"/>
      <c r="K867" s="3"/>
      <c r="L867" s="3"/>
      <c r="M867" s="3"/>
      <c r="N867" s="3"/>
      <c r="O867" s="3"/>
      <c r="P867" s="3"/>
      <c r="Q867" s="3"/>
    </row>
    <row r="868" spans="1:17" ht="16.5" customHeight="1">
      <c r="A868" s="3"/>
      <c r="B868" s="3"/>
      <c r="C868" s="3"/>
      <c r="I868" s="3"/>
      <c r="J868" s="3"/>
      <c r="K868" s="3"/>
      <c r="L868" s="3"/>
      <c r="M868" s="3"/>
      <c r="N868" s="3"/>
      <c r="O868" s="3"/>
      <c r="P868" s="3"/>
      <c r="Q868" s="3"/>
    </row>
    <row r="869" spans="1:17" ht="16.5" customHeight="1">
      <c r="A869" s="3"/>
      <c r="B869" s="3"/>
      <c r="C869" s="3"/>
      <c r="I869" s="3"/>
      <c r="J869" s="3"/>
      <c r="K869" s="3"/>
      <c r="L869" s="3"/>
      <c r="M869" s="3"/>
      <c r="N869" s="3"/>
      <c r="O869" s="3"/>
      <c r="P869" s="3"/>
      <c r="Q869" s="3"/>
    </row>
    <row r="870" spans="1:17" ht="16.5" customHeight="1">
      <c r="A870" s="3"/>
      <c r="B870" s="3"/>
      <c r="C870" s="3"/>
      <c r="I870" s="3"/>
      <c r="J870" s="3"/>
      <c r="K870" s="3"/>
      <c r="L870" s="3"/>
      <c r="M870" s="3"/>
      <c r="N870" s="3"/>
      <c r="O870" s="3"/>
      <c r="P870" s="3"/>
      <c r="Q870" s="3"/>
    </row>
    <row r="871" spans="1:17" ht="16.5" customHeight="1">
      <c r="A871" s="3"/>
      <c r="B871" s="3"/>
      <c r="C871" s="3"/>
      <c r="I871" s="3"/>
      <c r="J871" s="3"/>
      <c r="K871" s="3"/>
      <c r="L871" s="3"/>
      <c r="M871" s="3"/>
      <c r="N871" s="3"/>
      <c r="O871" s="3"/>
      <c r="P871" s="3"/>
      <c r="Q871" s="3"/>
    </row>
    <row r="872" spans="1:17" ht="16.5" customHeight="1">
      <c r="A872" s="3"/>
      <c r="B872" s="3"/>
      <c r="C872" s="3"/>
      <c r="I872" s="3"/>
      <c r="J872" s="3"/>
      <c r="K872" s="3"/>
      <c r="L872" s="3"/>
      <c r="M872" s="3"/>
      <c r="N872" s="3"/>
      <c r="O872" s="3"/>
      <c r="P872" s="3"/>
      <c r="Q872" s="3"/>
    </row>
    <row r="873" spans="1:17" ht="16.5" customHeight="1">
      <c r="A873" s="3"/>
      <c r="B873" s="3"/>
      <c r="C873" s="3"/>
      <c r="I873" s="3"/>
      <c r="J873" s="3"/>
      <c r="K873" s="3"/>
      <c r="L873" s="3"/>
      <c r="M873" s="3"/>
      <c r="N873" s="3"/>
      <c r="O873" s="3"/>
      <c r="P873" s="3"/>
      <c r="Q873" s="3"/>
    </row>
    <row r="874" spans="1:17" ht="16.5" customHeight="1">
      <c r="A874" s="3"/>
      <c r="B874" s="3"/>
      <c r="C874" s="3"/>
      <c r="I874" s="3"/>
      <c r="J874" s="3"/>
      <c r="K874" s="3"/>
      <c r="L874" s="3"/>
      <c r="M874" s="3"/>
      <c r="N874" s="3"/>
      <c r="O874" s="3"/>
      <c r="P874" s="3"/>
      <c r="Q874" s="3"/>
    </row>
    <row r="875" spans="1:17" ht="16.5" customHeight="1">
      <c r="A875" s="3"/>
      <c r="B875" s="3"/>
      <c r="C875" s="3"/>
      <c r="I875" s="3"/>
      <c r="J875" s="3"/>
      <c r="K875" s="3"/>
      <c r="L875" s="3"/>
      <c r="M875" s="3"/>
      <c r="N875" s="3"/>
      <c r="O875" s="3"/>
      <c r="P875" s="3"/>
      <c r="Q875" s="3"/>
    </row>
    <row r="876" spans="1:17" ht="16.5" customHeight="1">
      <c r="A876" s="3"/>
      <c r="B876" s="3"/>
      <c r="C876" s="3"/>
      <c r="I876" s="3"/>
      <c r="J876" s="3"/>
      <c r="K876" s="3"/>
      <c r="L876" s="3"/>
      <c r="M876" s="3"/>
      <c r="N876" s="3"/>
      <c r="O876" s="3"/>
      <c r="P876" s="3"/>
      <c r="Q876" s="3"/>
    </row>
    <row r="877" spans="1:17" ht="16.5" customHeight="1">
      <c r="A877" s="3"/>
      <c r="B877" s="3"/>
      <c r="C877" s="3"/>
      <c r="I877" s="3"/>
      <c r="J877" s="3"/>
      <c r="K877" s="3"/>
      <c r="L877" s="3"/>
      <c r="M877" s="3"/>
      <c r="N877" s="3"/>
      <c r="O877" s="3"/>
      <c r="P877" s="3"/>
      <c r="Q877" s="3"/>
    </row>
    <row r="878" spans="1:17" ht="16.5" customHeight="1">
      <c r="A878" s="3"/>
      <c r="B878" s="3"/>
      <c r="C878" s="3"/>
      <c r="I878" s="3"/>
      <c r="J878" s="3"/>
      <c r="K878" s="3"/>
      <c r="L878" s="3"/>
      <c r="M878" s="3"/>
      <c r="N878" s="3"/>
      <c r="O878" s="3"/>
      <c r="P878" s="3"/>
      <c r="Q878" s="3"/>
    </row>
    <row r="879" spans="1:17" ht="16.5" customHeight="1">
      <c r="A879" s="3"/>
      <c r="B879" s="3"/>
      <c r="C879" s="3"/>
      <c r="I879" s="3"/>
      <c r="J879" s="3"/>
      <c r="K879" s="3"/>
      <c r="L879" s="3"/>
      <c r="M879" s="3"/>
      <c r="N879" s="3"/>
      <c r="O879" s="3"/>
      <c r="P879" s="3"/>
      <c r="Q879" s="3"/>
    </row>
    <row r="880" spans="1:17" ht="16.5" customHeight="1">
      <c r="A880" s="3"/>
      <c r="B880" s="3"/>
      <c r="C880" s="3"/>
      <c r="I880" s="3"/>
      <c r="J880" s="3"/>
      <c r="K880" s="3"/>
      <c r="L880" s="3"/>
      <c r="M880" s="3"/>
      <c r="N880" s="3"/>
      <c r="O880" s="3"/>
      <c r="P880" s="3"/>
      <c r="Q880" s="3"/>
    </row>
    <row r="881" spans="1:17" ht="16.5" customHeight="1">
      <c r="A881" s="3"/>
      <c r="B881" s="3"/>
      <c r="C881" s="3"/>
      <c r="I881" s="3"/>
      <c r="J881" s="3"/>
      <c r="K881" s="3"/>
      <c r="L881" s="3"/>
      <c r="M881" s="3"/>
      <c r="N881" s="3"/>
      <c r="O881" s="3"/>
      <c r="P881" s="3"/>
      <c r="Q881" s="3"/>
    </row>
    <row r="882" spans="1:17" ht="16.5" customHeight="1">
      <c r="A882" s="3"/>
      <c r="B882" s="3"/>
      <c r="C882" s="3"/>
      <c r="I882" s="3"/>
      <c r="J882" s="3"/>
      <c r="K882" s="3"/>
      <c r="L882" s="3"/>
      <c r="M882" s="3"/>
      <c r="N882" s="3"/>
      <c r="O882" s="3"/>
      <c r="P882" s="3"/>
      <c r="Q882" s="3"/>
    </row>
    <row r="883" spans="1:17" ht="16.5" customHeight="1">
      <c r="A883" s="3"/>
      <c r="B883" s="3"/>
      <c r="C883" s="3"/>
      <c r="I883" s="3"/>
      <c r="J883" s="3"/>
      <c r="K883" s="3"/>
      <c r="L883" s="3"/>
      <c r="M883" s="3"/>
      <c r="N883" s="3"/>
      <c r="O883" s="3"/>
      <c r="P883" s="3"/>
      <c r="Q883" s="3"/>
    </row>
    <row r="884" spans="1:17" ht="16.5" customHeight="1">
      <c r="A884" s="3"/>
      <c r="B884" s="3"/>
      <c r="C884" s="3"/>
      <c r="I884" s="3"/>
      <c r="J884" s="3"/>
      <c r="K884" s="3"/>
      <c r="L884" s="3"/>
      <c r="M884" s="3"/>
      <c r="N884" s="3"/>
      <c r="O884" s="3"/>
      <c r="P884" s="3"/>
      <c r="Q884" s="3"/>
    </row>
    <row r="885" spans="1:17" ht="16.5" customHeight="1">
      <c r="A885" s="3"/>
      <c r="B885" s="3"/>
      <c r="C885" s="3"/>
      <c r="I885" s="3"/>
      <c r="J885" s="3"/>
      <c r="K885" s="3"/>
      <c r="L885" s="3"/>
      <c r="M885" s="3"/>
      <c r="N885" s="3"/>
      <c r="O885" s="3"/>
      <c r="P885" s="3"/>
      <c r="Q885" s="3"/>
    </row>
    <row r="886" spans="1:17" ht="16.5" customHeight="1">
      <c r="A886" s="3"/>
      <c r="B886" s="3"/>
      <c r="C886" s="3"/>
      <c r="I886" s="3"/>
      <c r="J886" s="3"/>
      <c r="K886" s="3"/>
      <c r="L886" s="3"/>
      <c r="M886" s="3"/>
      <c r="N886" s="3"/>
      <c r="O886" s="3"/>
      <c r="P886" s="3"/>
      <c r="Q886" s="3"/>
    </row>
    <row r="887" spans="1:17" ht="16.5" customHeight="1">
      <c r="A887" s="3"/>
      <c r="B887" s="3"/>
      <c r="C887" s="3"/>
      <c r="I887" s="3"/>
      <c r="J887" s="3"/>
      <c r="K887" s="3"/>
      <c r="L887" s="3"/>
      <c r="M887" s="3"/>
      <c r="N887" s="3"/>
      <c r="O887" s="3"/>
      <c r="P887" s="3"/>
      <c r="Q887" s="3"/>
    </row>
    <row r="888" spans="1:17" ht="16.5" customHeight="1">
      <c r="A888" s="3"/>
      <c r="B888" s="3"/>
      <c r="C888" s="3"/>
      <c r="I888" s="3"/>
      <c r="J888" s="3"/>
      <c r="K888" s="3"/>
      <c r="L888" s="3"/>
      <c r="M888" s="3"/>
      <c r="N888" s="3"/>
      <c r="O888" s="3"/>
      <c r="P888" s="3"/>
      <c r="Q888" s="3"/>
    </row>
    <row r="889" spans="1:17" ht="16.5" customHeight="1">
      <c r="A889" s="3"/>
      <c r="B889" s="3"/>
      <c r="C889" s="3"/>
      <c r="I889" s="3"/>
      <c r="J889" s="3"/>
      <c r="K889" s="3"/>
      <c r="L889" s="3"/>
      <c r="M889" s="3"/>
      <c r="N889" s="3"/>
      <c r="O889" s="3"/>
      <c r="P889" s="3"/>
      <c r="Q889" s="3"/>
    </row>
    <row r="890" spans="1:17" ht="16.5" customHeight="1">
      <c r="A890" s="3"/>
      <c r="B890" s="3"/>
      <c r="C890" s="3"/>
      <c r="I890" s="3"/>
      <c r="J890" s="3"/>
      <c r="K890" s="3"/>
      <c r="L890" s="3"/>
      <c r="M890" s="3"/>
      <c r="N890" s="3"/>
      <c r="O890" s="3"/>
      <c r="P890" s="3"/>
      <c r="Q890" s="3"/>
    </row>
    <row r="891" spans="1:17" ht="16.5" customHeight="1">
      <c r="A891" s="3"/>
      <c r="B891" s="3"/>
      <c r="C891" s="3"/>
      <c r="I891" s="3"/>
      <c r="J891" s="3"/>
      <c r="K891" s="3"/>
      <c r="L891" s="3"/>
      <c r="M891" s="3"/>
      <c r="N891" s="3"/>
      <c r="O891" s="3"/>
      <c r="P891" s="3"/>
      <c r="Q891" s="3"/>
    </row>
    <row r="892" spans="1:17" ht="16.5" customHeight="1">
      <c r="A892" s="3"/>
      <c r="B892" s="3"/>
      <c r="C892" s="3"/>
      <c r="I892" s="3"/>
      <c r="J892" s="3"/>
      <c r="K892" s="3"/>
      <c r="L892" s="3"/>
      <c r="M892" s="3"/>
      <c r="N892" s="3"/>
      <c r="O892" s="3"/>
      <c r="P892" s="3"/>
      <c r="Q892" s="3"/>
    </row>
    <row r="893" spans="1:17" ht="16.5" customHeight="1">
      <c r="A893" s="3"/>
      <c r="B893" s="3"/>
      <c r="C893" s="3"/>
      <c r="I893" s="3"/>
      <c r="J893" s="3"/>
      <c r="K893" s="3"/>
      <c r="L893" s="3"/>
      <c r="M893" s="3"/>
      <c r="N893" s="3"/>
      <c r="O893" s="3"/>
      <c r="P893" s="3"/>
      <c r="Q893" s="3"/>
    </row>
    <row r="894" spans="1:17" ht="16.5" customHeight="1">
      <c r="A894" s="3"/>
      <c r="B894" s="3"/>
      <c r="C894" s="3"/>
      <c r="I894" s="3"/>
      <c r="J894" s="3"/>
      <c r="K894" s="3"/>
      <c r="L894" s="3"/>
      <c r="M894" s="3"/>
      <c r="N894" s="3"/>
      <c r="O894" s="3"/>
      <c r="P894" s="3"/>
      <c r="Q894" s="3"/>
    </row>
    <row r="895" spans="1:17" ht="16.5" customHeight="1">
      <c r="A895" s="3"/>
      <c r="B895" s="3"/>
      <c r="C895" s="3"/>
      <c r="I895" s="3"/>
      <c r="J895" s="3"/>
      <c r="K895" s="3"/>
      <c r="L895" s="3"/>
      <c r="M895" s="3"/>
      <c r="N895" s="3"/>
      <c r="O895" s="3"/>
      <c r="P895" s="3"/>
      <c r="Q895" s="3"/>
    </row>
    <row r="896" spans="1:17" ht="16.5" customHeight="1">
      <c r="A896" s="3"/>
      <c r="B896" s="3"/>
      <c r="C896" s="3"/>
      <c r="I896" s="3"/>
      <c r="J896" s="3"/>
      <c r="K896" s="3"/>
      <c r="L896" s="3"/>
      <c r="M896" s="3"/>
      <c r="N896" s="3"/>
      <c r="O896" s="3"/>
      <c r="P896" s="3"/>
      <c r="Q896" s="3"/>
    </row>
    <row r="897" spans="1:17" ht="16.5" customHeight="1">
      <c r="A897" s="3"/>
      <c r="B897" s="3"/>
      <c r="C897" s="3"/>
      <c r="I897" s="3"/>
      <c r="J897" s="3"/>
      <c r="K897" s="3"/>
      <c r="L897" s="3"/>
      <c r="M897" s="3"/>
      <c r="N897" s="3"/>
      <c r="O897" s="3"/>
      <c r="P897" s="3"/>
      <c r="Q897" s="3"/>
    </row>
    <row r="898" spans="1:17" ht="16.5" customHeight="1">
      <c r="A898" s="3"/>
      <c r="B898" s="3"/>
      <c r="C898" s="3"/>
      <c r="I898" s="3"/>
      <c r="J898" s="3"/>
      <c r="K898" s="3"/>
      <c r="L898" s="3"/>
      <c r="M898" s="3"/>
      <c r="N898" s="3"/>
      <c r="O898" s="3"/>
      <c r="P898" s="3"/>
      <c r="Q898" s="3"/>
    </row>
    <row r="899" spans="1:17" ht="16.5" customHeight="1">
      <c r="A899" s="3"/>
      <c r="B899" s="3"/>
      <c r="C899" s="3"/>
      <c r="I899" s="3"/>
      <c r="J899" s="3"/>
      <c r="K899" s="3"/>
      <c r="L899" s="3"/>
      <c r="M899" s="3"/>
      <c r="N899" s="3"/>
      <c r="O899" s="3"/>
      <c r="P899" s="3"/>
      <c r="Q899" s="3"/>
    </row>
    <row r="900" spans="1:17" ht="16.5" customHeight="1">
      <c r="A900" s="3"/>
      <c r="B900" s="3"/>
      <c r="C900" s="3"/>
      <c r="I900" s="3"/>
      <c r="J900" s="3"/>
      <c r="K900" s="3"/>
      <c r="L900" s="3"/>
      <c r="M900" s="3"/>
      <c r="N900" s="3"/>
      <c r="O900" s="3"/>
      <c r="P900" s="3"/>
      <c r="Q900" s="3"/>
    </row>
    <row r="901" spans="1:17" ht="16.5" customHeight="1">
      <c r="A901" s="3"/>
      <c r="B901" s="3"/>
      <c r="C901" s="3"/>
      <c r="I901" s="3"/>
      <c r="J901" s="3"/>
      <c r="K901" s="3"/>
      <c r="L901" s="3"/>
      <c r="M901" s="3"/>
      <c r="N901" s="3"/>
      <c r="O901" s="3"/>
      <c r="P901" s="3"/>
      <c r="Q901" s="3"/>
    </row>
    <row r="902" spans="1:17" ht="16.5" customHeight="1">
      <c r="A902" s="3"/>
      <c r="B902" s="3"/>
      <c r="C902" s="3"/>
      <c r="I902" s="3"/>
      <c r="J902" s="3"/>
      <c r="K902" s="3"/>
      <c r="L902" s="3"/>
      <c r="M902" s="3"/>
      <c r="N902" s="3"/>
      <c r="O902" s="3"/>
      <c r="P902" s="3"/>
      <c r="Q902" s="3"/>
    </row>
    <row r="903" spans="1:17" ht="16.5" customHeight="1">
      <c r="A903" s="3"/>
      <c r="B903" s="3"/>
      <c r="C903" s="3"/>
      <c r="I903" s="3"/>
      <c r="J903" s="3"/>
      <c r="K903" s="3"/>
      <c r="L903" s="3"/>
      <c r="M903" s="3"/>
      <c r="N903" s="3"/>
      <c r="O903" s="3"/>
      <c r="P903" s="3"/>
      <c r="Q903" s="3"/>
    </row>
    <row r="904" spans="1:17" ht="16.5" customHeight="1">
      <c r="A904" s="3"/>
      <c r="B904" s="3"/>
      <c r="C904" s="3"/>
      <c r="I904" s="3"/>
      <c r="J904" s="3"/>
      <c r="K904" s="3"/>
      <c r="L904" s="3"/>
      <c r="M904" s="3"/>
      <c r="N904" s="3"/>
      <c r="O904" s="3"/>
      <c r="P904" s="3"/>
      <c r="Q904" s="3"/>
    </row>
    <row r="905" spans="1:17" ht="16.5" customHeight="1">
      <c r="A905" s="3"/>
      <c r="B905" s="3"/>
      <c r="C905" s="3"/>
      <c r="I905" s="3"/>
      <c r="J905" s="3"/>
      <c r="K905" s="3"/>
      <c r="L905" s="3"/>
      <c r="M905" s="3"/>
      <c r="N905" s="3"/>
      <c r="O905" s="3"/>
      <c r="P905" s="3"/>
      <c r="Q905" s="3"/>
    </row>
    <row r="906" spans="1:17" ht="16.5" customHeight="1">
      <c r="A906" s="3"/>
      <c r="B906" s="3"/>
      <c r="C906" s="3"/>
      <c r="I906" s="3"/>
      <c r="J906" s="3"/>
      <c r="K906" s="3"/>
      <c r="L906" s="3"/>
      <c r="M906" s="3"/>
      <c r="N906" s="3"/>
      <c r="O906" s="3"/>
      <c r="P906" s="3"/>
      <c r="Q906" s="3"/>
    </row>
    <row r="907" spans="1:17" ht="16.5" customHeight="1">
      <c r="A907" s="3"/>
      <c r="B907" s="3"/>
      <c r="C907" s="3"/>
      <c r="I907" s="3"/>
      <c r="J907" s="3"/>
      <c r="K907" s="3"/>
      <c r="L907" s="3"/>
      <c r="M907" s="3"/>
      <c r="N907" s="3"/>
      <c r="O907" s="3"/>
      <c r="P907" s="3"/>
      <c r="Q907" s="3"/>
    </row>
    <row r="908" spans="1:17" ht="16.5" customHeight="1">
      <c r="A908" s="3"/>
      <c r="B908" s="3"/>
      <c r="C908" s="3"/>
      <c r="I908" s="3"/>
      <c r="J908" s="3"/>
      <c r="K908" s="3"/>
      <c r="L908" s="3"/>
      <c r="M908" s="3"/>
      <c r="N908" s="3"/>
      <c r="O908" s="3"/>
      <c r="P908" s="3"/>
      <c r="Q908" s="3"/>
    </row>
    <row r="909" spans="1:17" ht="16.5" customHeight="1">
      <c r="A909" s="3"/>
      <c r="B909" s="3"/>
      <c r="C909" s="3"/>
      <c r="I909" s="3"/>
      <c r="J909" s="3"/>
      <c r="K909" s="3"/>
      <c r="L909" s="3"/>
      <c r="M909" s="3"/>
      <c r="N909" s="3"/>
      <c r="O909" s="3"/>
      <c r="P909" s="3"/>
      <c r="Q909" s="3"/>
    </row>
    <row r="910" spans="1:17" ht="16.5" customHeight="1">
      <c r="A910" s="3"/>
      <c r="B910" s="3"/>
      <c r="C910" s="3"/>
      <c r="I910" s="3"/>
      <c r="J910" s="3"/>
      <c r="K910" s="3"/>
      <c r="L910" s="3"/>
      <c r="M910" s="3"/>
      <c r="N910" s="3"/>
      <c r="O910" s="3"/>
      <c r="P910" s="3"/>
      <c r="Q910" s="3"/>
    </row>
    <row r="911" spans="1:17" ht="16.5" customHeight="1">
      <c r="A911" s="3"/>
      <c r="B911" s="3"/>
      <c r="C911" s="3"/>
      <c r="I911" s="3"/>
      <c r="J911" s="3"/>
      <c r="K911" s="3"/>
      <c r="L911" s="3"/>
      <c r="M911" s="3"/>
      <c r="N911" s="3"/>
      <c r="O911" s="3"/>
      <c r="P911" s="3"/>
      <c r="Q911" s="3"/>
    </row>
    <row r="912" spans="1:17" ht="16.5" customHeight="1">
      <c r="A912" s="3"/>
      <c r="B912" s="3"/>
      <c r="C912" s="3"/>
      <c r="I912" s="3"/>
      <c r="J912" s="3"/>
      <c r="K912" s="3"/>
      <c r="L912" s="3"/>
      <c r="M912" s="3"/>
      <c r="N912" s="3"/>
      <c r="O912" s="3"/>
      <c r="P912" s="3"/>
      <c r="Q912" s="3"/>
    </row>
    <row r="913" spans="1:17" ht="16.5" customHeight="1">
      <c r="A913" s="3"/>
      <c r="B913" s="3"/>
      <c r="C913" s="3"/>
      <c r="I913" s="3"/>
      <c r="J913" s="3"/>
      <c r="K913" s="3"/>
      <c r="L913" s="3"/>
      <c r="M913" s="3"/>
      <c r="N913" s="3"/>
      <c r="O913" s="3"/>
      <c r="P913" s="3"/>
      <c r="Q913" s="3"/>
    </row>
    <row r="914" spans="1:17" ht="16.5" customHeight="1">
      <c r="A914" s="3"/>
      <c r="B914" s="3"/>
      <c r="C914" s="3"/>
      <c r="I914" s="3"/>
      <c r="J914" s="3"/>
      <c r="K914" s="3"/>
      <c r="L914" s="3"/>
      <c r="M914" s="3"/>
      <c r="N914" s="3"/>
      <c r="O914" s="3"/>
      <c r="P914" s="3"/>
      <c r="Q914" s="3"/>
    </row>
    <row r="915" spans="1:17" ht="16.5" customHeight="1">
      <c r="A915" s="3"/>
      <c r="B915" s="3"/>
      <c r="C915" s="3"/>
      <c r="I915" s="3"/>
      <c r="J915" s="3"/>
      <c r="K915" s="3"/>
      <c r="L915" s="3"/>
      <c r="M915" s="3"/>
      <c r="N915" s="3"/>
      <c r="O915" s="3"/>
      <c r="P915" s="3"/>
      <c r="Q915" s="3"/>
    </row>
    <row r="916" spans="1:17" ht="16.5" customHeight="1">
      <c r="A916" s="3"/>
      <c r="B916" s="3"/>
      <c r="C916" s="3"/>
      <c r="I916" s="3"/>
      <c r="J916" s="3"/>
      <c r="K916" s="3"/>
      <c r="L916" s="3"/>
      <c r="M916" s="3"/>
      <c r="N916" s="3"/>
      <c r="O916" s="3"/>
      <c r="P916" s="3"/>
      <c r="Q916" s="3"/>
    </row>
    <row r="917" spans="1:17" ht="16.5" customHeight="1">
      <c r="A917" s="3"/>
      <c r="B917" s="3"/>
      <c r="C917" s="3"/>
      <c r="I917" s="3"/>
      <c r="J917" s="3"/>
      <c r="K917" s="3"/>
      <c r="L917" s="3"/>
      <c r="M917" s="3"/>
      <c r="N917" s="3"/>
      <c r="O917" s="3"/>
      <c r="P917" s="3"/>
      <c r="Q917" s="3"/>
    </row>
    <row r="918" spans="1:17" ht="16.5" customHeight="1">
      <c r="A918" s="3"/>
      <c r="B918" s="3"/>
      <c r="C918" s="3"/>
      <c r="I918" s="3"/>
      <c r="J918" s="3"/>
      <c r="K918" s="3"/>
      <c r="L918" s="3"/>
      <c r="M918" s="3"/>
      <c r="N918" s="3"/>
      <c r="O918" s="3"/>
      <c r="P918" s="3"/>
      <c r="Q918" s="3"/>
    </row>
    <row r="919" spans="1:17" ht="16.5" customHeight="1">
      <c r="A919" s="3"/>
      <c r="B919" s="3"/>
      <c r="C919" s="3"/>
      <c r="I919" s="3"/>
      <c r="J919" s="3"/>
      <c r="K919" s="3"/>
      <c r="L919" s="3"/>
      <c r="M919" s="3"/>
      <c r="N919" s="3"/>
      <c r="O919" s="3"/>
      <c r="P919" s="3"/>
      <c r="Q919" s="3"/>
    </row>
    <row r="920" spans="1:17" ht="16.5" customHeight="1">
      <c r="A920" s="3"/>
      <c r="B920" s="3"/>
      <c r="C920" s="3"/>
      <c r="I920" s="3"/>
      <c r="J920" s="3"/>
      <c r="K920" s="3"/>
      <c r="L920" s="3"/>
      <c r="M920" s="3"/>
      <c r="N920" s="3"/>
      <c r="O920" s="3"/>
      <c r="P920" s="3"/>
      <c r="Q920" s="3"/>
    </row>
    <row r="921" spans="1:17" ht="16.5" customHeight="1">
      <c r="A921" s="3"/>
      <c r="B921" s="3"/>
      <c r="C921" s="3"/>
      <c r="I921" s="3"/>
      <c r="J921" s="3"/>
      <c r="K921" s="3"/>
      <c r="L921" s="3"/>
      <c r="M921" s="3"/>
      <c r="N921" s="3"/>
      <c r="O921" s="3"/>
      <c r="P921" s="3"/>
      <c r="Q921" s="3"/>
    </row>
    <row r="922" spans="1:17" ht="16.5" customHeight="1">
      <c r="A922" s="3"/>
      <c r="B922" s="3"/>
      <c r="C922" s="3"/>
      <c r="I922" s="3"/>
      <c r="J922" s="3"/>
      <c r="K922" s="3"/>
      <c r="L922" s="3"/>
      <c r="M922" s="3"/>
      <c r="N922" s="3"/>
      <c r="O922" s="3"/>
      <c r="P922" s="3"/>
      <c r="Q922" s="3"/>
    </row>
    <row r="923" spans="1:17" ht="16.5" customHeight="1">
      <c r="A923" s="3"/>
      <c r="B923" s="3"/>
      <c r="C923" s="3"/>
      <c r="I923" s="3"/>
      <c r="J923" s="3"/>
      <c r="K923" s="3"/>
      <c r="L923" s="3"/>
      <c r="M923" s="3"/>
      <c r="N923" s="3"/>
      <c r="O923" s="3"/>
      <c r="P923" s="3"/>
      <c r="Q923" s="3"/>
    </row>
    <row r="924" spans="1:17" ht="16.5" customHeight="1">
      <c r="A924" s="3"/>
      <c r="B924" s="3"/>
      <c r="C924" s="3"/>
      <c r="I924" s="3"/>
      <c r="J924" s="3"/>
      <c r="K924" s="3"/>
      <c r="L924" s="3"/>
      <c r="M924" s="3"/>
      <c r="N924" s="3"/>
      <c r="O924" s="3"/>
      <c r="P924" s="3"/>
      <c r="Q924" s="3"/>
    </row>
    <row r="925" spans="1:17" ht="16.5" customHeight="1">
      <c r="A925" s="3"/>
      <c r="B925" s="3"/>
      <c r="C925" s="3"/>
      <c r="I925" s="3"/>
      <c r="J925" s="3"/>
      <c r="K925" s="3"/>
      <c r="L925" s="3"/>
      <c r="M925" s="3"/>
      <c r="N925" s="3"/>
      <c r="O925" s="3"/>
      <c r="P925" s="3"/>
      <c r="Q925" s="3"/>
    </row>
    <row r="926" spans="1:17" ht="16.5" customHeight="1">
      <c r="A926" s="3"/>
      <c r="B926" s="3"/>
      <c r="C926" s="3"/>
      <c r="I926" s="3"/>
      <c r="J926" s="3"/>
      <c r="K926" s="3"/>
      <c r="L926" s="3"/>
      <c r="M926" s="3"/>
      <c r="N926" s="3"/>
      <c r="O926" s="3"/>
      <c r="P926" s="3"/>
      <c r="Q926" s="3"/>
    </row>
    <row r="927" spans="1:17" ht="16.5" customHeight="1">
      <c r="A927" s="3"/>
      <c r="B927" s="3"/>
      <c r="C927" s="3"/>
      <c r="I927" s="3"/>
      <c r="J927" s="3"/>
      <c r="K927" s="3"/>
      <c r="L927" s="3"/>
      <c r="M927" s="3"/>
      <c r="N927" s="3"/>
      <c r="O927" s="3"/>
      <c r="P927" s="3"/>
      <c r="Q927" s="3"/>
    </row>
    <row r="928" spans="1:17" ht="16.5" customHeight="1">
      <c r="A928" s="3"/>
      <c r="B928" s="3"/>
      <c r="C928" s="3"/>
      <c r="I928" s="3"/>
      <c r="J928" s="3"/>
      <c r="K928" s="3"/>
      <c r="L928" s="3"/>
      <c r="M928" s="3"/>
      <c r="N928" s="3"/>
      <c r="O928" s="3"/>
      <c r="P928" s="3"/>
      <c r="Q928" s="3"/>
    </row>
    <row r="929" spans="1:17" ht="16.5" customHeight="1">
      <c r="A929" s="3"/>
      <c r="B929" s="3"/>
      <c r="C929" s="3"/>
      <c r="I929" s="3"/>
      <c r="J929" s="3"/>
      <c r="K929" s="3"/>
      <c r="L929" s="3"/>
      <c r="M929" s="3"/>
      <c r="N929" s="3"/>
      <c r="O929" s="3"/>
      <c r="P929" s="3"/>
      <c r="Q929" s="3"/>
    </row>
    <row r="930" spans="1:17" ht="16.5" customHeight="1">
      <c r="A930" s="3"/>
      <c r="B930" s="3"/>
      <c r="C930" s="3"/>
      <c r="I930" s="3"/>
      <c r="J930" s="3"/>
      <c r="K930" s="3"/>
      <c r="L930" s="3"/>
      <c r="M930" s="3"/>
      <c r="N930" s="3"/>
      <c r="O930" s="3"/>
      <c r="P930" s="3"/>
      <c r="Q930" s="3"/>
    </row>
    <row r="931" spans="1:17" ht="16.5" customHeight="1">
      <c r="A931" s="3"/>
      <c r="B931" s="3"/>
      <c r="C931" s="3"/>
      <c r="I931" s="3"/>
      <c r="J931" s="3"/>
      <c r="K931" s="3"/>
      <c r="L931" s="3"/>
      <c r="M931" s="3"/>
      <c r="N931" s="3"/>
      <c r="O931" s="3"/>
      <c r="P931" s="3"/>
      <c r="Q931" s="3"/>
    </row>
    <row r="932" spans="1:17" ht="16.5" customHeight="1">
      <c r="A932" s="3"/>
      <c r="B932" s="3"/>
      <c r="C932" s="3"/>
      <c r="I932" s="3"/>
      <c r="J932" s="3"/>
      <c r="K932" s="3"/>
      <c r="L932" s="3"/>
      <c r="M932" s="3"/>
      <c r="N932" s="3"/>
      <c r="O932" s="3"/>
      <c r="P932" s="3"/>
      <c r="Q932" s="3"/>
    </row>
    <row r="933" spans="1:17" ht="16.5" customHeight="1">
      <c r="A933" s="3"/>
      <c r="B933" s="3"/>
      <c r="C933" s="3"/>
      <c r="I933" s="3"/>
      <c r="J933" s="3"/>
      <c r="K933" s="3"/>
      <c r="L933" s="3"/>
      <c r="M933" s="3"/>
      <c r="N933" s="3"/>
      <c r="O933" s="3"/>
      <c r="P933" s="3"/>
      <c r="Q933" s="3"/>
    </row>
    <row r="934" spans="1:17" ht="16.5" customHeight="1">
      <c r="A934" s="3"/>
      <c r="B934" s="3"/>
      <c r="C934" s="3"/>
      <c r="I934" s="3"/>
      <c r="J934" s="3"/>
      <c r="K934" s="3"/>
      <c r="L934" s="3"/>
      <c r="M934" s="3"/>
      <c r="N934" s="3"/>
      <c r="O934" s="3"/>
      <c r="P934" s="3"/>
      <c r="Q934" s="3"/>
    </row>
    <row r="935" spans="1:17" ht="16.5" customHeight="1">
      <c r="A935" s="3"/>
      <c r="B935" s="3"/>
      <c r="C935" s="3"/>
      <c r="I935" s="3"/>
      <c r="J935" s="3"/>
      <c r="K935" s="3"/>
      <c r="L935" s="3"/>
      <c r="M935" s="3"/>
      <c r="N935" s="3"/>
      <c r="O935" s="3"/>
      <c r="P935" s="3"/>
      <c r="Q935" s="3"/>
    </row>
    <row r="936" spans="1:17" ht="16.5" customHeight="1">
      <c r="A936" s="3"/>
      <c r="B936" s="3"/>
      <c r="C936" s="3"/>
      <c r="I936" s="3"/>
      <c r="J936" s="3"/>
      <c r="K936" s="3"/>
      <c r="L936" s="3"/>
      <c r="M936" s="3"/>
      <c r="N936" s="3"/>
      <c r="O936" s="3"/>
      <c r="P936" s="3"/>
      <c r="Q936" s="3"/>
    </row>
    <row r="937" spans="1:17" ht="16.5" customHeight="1">
      <c r="A937" s="3"/>
      <c r="B937" s="3"/>
      <c r="C937" s="3"/>
      <c r="I937" s="3"/>
      <c r="J937" s="3"/>
      <c r="K937" s="3"/>
      <c r="L937" s="3"/>
      <c r="M937" s="3"/>
      <c r="N937" s="3"/>
      <c r="O937" s="3"/>
      <c r="P937" s="3"/>
      <c r="Q937" s="3"/>
    </row>
    <row r="938" spans="1:17" ht="16.5" customHeight="1">
      <c r="A938" s="3"/>
      <c r="B938" s="3"/>
      <c r="C938" s="3"/>
      <c r="I938" s="3"/>
      <c r="J938" s="3"/>
      <c r="K938" s="3"/>
      <c r="L938" s="3"/>
      <c r="M938" s="3"/>
      <c r="N938" s="3"/>
      <c r="O938" s="3"/>
      <c r="P938" s="3"/>
      <c r="Q938" s="3"/>
    </row>
    <row r="939" spans="1:17" ht="16.5" customHeight="1">
      <c r="A939" s="3"/>
      <c r="B939" s="3"/>
      <c r="C939" s="3"/>
      <c r="I939" s="3"/>
      <c r="J939" s="3"/>
      <c r="K939" s="3"/>
      <c r="L939" s="3"/>
      <c r="M939" s="3"/>
      <c r="N939" s="3"/>
      <c r="O939" s="3"/>
      <c r="P939" s="3"/>
      <c r="Q939" s="3"/>
    </row>
    <row r="940" spans="1:17" ht="16.5" customHeight="1">
      <c r="A940" s="3"/>
      <c r="B940" s="3"/>
      <c r="C940" s="3"/>
      <c r="I940" s="3"/>
      <c r="J940" s="3"/>
      <c r="K940" s="3"/>
      <c r="L940" s="3"/>
      <c r="M940" s="3"/>
      <c r="N940" s="3"/>
      <c r="O940" s="3"/>
      <c r="P940" s="3"/>
      <c r="Q940" s="3"/>
    </row>
    <row r="941" spans="1:17" ht="16.5" customHeight="1">
      <c r="A941" s="3"/>
      <c r="B941" s="3"/>
      <c r="C941" s="3"/>
      <c r="I941" s="3"/>
      <c r="J941" s="3"/>
      <c r="K941" s="3"/>
      <c r="L941" s="3"/>
      <c r="M941" s="3"/>
      <c r="N941" s="3"/>
      <c r="O941" s="3"/>
      <c r="P941" s="3"/>
      <c r="Q941" s="3"/>
    </row>
    <row r="942" spans="1:17" ht="16.5" customHeight="1">
      <c r="A942" s="3"/>
      <c r="B942" s="3"/>
      <c r="C942" s="3"/>
      <c r="I942" s="3"/>
      <c r="J942" s="3"/>
      <c r="K942" s="3"/>
      <c r="L942" s="3"/>
      <c r="M942" s="3"/>
      <c r="N942" s="3"/>
      <c r="O942" s="3"/>
      <c r="P942" s="3"/>
      <c r="Q942" s="3"/>
    </row>
    <row r="943" spans="1:17" ht="16.5" customHeight="1">
      <c r="A943" s="3"/>
      <c r="B943" s="3"/>
      <c r="C943" s="3"/>
      <c r="I943" s="3"/>
      <c r="J943" s="3"/>
      <c r="K943" s="3"/>
      <c r="L943" s="3"/>
      <c r="M943" s="3"/>
      <c r="N943" s="3"/>
      <c r="O943" s="3"/>
      <c r="P943" s="3"/>
      <c r="Q943" s="3"/>
    </row>
    <row r="944" spans="1:17" ht="16.5" customHeight="1">
      <c r="A944" s="3"/>
      <c r="B944" s="3"/>
      <c r="C944" s="3"/>
      <c r="I944" s="3"/>
      <c r="J944" s="3"/>
      <c r="K944" s="3"/>
      <c r="L944" s="3"/>
      <c r="M944" s="3"/>
      <c r="N944" s="3"/>
      <c r="O944" s="3"/>
      <c r="P944" s="3"/>
      <c r="Q944" s="3"/>
    </row>
    <row r="945" spans="1:17" ht="16.5" customHeight="1">
      <c r="A945" s="3"/>
      <c r="B945" s="3"/>
      <c r="C945" s="3"/>
      <c r="I945" s="3"/>
      <c r="J945" s="3"/>
      <c r="K945" s="3"/>
      <c r="L945" s="3"/>
      <c r="M945" s="3"/>
      <c r="N945" s="3"/>
      <c r="O945" s="3"/>
      <c r="P945" s="3"/>
      <c r="Q945" s="3"/>
    </row>
    <row r="946" spans="1:17" ht="16.5" customHeight="1">
      <c r="A946" s="3"/>
      <c r="B946" s="3"/>
      <c r="C946" s="3"/>
      <c r="I946" s="3"/>
      <c r="J946" s="3"/>
      <c r="K946" s="3"/>
      <c r="L946" s="3"/>
      <c r="M946" s="3"/>
      <c r="N946" s="3"/>
      <c r="O946" s="3"/>
      <c r="P946" s="3"/>
      <c r="Q946" s="3"/>
    </row>
    <row r="947" spans="1:17" ht="16.5" customHeight="1">
      <c r="A947" s="3"/>
      <c r="B947" s="3"/>
      <c r="C947" s="3"/>
      <c r="I947" s="3"/>
      <c r="J947" s="3"/>
      <c r="K947" s="3"/>
      <c r="L947" s="3"/>
      <c r="M947" s="3"/>
      <c r="N947" s="3"/>
      <c r="O947" s="3"/>
      <c r="P947" s="3"/>
      <c r="Q947" s="3"/>
    </row>
    <row r="948" spans="1:17" ht="16.5" customHeight="1">
      <c r="A948" s="3"/>
      <c r="B948" s="3"/>
      <c r="C948" s="3"/>
      <c r="I948" s="3"/>
      <c r="J948" s="3"/>
      <c r="K948" s="3"/>
      <c r="L948" s="3"/>
      <c r="M948" s="3"/>
      <c r="N948" s="3"/>
      <c r="O948" s="3"/>
      <c r="P948" s="3"/>
      <c r="Q948" s="3"/>
    </row>
    <row r="949" spans="1:17" ht="16.5" customHeight="1">
      <c r="A949" s="3"/>
      <c r="B949" s="3"/>
      <c r="C949" s="3"/>
      <c r="I949" s="3"/>
      <c r="J949" s="3"/>
      <c r="K949" s="3"/>
      <c r="L949" s="3"/>
      <c r="M949" s="3"/>
      <c r="N949" s="3"/>
      <c r="O949" s="3"/>
      <c r="P949" s="3"/>
      <c r="Q949" s="3"/>
    </row>
    <row r="950" spans="1:17" ht="16.5" customHeight="1">
      <c r="A950" s="3"/>
      <c r="B950" s="3"/>
      <c r="C950" s="3"/>
      <c r="I950" s="3"/>
      <c r="J950" s="3"/>
      <c r="K950" s="3"/>
      <c r="L950" s="3"/>
      <c r="M950" s="3"/>
      <c r="N950" s="3"/>
      <c r="O950" s="3"/>
      <c r="P950" s="3"/>
      <c r="Q950" s="3"/>
    </row>
    <row r="951" spans="1:17" ht="16.5" customHeight="1">
      <c r="A951" s="3"/>
      <c r="B951" s="3"/>
      <c r="C951" s="3"/>
      <c r="I951" s="3"/>
      <c r="J951" s="3"/>
      <c r="K951" s="3"/>
      <c r="L951" s="3"/>
      <c r="M951" s="3"/>
      <c r="N951" s="3"/>
      <c r="O951" s="3"/>
      <c r="P951" s="3"/>
      <c r="Q951" s="3"/>
    </row>
    <row r="952" spans="1:17" ht="16.5" customHeight="1">
      <c r="A952" s="3"/>
      <c r="B952" s="3"/>
      <c r="C952" s="3"/>
      <c r="I952" s="3"/>
      <c r="J952" s="3"/>
      <c r="K952" s="3"/>
      <c r="L952" s="3"/>
      <c r="M952" s="3"/>
      <c r="N952" s="3"/>
      <c r="O952" s="3"/>
      <c r="P952" s="3"/>
      <c r="Q952" s="3"/>
    </row>
    <row r="953" spans="1:17" ht="16.5" customHeight="1">
      <c r="A953" s="3"/>
      <c r="B953" s="3"/>
      <c r="C953" s="3"/>
      <c r="I953" s="3"/>
      <c r="J953" s="3"/>
      <c r="K953" s="3"/>
      <c r="L953" s="3"/>
      <c r="M953" s="3"/>
      <c r="N953" s="3"/>
      <c r="O953" s="3"/>
      <c r="P953" s="3"/>
      <c r="Q953" s="3"/>
    </row>
    <row r="954" spans="1:17" ht="16.5" customHeight="1">
      <c r="A954" s="3"/>
      <c r="B954" s="3"/>
      <c r="C954" s="3"/>
      <c r="I954" s="3"/>
      <c r="J954" s="3"/>
      <c r="K954" s="3"/>
      <c r="L954" s="3"/>
      <c r="M954" s="3"/>
      <c r="N954" s="3"/>
      <c r="O954" s="3"/>
      <c r="P954" s="3"/>
      <c r="Q954" s="3"/>
    </row>
    <row r="955" spans="1:17" ht="16.5" customHeight="1">
      <c r="A955" s="3"/>
      <c r="B955" s="3"/>
      <c r="C955" s="3"/>
      <c r="I955" s="3"/>
      <c r="J955" s="3"/>
      <c r="K955" s="3"/>
      <c r="L955" s="3"/>
      <c r="M955" s="3"/>
      <c r="N955" s="3"/>
      <c r="O955" s="3"/>
      <c r="P955" s="3"/>
      <c r="Q955" s="3"/>
    </row>
    <row r="956" spans="1:17" ht="16.5" customHeight="1">
      <c r="A956" s="3"/>
      <c r="B956" s="3"/>
      <c r="C956" s="3"/>
      <c r="I956" s="3"/>
      <c r="J956" s="3"/>
      <c r="K956" s="3"/>
      <c r="L956" s="3"/>
      <c r="M956" s="3"/>
      <c r="N956" s="3"/>
      <c r="O956" s="3"/>
      <c r="P956" s="3"/>
      <c r="Q956" s="3"/>
    </row>
    <row r="957" spans="1:17" ht="16.5" customHeight="1">
      <c r="A957" s="3"/>
      <c r="B957" s="3"/>
      <c r="C957" s="3"/>
      <c r="I957" s="3"/>
      <c r="J957" s="3"/>
      <c r="K957" s="3"/>
      <c r="L957" s="3"/>
      <c r="M957" s="3"/>
      <c r="N957" s="3"/>
      <c r="O957" s="3"/>
      <c r="P957" s="3"/>
      <c r="Q957" s="3"/>
    </row>
    <row r="958" spans="1:17" ht="16.5" customHeight="1">
      <c r="A958" s="3"/>
      <c r="B958" s="3"/>
      <c r="C958" s="3"/>
      <c r="I958" s="3"/>
      <c r="J958" s="3"/>
      <c r="K958" s="3"/>
      <c r="L958" s="3"/>
      <c r="M958" s="3"/>
      <c r="N958" s="3"/>
      <c r="O958" s="3"/>
      <c r="P958" s="3"/>
      <c r="Q958" s="3"/>
    </row>
    <row r="959" spans="1:17" ht="16.5" customHeight="1">
      <c r="A959" s="3"/>
      <c r="B959" s="3"/>
      <c r="C959" s="3"/>
      <c r="I959" s="3"/>
      <c r="J959" s="3"/>
      <c r="K959" s="3"/>
      <c r="L959" s="3"/>
      <c r="M959" s="3"/>
      <c r="N959" s="3"/>
      <c r="O959" s="3"/>
      <c r="P959" s="3"/>
      <c r="Q959" s="3"/>
    </row>
    <row r="960" spans="1:17" ht="16.5" customHeight="1">
      <c r="A960" s="3"/>
      <c r="B960" s="3"/>
      <c r="C960" s="3"/>
      <c r="I960" s="3"/>
      <c r="J960" s="3"/>
      <c r="K960" s="3"/>
      <c r="L960" s="3"/>
      <c r="M960" s="3"/>
      <c r="N960" s="3"/>
      <c r="O960" s="3"/>
      <c r="P960" s="3"/>
      <c r="Q960" s="3"/>
    </row>
    <row r="961" spans="1:17" ht="16.5" customHeight="1">
      <c r="A961" s="3"/>
      <c r="B961" s="3"/>
      <c r="C961" s="3"/>
      <c r="I961" s="3"/>
      <c r="J961" s="3"/>
      <c r="K961" s="3"/>
      <c r="L961" s="3"/>
      <c r="M961" s="3"/>
      <c r="N961" s="3"/>
      <c r="O961" s="3"/>
      <c r="P961" s="3"/>
      <c r="Q961" s="3"/>
    </row>
    <row r="962" spans="1:17" ht="16.5" customHeight="1">
      <c r="A962" s="3"/>
      <c r="B962" s="3"/>
      <c r="C962" s="3"/>
      <c r="I962" s="3"/>
      <c r="J962" s="3"/>
      <c r="K962" s="3"/>
      <c r="L962" s="3"/>
      <c r="M962" s="3"/>
      <c r="N962" s="3"/>
      <c r="O962" s="3"/>
      <c r="P962" s="3"/>
      <c r="Q962" s="3"/>
    </row>
    <row r="963" spans="1:17" ht="16.5" customHeight="1">
      <c r="A963" s="3"/>
      <c r="B963" s="3"/>
      <c r="C963" s="3"/>
      <c r="I963" s="3"/>
      <c r="J963" s="3"/>
      <c r="K963" s="3"/>
      <c r="L963" s="3"/>
      <c r="M963" s="3"/>
      <c r="N963" s="3"/>
      <c r="O963" s="3"/>
      <c r="P963" s="3"/>
      <c r="Q963" s="3"/>
    </row>
    <row r="964" spans="1:17" ht="16.5" customHeight="1">
      <c r="A964" s="3"/>
      <c r="B964" s="3"/>
      <c r="C964" s="3"/>
      <c r="I964" s="3"/>
      <c r="J964" s="3"/>
      <c r="K964" s="3"/>
      <c r="L964" s="3"/>
      <c r="M964" s="3"/>
      <c r="N964" s="3"/>
      <c r="O964" s="3"/>
      <c r="P964" s="3"/>
      <c r="Q964" s="3"/>
    </row>
    <row r="965" spans="1:17" ht="16.5" customHeight="1">
      <c r="A965" s="3"/>
      <c r="B965" s="3"/>
      <c r="C965" s="3"/>
      <c r="I965" s="3"/>
      <c r="J965" s="3"/>
      <c r="K965" s="3"/>
      <c r="L965" s="3"/>
      <c r="M965" s="3"/>
      <c r="N965" s="3"/>
      <c r="O965" s="3"/>
      <c r="P965" s="3"/>
      <c r="Q965" s="3"/>
    </row>
    <row r="966" spans="1:17" ht="16.5" customHeight="1">
      <c r="A966" s="3"/>
      <c r="B966" s="3"/>
      <c r="C966" s="3"/>
      <c r="I966" s="3"/>
      <c r="J966" s="3"/>
      <c r="K966" s="3"/>
      <c r="L966" s="3"/>
      <c r="M966" s="3"/>
      <c r="N966" s="3"/>
      <c r="O966" s="3"/>
      <c r="P966" s="3"/>
      <c r="Q966" s="3"/>
    </row>
    <row r="967" spans="1:17" ht="16.5" customHeight="1">
      <c r="A967" s="3"/>
      <c r="B967" s="3"/>
      <c r="C967" s="3"/>
      <c r="I967" s="3"/>
      <c r="J967" s="3"/>
      <c r="K967" s="3"/>
      <c r="L967" s="3"/>
      <c r="M967" s="3"/>
      <c r="N967" s="3"/>
      <c r="O967" s="3"/>
      <c r="P967" s="3"/>
      <c r="Q967" s="3"/>
    </row>
    <row r="968" spans="1:17" ht="16.5" customHeight="1">
      <c r="A968" s="3"/>
      <c r="B968" s="3"/>
      <c r="C968" s="3"/>
      <c r="I968" s="3"/>
      <c r="J968" s="3"/>
      <c r="K968" s="3"/>
      <c r="L968" s="3"/>
      <c r="M968" s="3"/>
      <c r="N968" s="3"/>
      <c r="O968" s="3"/>
      <c r="P968" s="3"/>
      <c r="Q968" s="3"/>
    </row>
    <row r="969" spans="1:17" ht="16.5" customHeight="1">
      <c r="A969" s="3"/>
      <c r="B969" s="3"/>
      <c r="C969" s="3"/>
      <c r="I969" s="3"/>
      <c r="J969" s="3"/>
      <c r="K969" s="3"/>
      <c r="L969" s="3"/>
      <c r="M969" s="3"/>
      <c r="N969" s="3"/>
      <c r="O969" s="3"/>
      <c r="P969" s="3"/>
      <c r="Q969" s="3"/>
    </row>
    <row r="970" spans="1:17" ht="16.5" customHeight="1">
      <c r="A970" s="3"/>
      <c r="B970" s="3"/>
      <c r="C970" s="3"/>
      <c r="I970" s="3"/>
      <c r="J970" s="3"/>
      <c r="K970" s="3"/>
      <c r="L970" s="3"/>
      <c r="M970" s="3"/>
      <c r="N970" s="3"/>
      <c r="O970" s="3"/>
      <c r="P970" s="3"/>
      <c r="Q970" s="3"/>
    </row>
    <row r="971" spans="1:17" ht="16.5" customHeight="1">
      <c r="A971" s="3"/>
      <c r="B971" s="3"/>
      <c r="C971" s="3"/>
      <c r="I971" s="3"/>
      <c r="J971" s="3"/>
      <c r="K971" s="3"/>
      <c r="L971" s="3"/>
      <c r="M971" s="3"/>
      <c r="N971" s="3"/>
      <c r="O971" s="3"/>
      <c r="P971" s="3"/>
      <c r="Q971" s="3"/>
    </row>
    <row r="972" spans="1:17" ht="16.5" customHeight="1">
      <c r="A972" s="3"/>
      <c r="B972" s="3"/>
      <c r="C972" s="3"/>
      <c r="I972" s="3"/>
      <c r="J972" s="3"/>
      <c r="K972" s="3"/>
      <c r="L972" s="3"/>
      <c r="M972" s="3"/>
      <c r="N972" s="3"/>
      <c r="O972" s="3"/>
      <c r="P972" s="3"/>
      <c r="Q972" s="3"/>
    </row>
    <row r="973" spans="1:17" ht="16.5" customHeight="1">
      <c r="A973" s="3"/>
      <c r="B973" s="3"/>
      <c r="C973" s="3"/>
      <c r="I973" s="3"/>
      <c r="J973" s="3"/>
      <c r="K973" s="3"/>
      <c r="L973" s="3"/>
      <c r="M973" s="3"/>
      <c r="N973" s="3"/>
      <c r="O973" s="3"/>
      <c r="P973" s="3"/>
      <c r="Q973" s="3"/>
    </row>
    <row r="974" spans="1:17" ht="16.5" customHeight="1">
      <c r="A974" s="3"/>
      <c r="B974" s="3"/>
      <c r="C974" s="3"/>
      <c r="I974" s="3"/>
      <c r="J974" s="3"/>
      <c r="K974" s="3"/>
      <c r="L974" s="3"/>
      <c r="M974" s="3"/>
      <c r="N974" s="3"/>
      <c r="O974" s="3"/>
      <c r="P974" s="3"/>
      <c r="Q974" s="3"/>
    </row>
    <row r="975" spans="1:17" ht="16.5" customHeight="1">
      <c r="A975" s="3"/>
      <c r="B975" s="3"/>
      <c r="C975" s="3"/>
      <c r="I975" s="3"/>
      <c r="J975" s="3"/>
      <c r="K975" s="3"/>
      <c r="L975" s="3"/>
      <c r="M975" s="3"/>
      <c r="N975" s="3"/>
      <c r="O975" s="3"/>
      <c r="P975" s="3"/>
      <c r="Q975" s="3"/>
    </row>
    <row r="976" spans="1:17" ht="16.5" customHeight="1">
      <c r="A976" s="3"/>
      <c r="B976" s="3"/>
      <c r="C976" s="3"/>
      <c r="I976" s="3"/>
      <c r="J976" s="3"/>
      <c r="K976" s="3"/>
      <c r="L976" s="3"/>
      <c r="M976" s="3"/>
      <c r="N976" s="3"/>
      <c r="O976" s="3"/>
      <c r="P976" s="3"/>
      <c r="Q976" s="3"/>
    </row>
    <row r="977" spans="1:17" ht="16.5" customHeight="1">
      <c r="A977" s="3"/>
      <c r="B977" s="3"/>
      <c r="C977" s="3"/>
      <c r="I977" s="3"/>
      <c r="J977" s="3"/>
      <c r="K977" s="3"/>
      <c r="L977" s="3"/>
      <c r="M977" s="3"/>
      <c r="N977" s="3"/>
      <c r="O977" s="3"/>
      <c r="P977" s="3"/>
      <c r="Q977" s="3"/>
    </row>
    <row r="978" spans="1:17" ht="16.5" customHeight="1">
      <c r="A978" s="3"/>
      <c r="B978" s="3"/>
      <c r="C978" s="3"/>
      <c r="I978" s="3"/>
      <c r="J978" s="3"/>
      <c r="K978" s="3"/>
      <c r="L978" s="3"/>
      <c r="M978" s="3"/>
      <c r="N978" s="3"/>
      <c r="O978" s="3"/>
      <c r="P978" s="3"/>
      <c r="Q978" s="3"/>
    </row>
    <row r="979" spans="1:17" ht="16.5" customHeight="1">
      <c r="A979" s="3"/>
      <c r="B979" s="3"/>
      <c r="C979" s="3"/>
      <c r="I979" s="3"/>
      <c r="J979" s="3"/>
      <c r="K979" s="3"/>
      <c r="L979" s="3"/>
      <c r="M979" s="3"/>
      <c r="N979" s="3"/>
      <c r="O979" s="3"/>
      <c r="P979" s="3"/>
      <c r="Q979" s="3"/>
    </row>
    <row r="980" spans="1:17" ht="16.5" customHeight="1">
      <c r="A980" s="3"/>
      <c r="B980" s="3"/>
      <c r="C980" s="3"/>
      <c r="I980" s="3"/>
      <c r="J980" s="3"/>
      <c r="K980" s="3"/>
      <c r="L980" s="3"/>
      <c r="M980" s="3"/>
      <c r="N980" s="3"/>
      <c r="O980" s="3"/>
      <c r="P980" s="3"/>
      <c r="Q980" s="3"/>
    </row>
    <row r="981" spans="1:17" ht="16.5" customHeight="1">
      <c r="A981" s="3"/>
      <c r="B981" s="3"/>
      <c r="C981" s="3"/>
      <c r="I981" s="3"/>
      <c r="J981" s="3"/>
      <c r="K981" s="3"/>
      <c r="L981" s="3"/>
      <c r="M981" s="3"/>
      <c r="N981" s="3"/>
      <c r="O981" s="3"/>
      <c r="P981" s="3"/>
      <c r="Q981" s="3"/>
    </row>
    <row r="982" spans="1:17" ht="16.5" customHeight="1">
      <c r="A982" s="3"/>
      <c r="B982" s="3"/>
      <c r="C982" s="3"/>
      <c r="I982" s="3"/>
      <c r="J982" s="3"/>
      <c r="K982" s="3"/>
      <c r="L982" s="3"/>
      <c r="M982" s="3"/>
      <c r="N982" s="3"/>
      <c r="O982" s="3"/>
      <c r="P982" s="3"/>
      <c r="Q982" s="3"/>
    </row>
  </sheetData>
  <mergeCells count="4">
    <mergeCell ref="A4:A5"/>
    <mergeCell ref="B4:D4"/>
    <mergeCell ref="E4:F4"/>
    <mergeCell ref="G4:G5"/>
  </mergeCells>
  <phoneticPr fontId="15" type="noConversion"/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BE4D5"/>
  </sheetPr>
  <dimension ref="A1:Y999"/>
  <sheetViews>
    <sheetView workbookViewId="0"/>
  </sheetViews>
  <sheetFormatPr defaultColWidth="14.42578125" defaultRowHeight="15" customHeight="1"/>
  <cols>
    <col min="1" max="1" width="20.5703125" customWidth="1"/>
    <col min="2" max="2" width="16.85546875" style="127" bestFit="1" customWidth="1"/>
    <col min="3" max="25" width="8.7109375" customWidth="1"/>
  </cols>
  <sheetData>
    <row r="1" spans="1:2" ht="16.5" customHeight="1">
      <c r="A1" s="82" t="s">
        <v>107</v>
      </c>
      <c r="B1" s="3"/>
    </row>
    <row r="2" spans="1:2" ht="16.5" customHeight="1">
      <c r="A2" s="41" t="s">
        <v>203</v>
      </c>
      <c r="B2" s="41">
        <f ca="1">B22+B26</f>
        <v>4212810000</v>
      </c>
    </row>
    <row r="3" spans="1:2" ht="16.5" customHeight="1">
      <c r="A3" s="3"/>
      <c r="B3" s="3"/>
    </row>
    <row r="4" spans="1:2" ht="16.5" customHeight="1">
      <c r="A4" s="3" t="s">
        <v>225</v>
      </c>
      <c r="B4" s="126" t="s">
        <v>292</v>
      </c>
    </row>
    <row r="5" spans="1:2" ht="16.5" customHeight="1">
      <c r="A5" s="3" t="s">
        <v>224</v>
      </c>
      <c r="B5" s="127" t="str">
        <f ca="1">INDIRECT("기초!B"&amp;(MATCH(B4,기초!$B:$B,0)+1))</f>
        <v>직계존비속</v>
      </c>
    </row>
    <row r="6" spans="1:2" ht="16.5" customHeight="1">
      <c r="A6" s="3" t="s">
        <v>57</v>
      </c>
      <c r="B6" s="128">
        <v>1</v>
      </c>
    </row>
    <row r="7" spans="1:2" ht="16.5" customHeight="1">
      <c r="A7" s="3"/>
      <c r="B7"/>
    </row>
    <row r="8" spans="1:2" ht="16.5" customHeight="1">
      <c r="A8" s="3"/>
      <c r="B8" s="3" t="s">
        <v>8</v>
      </c>
    </row>
    <row r="9" spans="1:2" ht="16.5" customHeight="1">
      <c r="A9" s="130" t="s">
        <v>226</v>
      </c>
      <c r="B9" s="132" t="str">
        <f>HLOOKUP(B$8,기초!$C$5:$I$16,MATCH($A9,기초!$A$5:$A$16,0),0)</f>
        <v>조정대상지역</v>
      </c>
    </row>
    <row r="10" spans="1:2" ht="16.5" customHeight="1">
      <c r="A10" s="130" t="s">
        <v>184</v>
      </c>
      <c r="B10" s="132" t="str">
        <f>HLOOKUP(B$8,기초!$C$5:$I$16,MATCH($A10,기초!$A$5:$A$16,0),0)</f>
        <v>85 초과</v>
      </c>
    </row>
    <row r="11" spans="1:2" ht="16.5" customHeight="1">
      <c r="A11" s="3"/>
    </row>
    <row r="12" spans="1:2" ht="16.5" customHeight="1">
      <c r="A12" s="3"/>
      <c r="B12" s="3"/>
    </row>
    <row r="13" spans="1:2" ht="16.5" customHeight="1">
      <c r="A13" s="3" t="s">
        <v>58</v>
      </c>
      <c r="B13" s="15">
        <f>기초!C9</f>
        <v>8400000000</v>
      </c>
    </row>
    <row r="14" spans="1:2" ht="16.5" customHeight="1">
      <c r="A14" s="3" t="s">
        <v>59</v>
      </c>
      <c r="B14" s="15">
        <f>B6*B13</f>
        <v>8400000000</v>
      </c>
    </row>
    <row r="15" spans="1:2" ht="16.5" customHeight="1">
      <c r="A15" s="30" t="s">
        <v>30</v>
      </c>
      <c r="B15" s="129">
        <f>SUMIF(기초!$A:$A,B4,기초!$S:$S)</f>
        <v>0</v>
      </c>
    </row>
    <row r="16" spans="1:2" ht="16.5" customHeight="1">
      <c r="A16" s="31" t="s">
        <v>60</v>
      </c>
      <c r="B16" s="32">
        <f t="shared" ref="B16" si="0">B14-B15</f>
        <v>8400000000</v>
      </c>
    </row>
    <row r="17" spans="1:25" ht="16.5" customHeight="1">
      <c r="A17" s="33" t="s">
        <v>61</v>
      </c>
      <c r="B17" s="34">
        <f ca="1">VLOOKUP(B5,t!$AR$2:$AS$5,2,0)</f>
        <v>50000000</v>
      </c>
    </row>
    <row r="18" spans="1:25" ht="16.5" customHeight="1">
      <c r="A18" s="35" t="s">
        <v>62</v>
      </c>
      <c r="B18" s="36">
        <f t="shared" ref="B18" ca="1" si="1">B16-B17</f>
        <v>8350000000</v>
      </c>
    </row>
    <row r="19" spans="1:25" ht="16.5" customHeight="1">
      <c r="A19" s="3" t="s">
        <v>63</v>
      </c>
      <c r="B19" s="17">
        <f t="array" aca="1" ref="B19" ca="1">INDEX(t!$AW$3:$AW$7,MATCH(TRUE,B18&lt;=t!$AV$3:$AV$7,0))</f>
        <v>0.5</v>
      </c>
    </row>
    <row r="20" spans="1:25" ht="16.5" customHeight="1">
      <c r="A20" s="3" t="s">
        <v>64</v>
      </c>
      <c r="B20" s="15">
        <f ca="1">B18*B19-VLOOKUP(B19,t!$AW$3:$AX$7,2,0)</f>
        <v>3715000000</v>
      </c>
    </row>
    <row r="21" spans="1:25" ht="16.5" customHeight="1">
      <c r="A21" s="30" t="s">
        <v>65</v>
      </c>
      <c r="B21" s="129">
        <f>SUMIF(기초!$A:$A,B14,기초!$T:$T)</f>
        <v>0</v>
      </c>
    </row>
    <row r="22" spans="1:25" ht="16.5" customHeight="1">
      <c r="A22" s="37" t="s">
        <v>232</v>
      </c>
      <c r="B22" s="38">
        <f t="shared" ref="B22" ca="1" si="2">B20-B21</f>
        <v>3715000000</v>
      </c>
    </row>
    <row r="23" spans="1:25" ht="16.5" customHeight="1">
      <c r="A23" s="3"/>
      <c r="B23" s="17"/>
    </row>
    <row r="24" spans="1:25" ht="16.5" customHeight="1">
      <c r="A24" s="39"/>
      <c r="B24" s="17"/>
    </row>
    <row r="25" spans="1:25" ht="16.5" customHeight="1">
      <c r="A25" s="3" t="s">
        <v>241</v>
      </c>
      <c r="B25" s="20">
        <f ca="1">OFFSET(취득!$J$15,MATCH($B9,취득!$J$16:$J$17,0),MATCH(B10,취득!$K$15:$L$15,0))</f>
        <v>0.13400000000000001</v>
      </c>
    </row>
    <row r="26" spans="1:25" ht="16.5" customHeight="1">
      <c r="A26" s="37" t="s">
        <v>231</v>
      </c>
      <c r="B26" s="38">
        <f ca="1">B22*B25</f>
        <v>497810000</v>
      </c>
    </row>
    <row r="27" spans="1:25" ht="16.5" customHeight="1">
      <c r="A27" s="3"/>
      <c r="B27" s="3"/>
    </row>
    <row r="28" spans="1:25" ht="16.5" customHeight="1">
      <c r="A28" s="3"/>
      <c r="B28" s="3"/>
    </row>
    <row r="29" spans="1:25" ht="16.5" customHeight="1">
      <c r="A29" s="3"/>
      <c r="B29" s="3"/>
    </row>
    <row r="30" spans="1:25" ht="16.5" customHeight="1">
      <c r="A30" s="3"/>
      <c r="B30" s="3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 spans="1:25" ht="16.5" customHeight="1">
      <c r="A31" s="3"/>
      <c r="B31" s="3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</row>
    <row r="32" spans="1:25" ht="16.5" customHeight="1">
      <c r="A32" s="3"/>
      <c r="B32" s="3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</row>
    <row r="33" spans="1:25" ht="16.5" customHeight="1">
      <c r="A33" s="3"/>
      <c r="B33" s="3"/>
    </row>
    <row r="34" spans="1:25" ht="16.5" customHeight="1">
      <c r="A34" s="3"/>
      <c r="B34" s="3"/>
    </row>
    <row r="35" spans="1:25" ht="16.5" customHeight="1">
      <c r="A35" s="3"/>
      <c r="B35" s="3"/>
    </row>
    <row r="36" spans="1:25" ht="16.5" customHeight="1">
      <c r="A36" s="3"/>
      <c r="B36" s="3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</row>
    <row r="37" spans="1:25" ht="16.5" customHeight="1">
      <c r="A37" s="3"/>
      <c r="B37" s="3"/>
    </row>
    <row r="38" spans="1:25" ht="16.5" customHeight="1">
      <c r="A38" s="3"/>
      <c r="B38" s="3"/>
    </row>
    <row r="39" spans="1:25" ht="16.5" customHeight="1">
      <c r="A39" s="3"/>
      <c r="B39" s="3"/>
    </row>
    <row r="40" spans="1:25" ht="16.5" customHeight="1">
      <c r="A40" s="42"/>
      <c r="B40" s="42"/>
    </row>
    <row r="41" spans="1:25" ht="16.5" customHeight="1">
      <c r="A41" s="3"/>
      <c r="B41" s="3"/>
    </row>
    <row r="42" spans="1:25" ht="16.5" customHeight="1">
      <c r="A42" s="3"/>
      <c r="B42" s="3"/>
    </row>
    <row r="43" spans="1:25" ht="16.5" customHeight="1">
      <c r="A43" s="3"/>
      <c r="B43" s="3"/>
    </row>
    <row r="44" spans="1:25" ht="16.5" customHeight="1">
      <c r="A44" s="3"/>
      <c r="B44" s="3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</row>
    <row r="45" spans="1:25" ht="16.5" customHeight="1">
      <c r="A45" s="3"/>
      <c r="B45" s="3"/>
    </row>
    <row r="46" spans="1:25" ht="16.5" customHeight="1">
      <c r="A46" s="3"/>
      <c r="B46" s="3"/>
    </row>
    <row r="47" spans="1:25" ht="16.5" customHeight="1">
      <c r="A47" s="3"/>
      <c r="B47" s="3"/>
    </row>
    <row r="48" spans="1:25" ht="16.5" customHeight="1">
      <c r="A48" s="3"/>
      <c r="B48" s="3"/>
    </row>
    <row r="49" spans="1:2" ht="16.5" customHeight="1">
      <c r="A49" s="3"/>
      <c r="B49" s="3"/>
    </row>
    <row r="50" spans="1:2" ht="16.5" customHeight="1">
      <c r="A50" s="3"/>
      <c r="B50" s="3"/>
    </row>
    <row r="51" spans="1:2" ht="16.5" customHeight="1">
      <c r="A51" s="3"/>
      <c r="B51" s="3"/>
    </row>
    <row r="52" spans="1:2" ht="16.5" customHeight="1">
      <c r="A52" s="3"/>
      <c r="B52" s="3"/>
    </row>
    <row r="53" spans="1:2" ht="16.5" customHeight="1">
      <c r="A53" s="3"/>
      <c r="B53" s="3"/>
    </row>
    <row r="54" spans="1:2" ht="16.5" customHeight="1">
      <c r="A54" s="3"/>
      <c r="B54" s="3"/>
    </row>
    <row r="55" spans="1:2" ht="16.5" customHeight="1">
      <c r="A55" s="3"/>
      <c r="B55" s="3"/>
    </row>
    <row r="56" spans="1:2" ht="16.5" customHeight="1">
      <c r="A56" s="3"/>
      <c r="B56" s="3"/>
    </row>
    <row r="57" spans="1:2" ht="16.5" customHeight="1">
      <c r="A57" s="3"/>
      <c r="B57" s="3"/>
    </row>
    <row r="58" spans="1:2" ht="16.5" customHeight="1">
      <c r="A58" s="3"/>
      <c r="B58" s="3"/>
    </row>
    <row r="59" spans="1:2" ht="16.5" customHeight="1">
      <c r="A59" s="3"/>
      <c r="B59" s="3"/>
    </row>
    <row r="60" spans="1:2" ht="16.5" customHeight="1">
      <c r="A60" s="3"/>
      <c r="B60" s="3"/>
    </row>
    <row r="61" spans="1:2" ht="16.5" customHeight="1">
      <c r="A61" s="3"/>
      <c r="B61" s="3"/>
    </row>
    <row r="62" spans="1:2" ht="16.5" customHeight="1">
      <c r="A62" s="3"/>
      <c r="B62" s="3"/>
    </row>
    <row r="63" spans="1:2" ht="16.5" customHeight="1">
      <c r="A63" s="3"/>
      <c r="B63" s="3"/>
    </row>
    <row r="64" spans="1:2" ht="16.5" customHeight="1">
      <c r="A64" s="3"/>
      <c r="B64" s="3"/>
    </row>
    <row r="65" spans="1:2" ht="16.5" customHeight="1">
      <c r="A65" s="3"/>
      <c r="B65" s="3"/>
    </row>
    <row r="66" spans="1:2" ht="16.5" customHeight="1">
      <c r="A66" s="3"/>
      <c r="B66" s="3"/>
    </row>
    <row r="67" spans="1:2" ht="16.5" customHeight="1">
      <c r="A67" s="3"/>
      <c r="B67" s="3"/>
    </row>
    <row r="68" spans="1:2" ht="16.5" customHeight="1">
      <c r="A68" s="3"/>
      <c r="B68" s="3"/>
    </row>
    <row r="69" spans="1:2" ht="16.5" customHeight="1">
      <c r="A69" s="3"/>
      <c r="B69" s="3"/>
    </row>
    <row r="70" spans="1:2" ht="16.5" customHeight="1">
      <c r="A70" s="3"/>
      <c r="B70" s="3"/>
    </row>
    <row r="71" spans="1:2" ht="16.5" customHeight="1">
      <c r="A71" s="3"/>
      <c r="B71" s="3"/>
    </row>
    <row r="72" spans="1:2" ht="16.5" customHeight="1">
      <c r="A72" s="3"/>
      <c r="B72" s="3"/>
    </row>
    <row r="73" spans="1:2" ht="16.5" customHeight="1">
      <c r="A73" s="3"/>
      <c r="B73" s="3"/>
    </row>
    <row r="74" spans="1:2" ht="16.5" customHeight="1">
      <c r="A74" s="3"/>
      <c r="B74" s="3"/>
    </row>
    <row r="75" spans="1:2" ht="16.5" customHeight="1">
      <c r="A75" s="3"/>
      <c r="B75" s="3"/>
    </row>
    <row r="76" spans="1:2" ht="16.5" customHeight="1">
      <c r="A76" s="3"/>
      <c r="B76" s="3"/>
    </row>
    <row r="77" spans="1:2" ht="16.5" customHeight="1">
      <c r="A77" s="3"/>
      <c r="B77" s="3"/>
    </row>
    <row r="78" spans="1:2" ht="16.5" customHeight="1">
      <c r="A78" s="3"/>
      <c r="B78" s="3"/>
    </row>
    <row r="79" spans="1:2" ht="16.5" customHeight="1">
      <c r="A79" s="3"/>
      <c r="B79" s="3"/>
    </row>
    <row r="80" spans="1:2" ht="16.5" customHeight="1">
      <c r="A80" s="3"/>
      <c r="B80" s="3"/>
    </row>
    <row r="81" spans="1:2" ht="16.5" customHeight="1">
      <c r="A81" s="3"/>
      <c r="B81" s="3"/>
    </row>
    <row r="82" spans="1:2" ht="16.5" customHeight="1">
      <c r="A82" s="3"/>
      <c r="B82" s="3"/>
    </row>
    <row r="83" spans="1:2" ht="16.5" customHeight="1">
      <c r="A83" s="3"/>
      <c r="B83" s="3"/>
    </row>
    <row r="84" spans="1:2" ht="16.5" customHeight="1">
      <c r="A84" s="3"/>
      <c r="B84" s="3"/>
    </row>
    <row r="85" spans="1:2" ht="16.5" customHeight="1">
      <c r="A85" s="3"/>
      <c r="B85" s="3"/>
    </row>
    <row r="86" spans="1:2" ht="16.5" customHeight="1">
      <c r="A86" s="3"/>
      <c r="B86" s="3"/>
    </row>
    <row r="87" spans="1:2" ht="16.5" customHeight="1">
      <c r="A87" s="3"/>
      <c r="B87" s="3"/>
    </row>
    <row r="88" spans="1:2" ht="16.5" customHeight="1">
      <c r="A88" s="3"/>
      <c r="B88" s="3"/>
    </row>
    <row r="89" spans="1:2" ht="16.5" customHeight="1">
      <c r="A89" s="3"/>
      <c r="B89" s="3"/>
    </row>
    <row r="90" spans="1:2" ht="16.5" customHeight="1">
      <c r="A90" s="3"/>
      <c r="B90" s="3"/>
    </row>
    <row r="91" spans="1:2" ht="16.5" customHeight="1">
      <c r="A91" s="3"/>
      <c r="B91" s="3"/>
    </row>
    <row r="92" spans="1:2" ht="16.5" customHeight="1">
      <c r="A92" s="3"/>
      <c r="B92" s="3"/>
    </row>
    <row r="93" spans="1:2" ht="16.5" customHeight="1">
      <c r="A93" s="3"/>
      <c r="B93" s="3"/>
    </row>
    <row r="94" spans="1:2" ht="16.5" customHeight="1">
      <c r="A94" s="3"/>
      <c r="B94" s="3"/>
    </row>
    <row r="95" spans="1:2" ht="16.5" customHeight="1">
      <c r="A95" s="3"/>
      <c r="B95" s="3"/>
    </row>
    <row r="96" spans="1:2" ht="16.5" customHeight="1">
      <c r="A96" s="3"/>
      <c r="B96" s="3"/>
    </row>
    <row r="97" spans="1:2" ht="16.5" customHeight="1">
      <c r="A97" s="3"/>
      <c r="B97" s="3"/>
    </row>
    <row r="98" spans="1:2" ht="16.5" customHeight="1">
      <c r="A98" s="3"/>
      <c r="B98" s="3"/>
    </row>
    <row r="99" spans="1:2" ht="16.5" customHeight="1">
      <c r="A99" s="3"/>
      <c r="B99" s="3"/>
    </row>
    <row r="100" spans="1:2" ht="16.5" customHeight="1">
      <c r="A100" s="3"/>
      <c r="B100" s="3"/>
    </row>
    <row r="101" spans="1:2" ht="16.5" customHeight="1">
      <c r="A101" s="3"/>
      <c r="B101" s="3"/>
    </row>
    <row r="102" spans="1:2" ht="16.5" customHeight="1">
      <c r="A102" s="3"/>
      <c r="B102" s="3"/>
    </row>
    <row r="103" spans="1:2" ht="16.5" customHeight="1">
      <c r="A103" s="3"/>
      <c r="B103" s="3"/>
    </row>
    <row r="104" spans="1:2" ht="16.5" customHeight="1">
      <c r="A104" s="3"/>
      <c r="B104" s="3"/>
    </row>
    <row r="105" spans="1:2" ht="16.5" customHeight="1">
      <c r="A105" s="3"/>
      <c r="B105" s="3"/>
    </row>
    <row r="106" spans="1:2" ht="16.5" customHeight="1">
      <c r="A106" s="3"/>
      <c r="B106" s="3"/>
    </row>
    <row r="107" spans="1:2" ht="16.5" customHeight="1">
      <c r="A107" s="3"/>
      <c r="B107" s="3"/>
    </row>
    <row r="108" spans="1:2" ht="16.5" customHeight="1">
      <c r="A108" s="3"/>
      <c r="B108" s="3"/>
    </row>
    <row r="109" spans="1:2" ht="16.5" customHeight="1">
      <c r="A109" s="3"/>
      <c r="B109" s="3"/>
    </row>
    <row r="110" spans="1:2" ht="16.5" customHeight="1">
      <c r="A110" s="3"/>
      <c r="B110" s="3"/>
    </row>
    <row r="111" spans="1:2" ht="16.5" customHeight="1">
      <c r="A111" s="3"/>
      <c r="B111" s="3"/>
    </row>
    <row r="112" spans="1:2" ht="16.5" customHeight="1">
      <c r="A112" s="3"/>
      <c r="B112" s="3"/>
    </row>
    <row r="113" spans="1:2" ht="16.5" customHeight="1">
      <c r="A113" s="3"/>
      <c r="B113" s="3"/>
    </row>
    <row r="114" spans="1:2" ht="16.5" customHeight="1">
      <c r="A114" s="3"/>
      <c r="B114" s="3"/>
    </row>
    <row r="115" spans="1:2" ht="16.5" customHeight="1">
      <c r="A115" s="3"/>
      <c r="B115" s="3"/>
    </row>
    <row r="116" spans="1:2" ht="16.5" customHeight="1">
      <c r="A116" s="3"/>
      <c r="B116" s="3"/>
    </row>
    <row r="117" spans="1:2" ht="16.5" customHeight="1">
      <c r="A117" s="3"/>
      <c r="B117" s="3"/>
    </row>
    <row r="118" spans="1:2" ht="16.5" customHeight="1">
      <c r="A118" s="3"/>
      <c r="B118" s="3"/>
    </row>
    <row r="119" spans="1:2" ht="16.5" customHeight="1">
      <c r="A119" s="3"/>
      <c r="B119" s="3"/>
    </row>
    <row r="120" spans="1:2" ht="16.5" customHeight="1">
      <c r="A120" s="3"/>
      <c r="B120" s="3"/>
    </row>
    <row r="121" spans="1:2" ht="16.5" customHeight="1">
      <c r="A121" s="3"/>
      <c r="B121" s="3"/>
    </row>
    <row r="122" spans="1:2" ht="16.5" customHeight="1">
      <c r="A122" s="3"/>
      <c r="B122" s="3"/>
    </row>
    <row r="123" spans="1:2" ht="16.5" customHeight="1">
      <c r="A123" s="3"/>
      <c r="B123" s="3"/>
    </row>
    <row r="124" spans="1:2" ht="16.5" customHeight="1">
      <c r="A124" s="3"/>
      <c r="B124" s="3"/>
    </row>
    <row r="125" spans="1:2" ht="16.5" customHeight="1">
      <c r="A125" s="3"/>
      <c r="B125" s="3"/>
    </row>
    <row r="126" spans="1:2" ht="16.5" customHeight="1">
      <c r="A126" s="3"/>
      <c r="B126" s="3"/>
    </row>
    <row r="127" spans="1:2" ht="16.5" customHeight="1">
      <c r="A127" s="3"/>
      <c r="B127" s="3"/>
    </row>
    <row r="128" spans="1:2" ht="16.5" customHeight="1">
      <c r="A128" s="3"/>
      <c r="B128" s="3"/>
    </row>
    <row r="129" spans="1:2" ht="16.5" customHeight="1">
      <c r="A129" s="3"/>
      <c r="B129" s="3"/>
    </row>
    <row r="130" spans="1:2" ht="16.5" customHeight="1">
      <c r="A130" s="3"/>
      <c r="B130" s="3"/>
    </row>
    <row r="131" spans="1:2" ht="16.5" customHeight="1">
      <c r="A131" s="3"/>
      <c r="B131" s="3"/>
    </row>
    <row r="132" spans="1:2" ht="16.5" customHeight="1">
      <c r="A132" s="3"/>
      <c r="B132" s="3"/>
    </row>
    <row r="133" spans="1:2" ht="16.5" customHeight="1">
      <c r="A133" s="3"/>
      <c r="B133" s="3"/>
    </row>
    <row r="134" spans="1:2" ht="16.5" customHeight="1">
      <c r="A134" s="3"/>
      <c r="B134" s="3"/>
    </row>
    <row r="135" spans="1:2" ht="16.5" customHeight="1">
      <c r="A135" s="3"/>
      <c r="B135" s="3"/>
    </row>
    <row r="136" spans="1:2" ht="16.5" customHeight="1">
      <c r="A136" s="3"/>
      <c r="B136" s="3"/>
    </row>
    <row r="137" spans="1:2" ht="16.5" customHeight="1">
      <c r="A137" s="3"/>
      <c r="B137" s="3"/>
    </row>
    <row r="138" spans="1:2" ht="16.5" customHeight="1">
      <c r="A138" s="3"/>
      <c r="B138" s="3"/>
    </row>
    <row r="139" spans="1:2" ht="16.5" customHeight="1">
      <c r="A139" s="3"/>
      <c r="B139" s="3"/>
    </row>
    <row r="140" spans="1:2" ht="16.5" customHeight="1">
      <c r="A140" s="3"/>
      <c r="B140" s="3"/>
    </row>
    <row r="141" spans="1:2" ht="16.5" customHeight="1">
      <c r="A141" s="3"/>
      <c r="B141" s="3"/>
    </row>
    <row r="142" spans="1:2" ht="16.5" customHeight="1">
      <c r="A142" s="3"/>
      <c r="B142" s="3"/>
    </row>
    <row r="143" spans="1:2" ht="16.5" customHeight="1">
      <c r="A143" s="3"/>
      <c r="B143" s="3"/>
    </row>
    <row r="144" spans="1:2" ht="16.5" customHeight="1">
      <c r="A144" s="3"/>
      <c r="B144" s="3"/>
    </row>
    <row r="145" spans="1:2" ht="16.5" customHeight="1">
      <c r="A145" s="3"/>
      <c r="B145" s="3"/>
    </row>
    <row r="146" spans="1:2" ht="16.5" customHeight="1">
      <c r="A146" s="3"/>
      <c r="B146" s="3"/>
    </row>
    <row r="147" spans="1:2" ht="16.5" customHeight="1">
      <c r="A147" s="3"/>
      <c r="B147" s="3"/>
    </row>
    <row r="148" spans="1:2" ht="16.5" customHeight="1">
      <c r="A148" s="3"/>
      <c r="B148" s="3"/>
    </row>
    <row r="149" spans="1:2" ht="16.5" customHeight="1">
      <c r="A149" s="3"/>
      <c r="B149" s="3"/>
    </row>
    <row r="150" spans="1:2" ht="16.5" customHeight="1">
      <c r="A150" s="3"/>
      <c r="B150" s="3"/>
    </row>
    <row r="151" spans="1:2" ht="16.5" customHeight="1">
      <c r="A151" s="3"/>
      <c r="B151" s="3"/>
    </row>
    <row r="152" spans="1:2" ht="16.5" customHeight="1">
      <c r="A152" s="3"/>
      <c r="B152" s="3"/>
    </row>
    <row r="153" spans="1:2" ht="16.5" customHeight="1">
      <c r="A153" s="3"/>
      <c r="B153" s="3"/>
    </row>
    <row r="154" spans="1:2" ht="16.5" customHeight="1">
      <c r="A154" s="3"/>
      <c r="B154" s="3"/>
    </row>
    <row r="155" spans="1:2" ht="16.5" customHeight="1">
      <c r="A155" s="3"/>
      <c r="B155" s="3"/>
    </row>
    <row r="156" spans="1:2" ht="16.5" customHeight="1">
      <c r="A156" s="3"/>
      <c r="B156" s="3"/>
    </row>
    <row r="157" spans="1:2" ht="16.5" customHeight="1">
      <c r="A157" s="3"/>
      <c r="B157" s="3"/>
    </row>
    <row r="158" spans="1:2" ht="16.5" customHeight="1">
      <c r="A158" s="3"/>
      <c r="B158" s="3"/>
    </row>
    <row r="159" spans="1:2" ht="16.5" customHeight="1">
      <c r="A159" s="3"/>
      <c r="B159" s="3"/>
    </row>
    <row r="160" spans="1:2" ht="16.5" customHeight="1">
      <c r="A160" s="3"/>
      <c r="B160" s="3"/>
    </row>
    <row r="161" spans="1:2" ht="16.5" customHeight="1">
      <c r="A161" s="3"/>
      <c r="B161" s="3"/>
    </row>
    <row r="162" spans="1:2" ht="16.5" customHeight="1">
      <c r="A162" s="3"/>
      <c r="B162" s="3"/>
    </row>
    <row r="163" spans="1:2" ht="16.5" customHeight="1">
      <c r="A163" s="3"/>
      <c r="B163" s="3"/>
    </row>
    <row r="164" spans="1:2" ht="16.5" customHeight="1">
      <c r="A164" s="3"/>
      <c r="B164" s="3"/>
    </row>
    <row r="165" spans="1:2" ht="16.5" customHeight="1">
      <c r="A165" s="3"/>
      <c r="B165" s="3"/>
    </row>
    <row r="166" spans="1:2" ht="16.5" customHeight="1">
      <c r="A166" s="3"/>
      <c r="B166" s="3"/>
    </row>
    <row r="167" spans="1:2" ht="16.5" customHeight="1">
      <c r="A167" s="3"/>
      <c r="B167" s="3"/>
    </row>
    <row r="168" spans="1:2" ht="16.5" customHeight="1">
      <c r="A168" s="3"/>
      <c r="B168" s="3"/>
    </row>
    <row r="169" spans="1:2" ht="16.5" customHeight="1">
      <c r="A169" s="3"/>
      <c r="B169" s="3"/>
    </row>
    <row r="170" spans="1:2" ht="16.5" customHeight="1">
      <c r="A170" s="3"/>
      <c r="B170" s="3"/>
    </row>
    <row r="171" spans="1:2" ht="16.5" customHeight="1">
      <c r="A171" s="3"/>
      <c r="B171" s="3"/>
    </row>
    <row r="172" spans="1:2" ht="16.5" customHeight="1">
      <c r="A172" s="3"/>
      <c r="B172" s="3"/>
    </row>
    <row r="173" spans="1:2" ht="16.5" customHeight="1">
      <c r="A173" s="3"/>
      <c r="B173" s="3"/>
    </row>
    <row r="174" spans="1:2" ht="16.5" customHeight="1">
      <c r="A174" s="3"/>
      <c r="B174" s="3"/>
    </row>
    <row r="175" spans="1:2" ht="16.5" customHeight="1">
      <c r="A175" s="3"/>
      <c r="B175" s="3"/>
    </row>
    <row r="176" spans="1:2" ht="16.5" customHeight="1">
      <c r="A176" s="3"/>
      <c r="B176" s="3"/>
    </row>
    <row r="177" spans="1:2" ht="16.5" customHeight="1">
      <c r="A177" s="3"/>
      <c r="B177" s="3"/>
    </row>
    <row r="178" spans="1:2" ht="16.5" customHeight="1">
      <c r="A178" s="3"/>
      <c r="B178" s="3"/>
    </row>
    <row r="179" spans="1:2" ht="16.5" customHeight="1">
      <c r="A179" s="3"/>
      <c r="B179" s="3"/>
    </row>
    <row r="180" spans="1:2" ht="16.5" customHeight="1">
      <c r="A180" s="3"/>
      <c r="B180" s="3"/>
    </row>
    <row r="181" spans="1:2" ht="16.5" customHeight="1">
      <c r="A181" s="3"/>
      <c r="B181" s="3"/>
    </row>
    <row r="182" spans="1:2" ht="16.5" customHeight="1">
      <c r="A182" s="3"/>
      <c r="B182" s="3"/>
    </row>
    <row r="183" spans="1:2" ht="16.5" customHeight="1">
      <c r="A183" s="3"/>
      <c r="B183" s="3"/>
    </row>
    <row r="184" spans="1:2" ht="16.5" customHeight="1">
      <c r="A184" s="3"/>
      <c r="B184" s="3"/>
    </row>
    <row r="185" spans="1:2" ht="16.5" customHeight="1">
      <c r="A185" s="3"/>
      <c r="B185" s="3"/>
    </row>
    <row r="186" spans="1:2" ht="16.5" customHeight="1">
      <c r="A186" s="3"/>
      <c r="B186" s="3"/>
    </row>
    <row r="187" spans="1:2" ht="16.5" customHeight="1">
      <c r="A187" s="3"/>
      <c r="B187" s="3"/>
    </row>
    <row r="188" spans="1:2" ht="16.5" customHeight="1">
      <c r="A188" s="3"/>
      <c r="B188" s="3"/>
    </row>
    <row r="189" spans="1:2" ht="16.5" customHeight="1">
      <c r="A189" s="3"/>
      <c r="B189" s="3"/>
    </row>
    <row r="190" spans="1:2" ht="16.5" customHeight="1">
      <c r="A190" s="3"/>
      <c r="B190" s="3"/>
    </row>
    <row r="191" spans="1:2" ht="16.5" customHeight="1">
      <c r="A191" s="3"/>
      <c r="B191" s="3"/>
    </row>
    <row r="192" spans="1:2" ht="16.5" customHeight="1">
      <c r="A192" s="3"/>
      <c r="B192" s="3"/>
    </row>
    <row r="193" spans="1:2" ht="16.5" customHeight="1">
      <c r="A193" s="3"/>
      <c r="B193" s="3"/>
    </row>
    <row r="194" spans="1:2" ht="16.5" customHeight="1">
      <c r="A194" s="3"/>
      <c r="B194" s="3"/>
    </row>
    <row r="195" spans="1:2" ht="16.5" customHeight="1">
      <c r="A195" s="3"/>
      <c r="B195" s="3"/>
    </row>
    <row r="196" spans="1:2" ht="16.5" customHeight="1">
      <c r="A196" s="3"/>
      <c r="B196" s="3"/>
    </row>
    <row r="197" spans="1:2" ht="16.5" customHeight="1">
      <c r="A197" s="3"/>
      <c r="B197" s="3"/>
    </row>
    <row r="198" spans="1:2" ht="16.5" customHeight="1">
      <c r="A198" s="3"/>
      <c r="B198" s="3"/>
    </row>
    <row r="199" spans="1:2" ht="16.5" customHeight="1">
      <c r="A199" s="3"/>
      <c r="B199" s="3"/>
    </row>
    <row r="200" spans="1:2" ht="16.5" customHeight="1">
      <c r="A200" s="3"/>
      <c r="B200" s="3"/>
    </row>
    <row r="201" spans="1:2" ht="16.5" customHeight="1">
      <c r="A201" s="3"/>
      <c r="B201" s="3"/>
    </row>
    <row r="202" spans="1:2" ht="16.5" customHeight="1">
      <c r="A202" s="3"/>
      <c r="B202" s="3"/>
    </row>
    <row r="203" spans="1:2" ht="16.5" customHeight="1">
      <c r="A203" s="3"/>
      <c r="B203" s="3"/>
    </row>
    <row r="204" spans="1:2" ht="16.5" customHeight="1">
      <c r="A204" s="3"/>
      <c r="B204" s="3"/>
    </row>
    <row r="205" spans="1:2" ht="16.5" customHeight="1">
      <c r="A205" s="3"/>
      <c r="B205" s="3"/>
    </row>
    <row r="206" spans="1:2" ht="16.5" customHeight="1">
      <c r="A206" s="3"/>
      <c r="B206" s="3"/>
    </row>
    <row r="207" spans="1:2" ht="16.5" customHeight="1">
      <c r="A207" s="3"/>
      <c r="B207" s="3"/>
    </row>
    <row r="208" spans="1:2" ht="16.5" customHeight="1">
      <c r="A208" s="3"/>
      <c r="B208" s="3"/>
    </row>
    <row r="209" spans="1:2" ht="16.5" customHeight="1">
      <c r="A209" s="3"/>
      <c r="B209" s="3"/>
    </row>
    <row r="210" spans="1:2" ht="16.5" customHeight="1">
      <c r="A210" s="3"/>
      <c r="B210" s="3"/>
    </row>
    <row r="211" spans="1:2" ht="16.5" customHeight="1">
      <c r="A211" s="3"/>
      <c r="B211" s="3"/>
    </row>
    <row r="212" spans="1:2" ht="16.5" customHeight="1">
      <c r="A212" s="3"/>
      <c r="B212" s="3"/>
    </row>
    <row r="213" spans="1:2" ht="16.5" customHeight="1">
      <c r="A213" s="3"/>
      <c r="B213" s="3"/>
    </row>
    <row r="214" spans="1:2" ht="16.5" customHeight="1">
      <c r="A214" s="3"/>
      <c r="B214" s="3"/>
    </row>
    <row r="215" spans="1:2" ht="16.5" customHeight="1">
      <c r="A215" s="3"/>
      <c r="B215" s="3"/>
    </row>
    <row r="216" spans="1:2" ht="16.5" customHeight="1">
      <c r="A216" s="3"/>
      <c r="B216" s="3"/>
    </row>
    <row r="217" spans="1:2" ht="16.5" customHeight="1">
      <c r="A217" s="3"/>
      <c r="B217" s="3"/>
    </row>
    <row r="218" spans="1:2" ht="16.5" customHeight="1">
      <c r="A218" s="3"/>
      <c r="B218" s="3"/>
    </row>
    <row r="219" spans="1:2" ht="16.5" customHeight="1">
      <c r="A219" s="3"/>
      <c r="B219" s="3"/>
    </row>
    <row r="220" spans="1:2" ht="16.5" customHeight="1">
      <c r="A220" s="3"/>
      <c r="B220" s="3"/>
    </row>
    <row r="221" spans="1:2" ht="16.5" customHeight="1">
      <c r="A221" s="3"/>
      <c r="B221" s="3"/>
    </row>
    <row r="222" spans="1:2" ht="16.5" customHeight="1">
      <c r="A222" s="3"/>
      <c r="B222" s="3"/>
    </row>
    <row r="223" spans="1:2" ht="16.5" customHeight="1">
      <c r="A223" s="3"/>
      <c r="B223" s="3"/>
    </row>
    <row r="224" spans="1:2" ht="16.5" customHeight="1">
      <c r="A224" s="3"/>
      <c r="B224" s="3"/>
    </row>
    <row r="225" spans="1:2" ht="16.5" customHeight="1">
      <c r="A225" s="3"/>
      <c r="B225" s="3"/>
    </row>
    <row r="226" spans="1:2" ht="16.5" customHeight="1">
      <c r="A226" s="3"/>
      <c r="B226" s="3"/>
    </row>
    <row r="227" spans="1:2" ht="16.5" customHeight="1">
      <c r="A227" s="3"/>
      <c r="B227" s="3"/>
    </row>
    <row r="228" spans="1:2" ht="16.5" customHeight="1">
      <c r="A228" s="3"/>
      <c r="B228" s="3"/>
    </row>
    <row r="229" spans="1:2" ht="16.5" customHeight="1">
      <c r="A229" s="3"/>
      <c r="B229" s="3"/>
    </row>
    <row r="230" spans="1:2" ht="16.5" customHeight="1">
      <c r="A230" s="3"/>
      <c r="B230" s="3"/>
    </row>
    <row r="231" spans="1:2" ht="16.5" customHeight="1">
      <c r="A231" s="3"/>
      <c r="B231" s="3"/>
    </row>
    <row r="232" spans="1:2" ht="16.5" customHeight="1">
      <c r="A232" s="3"/>
      <c r="B232" s="3"/>
    </row>
    <row r="233" spans="1:2" ht="16.5" customHeight="1">
      <c r="A233" s="3"/>
      <c r="B233" s="3"/>
    </row>
    <row r="234" spans="1:2" ht="16.5" customHeight="1">
      <c r="A234" s="3"/>
      <c r="B234" s="3"/>
    </row>
    <row r="235" spans="1:2" ht="16.5" customHeight="1">
      <c r="A235" s="3"/>
      <c r="B235" s="3"/>
    </row>
    <row r="236" spans="1:2" ht="16.5" customHeight="1">
      <c r="A236" s="3"/>
      <c r="B236" s="3"/>
    </row>
    <row r="237" spans="1:2" ht="16.5" customHeight="1">
      <c r="A237" s="3"/>
      <c r="B237" s="3"/>
    </row>
    <row r="238" spans="1:2" ht="16.5" customHeight="1">
      <c r="A238" s="3"/>
      <c r="B238" s="3"/>
    </row>
    <row r="239" spans="1:2" ht="16.5" customHeight="1">
      <c r="A239" s="3"/>
      <c r="B239" s="3"/>
    </row>
    <row r="240" spans="1:2" ht="16.5" customHeight="1">
      <c r="A240" s="3"/>
      <c r="B240" s="3"/>
    </row>
    <row r="241" spans="1:2" ht="16.5" customHeight="1">
      <c r="A241" s="3"/>
      <c r="B241" s="3"/>
    </row>
    <row r="242" spans="1:2" ht="16.5" customHeight="1">
      <c r="A242" s="3"/>
      <c r="B242" s="3"/>
    </row>
    <row r="243" spans="1:2" ht="16.5" customHeight="1">
      <c r="A243" s="3"/>
      <c r="B243" s="3"/>
    </row>
    <row r="244" spans="1:2" ht="16.5" customHeight="1">
      <c r="A244" s="3"/>
      <c r="B244" s="3"/>
    </row>
    <row r="245" spans="1:2" ht="16.5" customHeight="1">
      <c r="A245" s="3"/>
      <c r="B245" s="3"/>
    </row>
    <row r="246" spans="1:2" ht="16.5" customHeight="1">
      <c r="A246" s="3"/>
      <c r="B246" s="3"/>
    </row>
    <row r="247" spans="1:2" ht="16.5" customHeight="1">
      <c r="A247" s="3"/>
      <c r="B247" s="3"/>
    </row>
    <row r="248" spans="1:2" ht="16.5" customHeight="1">
      <c r="A248" s="3"/>
      <c r="B248" s="3"/>
    </row>
    <row r="249" spans="1:2" ht="16.5" customHeight="1">
      <c r="A249" s="3"/>
      <c r="B249" s="3"/>
    </row>
    <row r="250" spans="1:2" ht="16.5" customHeight="1">
      <c r="A250" s="3"/>
      <c r="B250" s="3"/>
    </row>
    <row r="251" spans="1:2" ht="16.5" customHeight="1">
      <c r="A251" s="3"/>
      <c r="B251" s="3"/>
    </row>
    <row r="252" spans="1:2" ht="16.5" customHeight="1">
      <c r="A252" s="3"/>
      <c r="B252" s="3"/>
    </row>
    <row r="253" spans="1:2" ht="16.5" customHeight="1">
      <c r="A253" s="3"/>
      <c r="B253" s="3"/>
    </row>
    <row r="254" spans="1:2" ht="16.5" customHeight="1">
      <c r="A254" s="3"/>
      <c r="B254" s="3"/>
    </row>
    <row r="255" spans="1:2" ht="16.5" customHeight="1">
      <c r="A255" s="3"/>
      <c r="B255" s="3"/>
    </row>
    <row r="256" spans="1:2" ht="16.5" customHeight="1">
      <c r="A256" s="3"/>
      <c r="B256" s="3"/>
    </row>
    <row r="257" spans="1:2" ht="16.5" customHeight="1">
      <c r="A257" s="3"/>
      <c r="B257" s="3"/>
    </row>
    <row r="258" spans="1:2" ht="16.5" customHeight="1">
      <c r="A258" s="3"/>
      <c r="B258" s="3"/>
    </row>
    <row r="259" spans="1:2" ht="16.5" customHeight="1">
      <c r="A259" s="3"/>
      <c r="B259" s="3"/>
    </row>
    <row r="260" spans="1:2" ht="16.5" customHeight="1">
      <c r="A260" s="3"/>
      <c r="B260" s="3"/>
    </row>
    <row r="261" spans="1:2" ht="16.5" customHeight="1">
      <c r="A261" s="3"/>
      <c r="B261" s="3"/>
    </row>
    <row r="262" spans="1:2" ht="16.5" customHeight="1">
      <c r="A262" s="3"/>
      <c r="B262" s="3"/>
    </row>
    <row r="263" spans="1:2" ht="16.5" customHeight="1">
      <c r="A263" s="3"/>
      <c r="B263" s="3"/>
    </row>
    <row r="264" spans="1:2" ht="16.5" customHeight="1">
      <c r="A264" s="3"/>
      <c r="B264" s="3"/>
    </row>
    <row r="265" spans="1:2" ht="16.5" customHeight="1">
      <c r="A265" s="3"/>
      <c r="B265" s="3"/>
    </row>
    <row r="266" spans="1:2" ht="16.5" customHeight="1">
      <c r="A266" s="3"/>
      <c r="B266" s="3"/>
    </row>
    <row r="267" spans="1:2" ht="16.5" customHeight="1">
      <c r="A267" s="3"/>
      <c r="B267" s="3"/>
    </row>
    <row r="268" spans="1:2" ht="16.5" customHeight="1">
      <c r="A268" s="3"/>
      <c r="B268" s="3"/>
    </row>
    <row r="269" spans="1:2" ht="16.5" customHeight="1">
      <c r="A269" s="3"/>
      <c r="B269" s="3"/>
    </row>
    <row r="270" spans="1:2" ht="16.5" customHeight="1">
      <c r="A270" s="3"/>
      <c r="B270" s="3"/>
    </row>
    <row r="271" spans="1:2" ht="16.5" customHeight="1">
      <c r="A271" s="3"/>
      <c r="B271" s="3"/>
    </row>
    <row r="272" spans="1:2" ht="16.5" customHeight="1">
      <c r="A272" s="3"/>
      <c r="B272" s="3"/>
    </row>
    <row r="273" spans="1:2" ht="16.5" customHeight="1">
      <c r="A273" s="3"/>
      <c r="B273" s="3"/>
    </row>
    <row r="274" spans="1:2" ht="16.5" customHeight="1">
      <c r="A274" s="3"/>
      <c r="B274" s="3"/>
    </row>
    <row r="275" spans="1:2" ht="16.5" customHeight="1">
      <c r="A275" s="3"/>
      <c r="B275" s="3"/>
    </row>
    <row r="276" spans="1:2" ht="16.5" customHeight="1">
      <c r="A276" s="3"/>
      <c r="B276" s="3"/>
    </row>
    <row r="277" spans="1:2" ht="16.5" customHeight="1">
      <c r="A277" s="3"/>
      <c r="B277" s="3"/>
    </row>
    <row r="278" spans="1:2" ht="16.5" customHeight="1">
      <c r="A278" s="3"/>
      <c r="B278" s="3"/>
    </row>
    <row r="279" spans="1:2" ht="16.5" customHeight="1">
      <c r="A279" s="3"/>
      <c r="B279" s="3"/>
    </row>
    <row r="280" spans="1:2" ht="16.5" customHeight="1">
      <c r="A280" s="3"/>
      <c r="B280" s="3"/>
    </row>
    <row r="281" spans="1:2" ht="16.5" customHeight="1">
      <c r="A281" s="3"/>
      <c r="B281" s="3"/>
    </row>
    <row r="282" spans="1:2" ht="16.5" customHeight="1">
      <c r="A282" s="3"/>
      <c r="B282" s="3"/>
    </row>
    <row r="283" spans="1:2" ht="16.5" customHeight="1">
      <c r="A283" s="3"/>
      <c r="B283" s="3"/>
    </row>
    <row r="284" spans="1:2" ht="16.5" customHeight="1">
      <c r="A284" s="3"/>
      <c r="B284" s="3"/>
    </row>
    <row r="285" spans="1:2" ht="16.5" customHeight="1">
      <c r="A285" s="3"/>
      <c r="B285" s="3"/>
    </row>
    <row r="286" spans="1:2" ht="16.5" customHeight="1">
      <c r="A286" s="3"/>
      <c r="B286" s="3"/>
    </row>
    <row r="287" spans="1:2" ht="16.5" customHeight="1">
      <c r="A287" s="3"/>
      <c r="B287" s="3"/>
    </row>
    <row r="288" spans="1:2" ht="16.5" customHeight="1">
      <c r="A288" s="3"/>
      <c r="B288" s="3"/>
    </row>
    <row r="289" spans="1:2" ht="16.5" customHeight="1">
      <c r="A289" s="3"/>
      <c r="B289" s="3"/>
    </row>
    <row r="290" spans="1:2" ht="16.5" customHeight="1">
      <c r="A290" s="3"/>
      <c r="B290" s="3"/>
    </row>
    <row r="291" spans="1:2" ht="16.5" customHeight="1">
      <c r="A291" s="3"/>
      <c r="B291" s="3"/>
    </row>
    <row r="292" spans="1:2" ht="16.5" customHeight="1">
      <c r="A292" s="3"/>
      <c r="B292" s="3"/>
    </row>
    <row r="293" spans="1:2" ht="16.5" customHeight="1">
      <c r="A293" s="3"/>
      <c r="B293" s="3"/>
    </row>
    <row r="294" spans="1:2" ht="16.5" customHeight="1">
      <c r="A294" s="3"/>
      <c r="B294" s="3"/>
    </row>
    <row r="295" spans="1:2" ht="16.5" customHeight="1">
      <c r="A295" s="3"/>
      <c r="B295" s="3"/>
    </row>
    <row r="296" spans="1:2" ht="16.5" customHeight="1">
      <c r="A296" s="3"/>
      <c r="B296" s="3"/>
    </row>
    <row r="297" spans="1:2" ht="16.5" customHeight="1">
      <c r="A297" s="3"/>
      <c r="B297" s="3"/>
    </row>
    <row r="298" spans="1:2" ht="16.5" customHeight="1">
      <c r="A298" s="3"/>
      <c r="B298" s="3"/>
    </row>
    <row r="299" spans="1:2" ht="16.5" customHeight="1">
      <c r="A299" s="3"/>
      <c r="B299" s="3"/>
    </row>
    <row r="300" spans="1:2" ht="16.5" customHeight="1">
      <c r="A300" s="3"/>
      <c r="B300" s="3"/>
    </row>
    <row r="301" spans="1:2" ht="16.5" customHeight="1">
      <c r="A301" s="3"/>
      <c r="B301" s="3"/>
    </row>
    <row r="302" spans="1:2" ht="16.5" customHeight="1">
      <c r="A302" s="3"/>
      <c r="B302" s="3"/>
    </row>
    <row r="303" spans="1:2" ht="16.5" customHeight="1">
      <c r="A303" s="3"/>
      <c r="B303" s="3"/>
    </row>
    <row r="304" spans="1:2" ht="16.5" customHeight="1">
      <c r="A304" s="3"/>
      <c r="B304" s="3"/>
    </row>
    <row r="305" spans="1:2" ht="16.5" customHeight="1">
      <c r="A305" s="3"/>
      <c r="B305" s="3"/>
    </row>
    <row r="306" spans="1:2" ht="16.5" customHeight="1">
      <c r="A306" s="3"/>
      <c r="B306" s="3"/>
    </row>
    <row r="307" spans="1:2" ht="16.5" customHeight="1">
      <c r="A307" s="3"/>
      <c r="B307" s="3"/>
    </row>
    <row r="308" spans="1:2" ht="16.5" customHeight="1">
      <c r="A308" s="3"/>
      <c r="B308" s="3"/>
    </row>
    <row r="309" spans="1:2" ht="16.5" customHeight="1">
      <c r="A309" s="3"/>
      <c r="B309" s="3"/>
    </row>
    <row r="310" spans="1:2" ht="16.5" customHeight="1">
      <c r="A310" s="3"/>
      <c r="B310" s="3"/>
    </row>
    <row r="311" spans="1:2" ht="16.5" customHeight="1">
      <c r="A311" s="3"/>
      <c r="B311" s="3"/>
    </row>
    <row r="312" spans="1:2" ht="16.5" customHeight="1">
      <c r="A312" s="3"/>
      <c r="B312" s="3"/>
    </row>
    <row r="313" spans="1:2" ht="16.5" customHeight="1">
      <c r="A313" s="3"/>
      <c r="B313" s="3"/>
    </row>
    <row r="314" spans="1:2" ht="16.5" customHeight="1">
      <c r="A314" s="3"/>
      <c r="B314" s="3"/>
    </row>
    <row r="315" spans="1:2" ht="16.5" customHeight="1">
      <c r="A315" s="3"/>
      <c r="B315" s="3"/>
    </row>
    <row r="316" spans="1:2" ht="16.5" customHeight="1">
      <c r="A316" s="3"/>
      <c r="B316" s="3"/>
    </row>
    <row r="317" spans="1:2" ht="16.5" customHeight="1">
      <c r="A317" s="3"/>
      <c r="B317" s="3"/>
    </row>
    <row r="318" spans="1:2" ht="16.5" customHeight="1">
      <c r="A318" s="3"/>
      <c r="B318" s="3"/>
    </row>
    <row r="319" spans="1:2" ht="16.5" customHeight="1">
      <c r="A319" s="3"/>
      <c r="B319" s="3"/>
    </row>
    <row r="320" spans="1:2" ht="16.5" customHeight="1">
      <c r="A320" s="3"/>
      <c r="B320" s="3"/>
    </row>
    <row r="321" spans="1:2" ht="16.5" customHeight="1">
      <c r="A321" s="3"/>
      <c r="B321" s="3"/>
    </row>
    <row r="322" spans="1:2" ht="16.5" customHeight="1">
      <c r="A322" s="3"/>
      <c r="B322" s="3"/>
    </row>
    <row r="323" spans="1:2" ht="16.5" customHeight="1">
      <c r="A323" s="3"/>
      <c r="B323" s="3"/>
    </row>
    <row r="324" spans="1:2" ht="16.5" customHeight="1">
      <c r="A324" s="3"/>
      <c r="B324" s="3"/>
    </row>
    <row r="325" spans="1:2" ht="16.5" customHeight="1">
      <c r="A325" s="3"/>
      <c r="B325" s="3"/>
    </row>
    <row r="326" spans="1:2" ht="16.5" customHeight="1">
      <c r="A326" s="3"/>
      <c r="B326" s="3"/>
    </row>
    <row r="327" spans="1:2" ht="16.5" customHeight="1">
      <c r="A327" s="3"/>
      <c r="B327" s="3"/>
    </row>
    <row r="328" spans="1:2" ht="16.5" customHeight="1">
      <c r="A328" s="3"/>
      <c r="B328" s="3"/>
    </row>
    <row r="329" spans="1:2" ht="16.5" customHeight="1">
      <c r="A329" s="3"/>
      <c r="B329" s="3"/>
    </row>
    <row r="330" spans="1:2" ht="16.5" customHeight="1">
      <c r="A330" s="3"/>
      <c r="B330" s="3"/>
    </row>
    <row r="331" spans="1:2" ht="16.5" customHeight="1">
      <c r="A331" s="3"/>
      <c r="B331" s="3"/>
    </row>
    <row r="332" spans="1:2" ht="16.5" customHeight="1">
      <c r="A332" s="3"/>
      <c r="B332" s="3"/>
    </row>
    <row r="333" spans="1:2" ht="16.5" customHeight="1">
      <c r="A333" s="3"/>
      <c r="B333" s="3"/>
    </row>
    <row r="334" spans="1:2" ht="16.5" customHeight="1">
      <c r="A334" s="3"/>
      <c r="B334" s="3"/>
    </row>
    <row r="335" spans="1:2" ht="16.5" customHeight="1">
      <c r="A335" s="3"/>
      <c r="B335" s="3"/>
    </row>
    <row r="336" spans="1:2" ht="16.5" customHeight="1">
      <c r="A336" s="3"/>
      <c r="B336" s="3"/>
    </row>
    <row r="337" spans="1:2" ht="16.5" customHeight="1">
      <c r="A337" s="3"/>
      <c r="B337" s="3"/>
    </row>
    <row r="338" spans="1:2" ht="16.5" customHeight="1">
      <c r="A338" s="3"/>
      <c r="B338" s="3"/>
    </row>
    <row r="339" spans="1:2" ht="16.5" customHeight="1">
      <c r="A339" s="3"/>
      <c r="B339" s="3"/>
    </row>
    <row r="340" spans="1:2" ht="16.5" customHeight="1">
      <c r="A340" s="3"/>
      <c r="B340" s="3"/>
    </row>
    <row r="341" spans="1:2" ht="16.5" customHeight="1">
      <c r="A341" s="3"/>
      <c r="B341" s="3"/>
    </row>
    <row r="342" spans="1:2" ht="16.5" customHeight="1">
      <c r="A342" s="3"/>
      <c r="B342" s="3"/>
    </row>
    <row r="343" spans="1:2" ht="16.5" customHeight="1">
      <c r="A343" s="3"/>
      <c r="B343" s="3"/>
    </row>
    <row r="344" spans="1:2" ht="16.5" customHeight="1">
      <c r="A344" s="3"/>
      <c r="B344" s="3"/>
    </row>
    <row r="345" spans="1:2" ht="16.5" customHeight="1">
      <c r="A345" s="3"/>
      <c r="B345" s="3"/>
    </row>
    <row r="346" spans="1:2" ht="16.5" customHeight="1">
      <c r="A346" s="3"/>
      <c r="B346" s="3"/>
    </row>
    <row r="347" spans="1:2" ht="16.5" customHeight="1">
      <c r="A347" s="3"/>
      <c r="B347" s="3"/>
    </row>
    <row r="348" spans="1:2" ht="16.5" customHeight="1">
      <c r="A348" s="3"/>
      <c r="B348" s="3"/>
    </row>
    <row r="349" spans="1:2" ht="16.5" customHeight="1">
      <c r="A349" s="3"/>
      <c r="B349" s="3"/>
    </row>
    <row r="350" spans="1:2" ht="16.5" customHeight="1">
      <c r="A350" s="3"/>
      <c r="B350" s="3"/>
    </row>
    <row r="351" spans="1:2" ht="16.5" customHeight="1">
      <c r="A351" s="3"/>
      <c r="B351" s="3"/>
    </row>
    <row r="352" spans="1:2" ht="16.5" customHeight="1">
      <c r="A352" s="3"/>
      <c r="B352" s="3"/>
    </row>
    <row r="353" spans="1:2" ht="16.5" customHeight="1">
      <c r="A353" s="3"/>
      <c r="B353" s="3"/>
    </row>
    <row r="354" spans="1:2" ht="16.5" customHeight="1">
      <c r="A354" s="3"/>
      <c r="B354" s="3"/>
    </row>
    <row r="355" spans="1:2" ht="16.5" customHeight="1">
      <c r="A355" s="3"/>
      <c r="B355" s="3"/>
    </row>
    <row r="356" spans="1:2" ht="16.5" customHeight="1">
      <c r="A356" s="3"/>
      <c r="B356" s="3"/>
    </row>
    <row r="357" spans="1:2" ht="16.5" customHeight="1">
      <c r="A357" s="3"/>
      <c r="B357" s="3"/>
    </row>
    <row r="358" spans="1:2" ht="16.5" customHeight="1">
      <c r="A358" s="3"/>
      <c r="B358" s="3"/>
    </row>
    <row r="359" spans="1:2" ht="16.5" customHeight="1">
      <c r="A359" s="3"/>
      <c r="B359" s="3"/>
    </row>
    <row r="360" spans="1:2" ht="16.5" customHeight="1">
      <c r="A360" s="3"/>
      <c r="B360" s="3"/>
    </row>
    <row r="361" spans="1:2" ht="16.5" customHeight="1">
      <c r="A361" s="3"/>
      <c r="B361" s="3"/>
    </row>
    <row r="362" spans="1:2" ht="16.5" customHeight="1">
      <c r="A362" s="3"/>
      <c r="B362" s="3"/>
    </row>
    <row r="363" spans="1:2" ht="16.5" customHeight="1">
      <c r="A363" s="3"/>
      <c r="B363" s="3"/>
    </row>
    <row r="364" spans="1:2" ht="16.5" customHeight="1">
      <c r="A364" s="3"/>
      <c r="B364" s="3"/>
    </row>
    <row r="365" spans="1:2" ht="16.5" customHeight="1">
      <c r="A365" s="3"/>
      <c r="B365" s="3"/>
    </row>
    <row r="366" spans="1:2" ht="16.5" customHeight="1">
      <c r="A366" s="3"/>
      <c r="B366" s="3"/>
    </row>
    <row r="367" spans="1:2" ht="16.5" customHeight="1">
      <c r="A367" s="3"/>
      <c r="B367" s="3"/>
    </row>
    <row r="368" spans="1:2" ht="16.5" customHeight="1">
      <c r="A368" s="3"/>
      <c r="B368" s="3"/>
    </row>
    <row r="369" spans="1:2" ht="16.5" customHeight="1">
      <c r="A369" s="3"/>
      <c r="B369" s="3"/>
    </row>
    <row r="370" spans="1:2" ht="16.5" customHeight="1">
      <c r="A370" s="3"/>
      <c r="B370" s="3"/>
    </row>
    <row r="371" spans="1:2" ht="16.5" customHeight="1">
      <c r="A371" s="3"/>
      <c r="B371" s="3"/>
    </row>
    <row r="372" spans="1:2" ht="16.5" customHeight="1">
      <c r="A372" s="3"/>
      <c r="B372" s="3"/>
    </row>
    <row r="373" spans="1:2" ht="16.5" customHeight="1">
      <c r="A373" s="3"/>
      <c r="B373" s="3"/>
    </row>
    <row r="374" spans="1:2" ht="16.5" customHeight="1">
      <c r="A374" s="3"/>
      <c r="B374" s="3"/>
    </row>
    <row r="375" spans="1:2" ht="16.5" customHeight="1">
      <c r="A375" s="3"/>
      <c r="B375" s="3"/>
    </row>
    <row r="376" spans="1:2" ht="16.5" customHeight="1">
      <c r="A376" s="3"/>
      <c r="B376" s="3"/>
    </row>
    <row r="377" spans="1:2" ht="16.5" customHeight="1">
      <c r="A377" s="3"/>
      <c r="B377" s="3"/>
    </row>
    <row r="378" spans="1:2" ht="16.5" customHeight="1">
      <c r="A378" s="3"/>
      <c r="B378" s="3"/>
    </row>
    <row r="379" spans="1:2" ht="16.5" customHeight="1">
      <c r="A379" s="3"/>
      <c r="B379" s="3"/>
    </row>
    <row r="380" spans="1:2" ht="16.5" customHeight="1">
      <c r="A380" s="3"/>
      <c r="B380" s="3"/>
    </row>
    <row r="381" spans="1:2" ht="16.5" customHeight="1">
      <c r="A381" s="3"/>
      <c r="B381" s="3"/>
    </row>
    <row r="382" spans="1:2" ht="16.5" customHeight="1">
      <c r="A382" s="3"/>
      <c r="B382" s="3"/>
    </row>
    <row r="383" spans="1:2" ht="16.5" customHeight="1">
      <c r="A383" s="3"/>
      <c r="B383" s="3"/>
    </row>
    <row r="384" spans="1:2" ht="16.5" customHeight="1">
      <c r="A384" s="3"/>
      <c r="B384" s="3"/>
    </row>
    <row r="385" spans="1:2" ht="16.5" customHeight="1">
      <c r="A385" s="3"/>
      <c r="B385" s="3"/>
    </row>
    <row r="386" spans="1:2" ht="16.5" customHeight="1">
      <c r="A386" s="3"/>
      <c r="B386" s="3"/>
    </row>
    <row r="387" spans="1:2" ht="16.5" customHeight="1">
      <c r="A387" s="3"/>
      <c r="B387" s="3"/>
    </row>
    <row r="388" spans="1:2" ht="16.5" customHeight="1">
      <c r="A388" s="3"/>
      <c r="B388" s="3"/>
    </row>
    <row r="389" spans="1:2" ht="16.5" customHeight="1">
      <c r="A389" s="3"/>
      <c r="B389" s="3"/>
    </row>
    <row r="390" spans="1:2" ht="16.5" customHeight="1">
      <c r="A390" s="3"/>
      <c r="B390" s="3"/>
    </row>
    <row r="391" spans="1:2" ht="16.5" customHeight="1">
      <c r="A391" s="3"/>
      <c r="B391" s="3"/>
    </row>
    <row r="392" spans="1:2" ht="16.5" customHeight="1">
      <c r="A392" s="3"/>
      <c r="B392" s="3"/>
    </row>
    <row r="393" spans="1:2" ht="16.5" customHeight="1">
      <c r="A393" s="3"/>
      <c r="B393" s="3"/>
    </row>
    <row r="394" spans="1:2" ht="16.5" customHeight="1">
      <c r="A394" s="3"/>
      <c r="B394" s="3"/>
    </row>
    <row r="395" spans="1:2" ht="16.5" customHeight="1">
      <c r="A395" s="3"/>
      <c r="B395" s="3"/>
    </row>
    <row r="396" spans="1:2" ht="16.5" customHeight="1">
      <c r="A396" s="3"/>
      <c r="B396" s="3"/>
    </row>
    <row r="397" spans="1:2" ht="16.5" customHeight="1">
      <c r="A397" s="3"/>
      <c r="B397" s="3"/>
    </row>
    <row r="398" spans="1:2" ht="16.5" customHeight="1">
      <c r="A398" s="3"/>
      <c r="B398" s="3"/>
    </row>
    <row r="399" spans="1:2" ht="16.5" customHeight="1">
      <c r="A399" s="3"/>
      <c r="B399" s="3"/>
    </row>
    <row r="400" spans="1:2" ht="16.5" customHeight="1">
      <c r="A400" s="3"/>
      <c r="B400" s="3"/>
    </row>
    <row r="401" spans="1:2" ht="16.5" customHeight="1">
      <c r="A401" s="3"/>
      <c r="B401" s="3"/>
    </row>
    <row r="402" spans="1:2" ht="16.5" customHeight="1">
      <c r="A402" s="3"/>
      <c r="B402" s="3"/>
    </row>
    <row r="403" spans="1:2" ht="16.5" customHeight="1">
      <c r="A403" s="3"/>
      <c r="B403" s="3"/>
    </row>
    <row r="404" spans="1:2" ht="16.5" customHeight="1">
      <c r="A404" s="3"/>
      <c r="B404" s="3"/>
    </row>
    <row r="405" spans="1:2" ht="16.5" customHeight="1">
      <c r="A405" s="3"/>
      <c r="B405" s="3"/>
    </row>
    <row r="406" spans="1:2" ht="16.5" customHeight="1">
      <c r="A406" s="3"/>
      <c r="B406" s="3"/>
    </row>
    <row r="407" spans="1:2" ht="16.5" customHeight="1">
      <c r="A407" s="3"/>
      <c r="B407" s="3"/>
    </row>
    <row r="408" spans="1:2" ht="16.5" customHeight="1">
      <c r="A408" s="3"/>
      <c r="B408" s="3"/>
    </row>
    <row r="409" spans="1:2" ht="16.5" customHeight="1">
      <c r="A409" s="3"/>
      <c r="B409" s="3"/>
    </row>
    <row r="410" spans="1:2" ht="16.5" customHeight="1">
      <c r="A410" s="3"/>
      <c r="B410" s="3"/>
    </row>
    <row r="411" spans="1:2" ht="16.5" customHeight="1">
      <c r="A411" s="3"/>
      <c r="B411" s="3"/>
    </row>
    <row r="412" spans="1:2" ht="16.5" customHeight="1">
      <c r="A412" s="3"/>
      <c r="B412" s="3"/>
    </row>
    <row r="413" spans="1:2" ht="16.5" customHeight="1">
      <c r="A413" s="3"/>
      <c r="B413" s="3"/>
    </row>
    <row r="414" spans="1:2" ht="16.5" customHeight="1">
      <c r="A414" s="3"/>
      <c r="B414" s="3"/>
    </row>
    <row r="415" spans="1:2" ht="16.5" customHeight="1">
      <c r="A415" s="3"/>
      <c r="B415" s="3"/>
    </row>
    <row r="416" spans="1:2" ht="16.5" customHeight="1">
      <c r="A416" s="3"/>
      <c r="B416" s="3"/>
    </row>
    <row r="417" spans="1:2" ht="16.5" customHeight="1">
      <c r="A417" s="3"/>
      <c r="B417" s="3"/>
    </row>
    <row r="418" spans="1:2" ht="16.5" customHeight="1">
      <c r="A418" s="3"/>
      <c r="B418" s="3"/>
    </row>
    <row r="419" spans="1:2" ht="16.5" customHeight="1">
      <c r="A419" s="3"/>
      <c r="B419" s="3"/>
    </row>
    <row r="420" spans="1:2" ht="16.5" customHeight="1">
      <c r="A420" s="3"/>
      <c r="B420" s="3"/>
    </row>
    <row r="421" spans="1:2" ht="16.5" customHeight="1">
      <c r="A421" s="3"/>
      <c r="B421" s="3"/>
    </row>
    <row r="422" spans="1:2" ht="16.5" customHeight="1">
      <c r="A422" s="3"/>
      <c r="B422" s="3"/>
    </row>
    <row r="423" spans="1:2" ht="16.5" customHeight="1">
      <c r="A423" s="3"/>
      <c r="B423" s="3"/>
    </row>
    <row r="424" spans="1:2" ht="16.5" customHeight="1">
      <c r="A424" s="3"/>
      <c r="B424" s="3"/>
    </row>
    <row r="425" spans="1:2" ht="16.5" customHeight="1">
      <c r="A425" s="3"/>
      <c r="B425" s="3"/>
    </row>
    <row r="426" spans="1:2" ht="16.5" customHeight="1">
      <c r="A426" s="3"/>
      <c r="B426" s="3"/>
    </row>
    <row r="427" spans="1:2" ht="16.5" customHeight="1">
      <c r="A427" s="3"/>
      <c r="B427" s="3"/>
    </row>
    <row r="428" spans="1:2" ht="16.5" customHeight="1">
      <c r="A428" s="3"/>
      <c r="B428" s="3"/>
    </row>
    <row r="429" spans="1:2" ht="16.5" customHeight="1">
      <c r="A429" s="3"/>
      <c r="B429" s="3"/>
    </row>
    <row r="430" spans="1:2" ht="16.5" customHeight="1">
      <c r="A430" s="3"/>
      <c r="B430" s="3"/>
    </row>
    <row r="431" spans="1:2" ht="16.5" customHeight="1">
      <c r="A431" s="3"/>
      <c r="B431" s="3"/>
    </row>
    <row r="432" spans="1:2" ht="16.5" customHeight="1">
      <c r="A432" s="3"/>
      <c r="B432" s="3"/>
    </row>
    <row r="433" spans="1:2" ht="16.5" customHeight="1">
      <c r="A433" s="3"/>
      <c r="B433" s="3"/>
    </row>
    <row r="434" spans="1:2" ht="16.5" customHeight="1">
      <c r="A434" s="3"/>
      <c r="B434" s="3"/>
    </row>
    <row r="435" spans="1:2" ht="16.5" customHeight="1">
      <c r="A435" s="3"/>
      <c r="B435" s="3"/>
    </row>
    <row r="436" spans="1:2" ht="16.5" customHeight="1">
      <c r="A436" s="3"/>
      <c r="B436" s="3"/>
    </row>
    <row r="437" spans="1:2" ht="16.5" customHeight="1">
      <c r="A437" s="3"/>
      <c r="B437" s="3"/>
    </row>
    <row r="438" spans="1:2" ht="16.5" customHeight="1">
      <c r="A438" s="3"/>
      <c r="B438" s="3"/>
    </row>
    <row r="439" spans="1:2" ht="16.5" customHeight="1">
      <c r="A439" s="3"/>
      <c r="B439" s="3"/>
    </row>
    <row r="440" spans="1:2" ht="16.5" customHeight="1">
      <c r="A440" s="3"/>
      <c r="B440" s="3"/>
    </row>
    <row r="441" spans="1:2" ht="16.5" customHeight="1">
      <c r="A441" s="3"/>
      <c r="B441" s="3"/>
    </row>
    <row r="442" spans="1:2" ht="16.5" customHeight="1">
      <c r="A442" s="3"/>
      <c r="B442" s="3"/>
    </row>
    <row r="443" spans="1:2" ht="16.5" customHeight="1">
      <c r="A443" s="3"/>
      <c r="B443" s="3"/>
    </row>
    <row r="444" spans="1:2" ht="16.5" customHeight="1">
      <c r="A444" s="3"/>
      <c r="B444" s="3"/>
    </row>
    <row r="445" spans="1:2" ht="16.5" customHeight="1">
      <c r="A445" s="3"/>
      <c r="B445" s="3"/>
    </row>
    <row r="446" spans="1:2" ht="16.5" customHeight="1">
      <c r="A446" s="3"/>
      <c r="B446" s="3"/>
    </row>
    <row r="447" spans="1:2" ht="16.5" customHeight="1">
      <c r="A447" s="3"/>
      <c r="B447" s="3"/>
    </row>
    <row r="448" spans="1:2" ht="16.5" customHeight="1">
      <c r="A448" s="3"/>
      <c r="B448" s="3"/>
    </row>
    <row r="449" spans="1:2" ht="16.5" customHeight="1">
      <c r="A449" s="3"/>
      <c r="B449" s="3"/>
    </row>
    <row r="450" spans="1:2" ht="16.5" customHeight="1">
      <c r="A450" s="3"/>
      <c r="B450" s="3"/>
    </row>
    <row r="451" spans="1:2" ht="16.5" customHeight="1">
      <c r="A451" s="3"/>
      <c r="B451" s="3"/>
    </row>
    <row r="452" spans="1:2" ht="16.5" customHeight="1">
      <c r="A452" s="3"/>
      <c r="B452" s="3"/>
    </row>
    <row r="453" spans="1:2" ht="16.5" customHeight="1">
      <c r="A453" s="3"/>
      <c r="B453" s="3"/>
    </row>
    <row r="454" spans="1:2" ht="16.5" customHeight="1">
      <c r="A454" s="3"/>
      <c r="B454" s="3"/>
    </row>
    <row r="455" spans="1:2" ht="16.5" customHeight="1">
      <c r="A455" s="3"/>
      <c r="B455" s="3"/>
    </row>
    <row r="456" spans="1:2" ht="16.5" customHeight="1">
      <c r="A456" s="3"/>
      <c r="B456" s="3"/>
    </row>
    <row r="457" spans="1:2" ht="16.5" customHeight="1">
      <c r="A457" s="3"/>
      <c r="B457" s="3"/>
    </row>
    <row r="458" spans="1:2" ht="16.5" customHeight="1">
      <c r="A458" s="3"/>
      <c r="B458" s="3"/>
    </row>
    <row r="459" spans="1:2" ht="16.5" customHeight="1">
      <c r="A459" s="3"/>
      <c r="B459" s="3"/>
    </row>
    <row r="460" spans="1:2" ht="16.5" customHeight="1">
      <c r="A460" s="3"/>
      <c r="B460" s="3"/>
    </row>
    <row r="461" spans="1:2" ht="16.5" customHeight="1">
      <c r="A461" s="3"/>
      <c r="B461" s="3"/>
    </row>
    <row r="462" spans="1:2" ht="16.5" customHeight="1">
      <c r="A462" s="3"/>
      <c r="B462" s="3"/>
    </row>
    <row r="463" spans="1:2" ht="16.5" customHeight="1">
      <c r="A463" s="3"/>
      <c r="B463" s="3"/>
    </row>
    <row r="464" spans="1:2" ht="16.5" customHeight="1">
      <c r="A464" s="3"/>
      <c r="B464" s="3"/>
    </row>
    <row r="465" spans="1:2" ht="16.5" customHeight="1">
      <c r="A465" s="3"/>
      <c r="B465" s="3"/>
    </row>
    <row r="466" spans="1:2" ht="16.5" customHeight="1">
      <c r="A466" s="3"/>
      <c r="B466" s="3"/>
    </row>
    <row r="467" spans="1:2" ht="16.5" customHeight="1">
      <c r="A467" s="3"/>
      <c r="B467" s="3"/>
    </row>
    <row r="468" spans="1:2" ht="16.5" customHeight="1">
      <c r="A468" s="3"/>
      <c r="B468" s="3"/>
    </row>
    <row r="469" spans="1:2" ht="16.5" customHeight="1">
      <c r="A469" s="3"/>
      <c r="B469" s="3"/>
    </row>
    <row r="470" spans="1:2" ht="16.5" customHeight="1">
      <c r="A470" s="3"/>
      <c r="B470" s="3"/>
    </row>
    <row r="471" spans="1:2" ht="16.5" customHeight="1">
      <c r="A471" s="3"/>
      <c r="B471" s="3"/>
    </row>
    <row r="472" spans="1:2" ht="16.5" customHeight="1">
      <c r="A472" s="3"/>
      <c r="B472" s="3"/>
    </row>
    <row r="473" spans="1:2" ht="16.5" customHeight="1">
      <c r="A473" s="3"/>
      <c r="B473" s="3"/>
    </row>
    <row r="474" spans="1:2" ht="16.5" customHeight="1">
      <c r="A474" s="3"/>
      <c r="B474" s="3"/>
    </row>
    <row r="475" spans="1:2" ht="16.5" customHeight="1">
      <c r="A475" s="3"/>
      <c r="B475" s="3"/>
    </row>
    <row r="476" spans="1:2" ht="16.5" customHeight="1">
      <c r="A476" s="3"/>
      <c r="B476" s="3"/>
    </row>
    <row r="477" spans="1:2" ht="16.5" customHeight="1">
      <c r="A477" s="3"/>
      <c r="B477" s="3"/>
    </row>
    <row r="478" spans="1:2" ht="16.5" customHeight="1">
      <c r="A478" s="3"/>
      <c r="B478" s="3"/>
    </row>
    <row r="479" spans="1:2" ht="16.5" customHeight="1">
      <c r="A479" s="3"/>
      <c r="B479" s="3"/>
    </row>
    <row r="480" spans="1:2" ht="16.5" customHeight="1">
      <c r="A480" s="3"/>
      <c r="B480" s="3"/>
    </row>
    <row r="481" spans="1:2" ht="16.5" customHeight="1">
      <c r="A481" s="3"/>
      <c r="B481" s="3"/>
    </row>
    <row r="482" spans="1:2" ht="16.5" customHeight="1">
      <c r="A482" s="3"/>
      <c r="B482" s="3"/>
    </row>
    <row r="483" spans="1:2" ht="16.5" customHeight="1">
      <c r="A483" s="3"/>
      <c r="B483" s="3"/>
    </row>
    <row r="484" spans="1:2" ht="16.5" customHeight="1">
      <c r="A484" s="3"/>
      <c r="B484" s="3"/>
    </row>
    <row r="485" spans="1:2" ht="16.5" customHeight="1">
      <c r="A485" s="3"/>
      <c r="B485" s="3"/>
    </row>
    <row r="486" spans="1:2" ht="16.5" customHeight="1">
      <c r="A486" s="3"/>
      <c r="B486" s="3"/>
    </row>
    <row r="487" spans="1:2" ht="16.5" customHeight="1">
      <c r="A487" s="3"/>
      <c r="B487" s="3"/>
    </row>
    <row r="488" spans="1:2" ht="16.5" customHeight="1">
      <c r="A488" s="3"/>
      <c r="B488" s="3"/>
    </row>
    <row r="489" spans="1:2" ht="16.5" customHeight="1">
      <c r="A489" s="3"/>
      <c r="B489" s="3"/>
    </row>
    <row r="490" spans="1:2" ht="16.5" customHeight="1">
      <c r="A490" s="3"/>
      <c r="B490" s="3"/>
    </row>
    <row r="491" spans="1:2" ht="16.5" customHeight="1">
      <c r="A491" s="3"/>
      <c r="B491" s="3"/>
    </row>
    <row r="492" spans="1:2" ht="16.5" customHeight="1">
      <c r="A492" s="3"/>
      <c r="B492" s="3"/>
    </row>
    <row r="493" spans="1:2" ht="16.5" customHeight="1">
      <c r="A493" s="3"/>
      <c r="B493" s="3"/>
    </row>
    <row r="494" spans="1:2" ht="16.5" customHeight="1">
      <c r="A494" s="3"/>
      <c r="B494" s="3"/>
    </row>
    <row r="495" spans="1:2" ht="16.5" customHeight="1">
      <c r="A495" s="3"/>
      <c r="B495" s="3"/>
    </row>
    <row r="496" spans="1:2" ht="16.5" customHeight="1">
      <c r="A496" s="3"/>
      <c r="B496" s="3"/>
    </row>
    <row r="497" spans="1:2" ht="16.5" customHeight="1">
      <c r="A497" s="3"/>
      <c r="B497" s="3"/>
    </row>
    <row r="498" spans="1:2" ht="16.5" customHeight="1">
      <c r="A498" s="3"/>
      <c r="B498" s="3"/>
    </row>
    <row r="499" spans="1:2" ht="16.5" customHeight="1">
      <c r="A499" s="3"/>
      <c r="B499" s="3"/>
    </row>
    <row r="500" spans="1:2" ht="16.5" customHeight="1">
      <c r="A500" s="3"/>
      <c r="B500" s="3"/>
    </row>
    <row r="501" spans="1:2" ht="16.5" customHeight="1">
      <c r="A501" s="3"/>
      <c r="B501" s="3"/>
    </row>
    <row r="502" spans="1:2" ht="16.5" customHeight="1">
      <c r="A502" s="3"/>
      <c r="B502" s="3"/>
    </row>
    <row r="503" spans="1:2" ht="16.5" customHeight="1">
      <c r="A503" s="3"/>
      <c r="B503" s="3"/>
    </row>
    <row r="504" spans="1:2" ht="16.5" customHeight="1">
      <c r="A504" s="3"/>
      <c r="B504" s="3"/>
    </row>
    <row r="505" spans="1:2" ht="16.5" customHeight="1">
      <c r="A505" s="3"/>
      <c r="B505" s="3"/>
    </row>
    <row r="506" spans="1:2" ht="16.5" customHeight="1">
      <c r="A506" s="3"/>
      <c r="B506" s="3"/>
    </row>
    <row r="507" spans="1:2" ht="16.5" customHeight="1">
      <c r="A507" s="3"/>
      <c r="B507" s="3"/>
    </row>
    <row r="508" spans="1:2" ht="16.5" customHeight="1">
      <c r="A508" s="3"/>
      <c r="B508" s="3"/>
    </row>
    <row r="509" spans="1:2" ht="16.5" customHeight="1">
      <c r="A509" s="3"/>
      <c r="B509" s="3"/>
    </row>
    <row r="510" spans="1:2" ht="16.5" customHeight="1">
      <c r="A510" s="3"/>
      <c r="B510" s="3"/>
    </row>
    <row r="511" spans="1:2" ht="16.5" customHeight="1">
      <c r="A511" s="3"/>
      <c r="B511" s="3"/>
    </row>
    <row r="512" spans="1:2" ht="16.5" customHeight="1">
      <c r="A512" s="3"/>
      <c r="B512" s="3"/>
    </row>
    <row r="513" spans="1:2" ht="16.5" customHeight="1">
      <c r="A513" s="3"/>
      <c r="B513" s="3"/>
    </row>
    <row r="514" spans="1:2" ht="16.5" customHeight="1">
      <c r="A514" s="3"/>
      <c r="B514" s="3"/>
    </row>
    <row r="515" spans="1:2" ht="16.5" customHeight="1">
      <c r="A515" s="3"/>
      <c r="B515" s="3"/>
    </row>
    <row r="516" spans="1:2" ht="16.5" customHeight="1">
      <c r="A516" s="3"/>
      <c r="B516" s="3"/>
    </row>
    <row r="517" spans="1:2" ht="16.5" customHeight="1">
      <c r="A517" s="3"/>
      <c r="B517" s="3"/>
    </row>
    <row r="518" spans="1:2" ht="16.5" customHeight="1">
      <c r="A518" s="3"/>
      <c r="B518" s="3"/>
    </row>
    <row r="519" spans="1:2" ht="16.5" customHeight="1">
      <c r="A519" s="3"/>
      <c r="B519" s="3"/>
    </row>
    <row r="520" spans="1:2" ht="16.5" customHeight="1">
      <c r="A520" s="3"/>
      <c r="B520" s="3"/>
    </row>
    <row r="521" spans="1:2" ht="16.5" customHeight="1">
      <c r="A521" s="3"/>
      <c r="B521" s="3"/>
    </row>
    <row r="522" spans="1:2" ht="16.5" customHeight="1">
      <c r="A522" s="3"/>
      <c r="B522" s="3"/>
    </row>
    <row r="523" spans="1:2" ht="16.5" customHeight="1">
      <c r="A523" s="3"/>
      <c r="B523" s="3"/>
    </row>
    <row r="524" spans="1:2" ht="16.5" customHeight="1">
      <c r="A524" s="3"/>
      <c r="B524" s="3"/>
    </row>
    <row r="525" spans="1:2" ht="16.5" customHeight="1">
      <c r="A525" s="3"/>
      <c r="B525" s="3"/>
    </row>
    <row r="526" spans="1:2" ht="16.5" customHeight="1">
      <c r="A526" s="3"/>
      <c r="B526" s="3"/>
    </row>
    <row r="527" spans="1:2" ht="16.5" customHeight="1">
      <c r="A527" s="3"/>
      <c r="B527" s="3"/>
    </row>
    <row r="528" spans="1:2" ht="16.5" customHeight="1">
      <c r="A528" s="3"/>
      <c r="B528" s="3"/>
    </row>
    <row r="529" spans="1:2" ht="16.5" customHeight="1">
      <c r="A529" s="3"/>
      <c r="B529" s="3"/>
    </row>
    <row r="530" spans="1:2" ht="16.5" customHeight="1">
      <c r="A530" s="3"/>
      <c r="B530" s="3"/>
    </row>
    <row r="531" spans="1:2" ht="16.5" customHeight="1">
      <c r="A531" s="3"/>
      <c r="B531" s="3"/>
    </row>
    <row r="532" spans="1:2" ht="16.5" customHeight="1">
      <c r="A532" s="3"/>
      <c r="B532" s="3"/>
    </row>
    <row r="533" spans="1:2" ht="16.5" customHeight="1">
      <c r="A533" s="3"/>
      <c r="B533" s="3"/>
    </row>
    <row r="534" spans="1:2" ht="16.5" customHeight="1">
      <c r="A534" s="3"/>
      <c r="B534" s="3"/>
    </row>
    <row r="535" spans="1:2" ht="16.5" customHeight="1">
      <c r="A535" s="3"/>
      <c r="B535" s="3"/>
    </row>
    <row r="536" spans="1:2" ht="16.5" customHeight="1">
      <c r="A536" s="3"/>
      <c r="B536" s="3"/>
    </row>
    <row r="537" spans="1:2" ht="16.5" customHeight="1">
      <c r="A537" s="3"/>
      <c r="B537" s="3"/>
    </row>
    <row r="538" spans="1:2" ht="16.5" customHeight="1">
      <c r="A538" s="3"/>
      <c r="B538" s="3"/>
    </row>
    <row r="539" spans="1:2" ht="16.5" customHeight="1">
      <c r="A539" s="3"/>
      <c r="B539" s="3"/>
    </row>
    <row r="540" spans="1:2" ht="16.5" customHeight="1">
      <c r="A540" s="3"/>
      <c r="B540" s="3"/>
    </row>
    <row r="541" spans="1:2" ht="16.5" customHeight="1">
      <c r="A541" s="3"/>
      <c r="B541" s="3"/>
    </row>
    <row r="542" spans="1:2" ht="16.5" customHeight="1">
      <c r="A542" s="3"/>
      <c r="B542" s="3"/>
    </row>
    <row r="543" spans="1:2" ht="16.5" customHeight="1">
      <c r="A543" s="3"/>
      <c r="B543" s="3"/>
    </row>
    <row r="544" spans="1:2" ht="16.5" customHeight="1">
      <c r="A544" s="3"/>
      <c r="B544" s="3"/>
    </row>
    <row r="545" spans="1:2" ht="16.5" customHeight="1">
      <c r="A545" s="3"/>
      <c r="B545" s="3"/>
    </row>
    <row r="546" spans="1:2" ht="16.5" customHeight="1">
      <c r="A546" s="3"/>
      <c r="B546" s="3"/>
    </row>
    <row r="547" spans="1:2" ht="16.5" customHeight="1">
      <c r="A547" s="3"/>
      <c r="B547" s="3"/>
    </row>
    <row r="548" spans="1:2" ht="16.5" customHeight="1">
      <c r="A548" s="3"/>
      <c r="B548" s="3"/>
    </row>
    <row r="549" spans="1:2" ht="16.5" customHeight="1">
      <c r="A549" s="3"/>
      <c r="B549" s="3"/>
    </row>
    <row r="550" spans="1:2" ht="16.5" customHeight="1">
      <c r="A550" s="3"/>
      <c r="B550" s="3"/>
    </row>
    <row r="551" spans="1:2" ht="16.5" customHeight="1">
      <c r="A551" s="3"/>
      <c r="B551" s="3"/>
    </row>
    <row r="552" spans="1:2" ht="16.5" customHeight="1">
      <c r="A552" s="3"/>
      <c r="B552" s="3"/>
    </row>
    <row r="553" spans="1:2" ht="16.5" customHeight="1">
      <c r="A553" s="3"/>
      <c r="B553" s="3"/>
    </row>
    <row r="554" spans="1:2" ht="16.5" customHeight="1">
      <c r="A554" s="3"/>
      <c r="B554" s="3"/>
    </row>
    <row r="555" spans="1:2" ht="16.5" customHeight="1">
      <c r="A555" s="3"/>
      <c r="B555" s="3"/>
    </row>
    <row r="556" spans="1:2" ht="16.5" customHeight="1">
      <c r="A556" s="3"/>
      <c r="B556" s="3"/>
    </row>
    <row r="557" spans="1:2" ht="16.5" customHeight="1">
      <c r="A557" s="3"/>
      <c r="B557" s="3"/>
    </row>
    <row r="558" spans="1:2" ht="16.5" customHeight="1">
      <c r="A558" s="3"/>
      <c r="B558" s="3"/>
    </row>
    <row r="559" spans="1:2" ht="16.5" customHeight="1">
      <c r="A559" s="3"/>
      <c r="B559" s="3"/>
    </row>
    <row r="560" spans="1:2" ht="16.5" customHeight="1">
      <c r="A560" s="3"/>
      <c r="B560" s="3"/>
    </row>
    <row r="561" spans="1:2" ht="16.5" customHeight="1">
      <c r="A561" s="3"/>
      <c r="B561" s="3"/>
    </row>
    <row r="562" spans="1:2" ht="16.5" customHeight="1">
      <c r="A562" s="3"/>
      <c r="B562" s="3"/>
    </row>
    <row r="563" spans="1:2" ht="16.5" customHeight="1">
      <c r="A563" s="3"/>
      <c r="B563" s="3"/>
    </row>
    <row r="564" spans="1:2" ht="16.5" customHeight="1">
      <c r="A564" s="3"/>
      <c r="B564" s="3"/>
    </row>
    <row r="565" spans="1:2" ht="16.5" customHeight="1">
      <c r="A565" s="3"/>
      <c r="B565" s="3"/>
    </row>
    <row r="566" spans="1:2" ht="16.5" customHeight="1">
      <c r="A566" s="3"/>
      <c r="B566" s="3"/>
    </row>
    <row r="567" spans="1:2" ht="16.5" customHeight="1">
      <c r="A567" s="3"/>
      <c r="B567" s="3"/>
    </row>
    <row r="568" spans="1:2" ht="16.5" customHeight="1">
      <c r="A568" s="3"/>
      <c r="B568" s="3"/>
    </row>
    <row r="569" spans="1:2" ht="16.5" customHeight="1">
      <c r="A569" s="3"/>
      <c r="B569" s="3"/>
    </row>
    <row r="570" spans="1:2" ht="16.5" customHeight="1">
      <c r="A570" s="3"/>
      <c r="B570" s="3"/>
    </row>
    <row r="571" spans="1:2" ht="16.5" customHeight="1">
      <c r="A571" s="3"/>
      <c r="B571" s="3"/>
    </row>
    <row r="572" spans="1:2" ht="16.5" customHeight="1">
      <c r="A572" s="3"/>
      <c r="B572" s="3"/>
    </row>
    <row r="573" spans="1:2" ht="16.5" customHeight="1">
      <c r="A573" s="3"/>
      <c r="B573" s="3"/>
    </row>
    <row r="574" spans="1:2" ht="16.5" customHeight="1">
      <c r="A574" s="3"/>
      <c r="B574" s="3"/>
    </row>
    <row r="575" spans="1:2" ht="16.5" customHeight="1">
      <c r="A575" s="3"/>
      <c r="B575" s="3"/>
    </row>
    <row r="576" spans="1:2" ht="16.5" customHeight="1">
      <c r="A576" s="3"/>
      <c r="B576" s="3"/>
    </row>
    <row r="577" spans="1:2" ht="16.5" customHeight="1">
      <c r="A577" s="3"/>
      <c r="B577" s="3"/>
    </row>
    <row r="578" spans="1:2" ht="16.5" customHeight="1">
      <c r="A578" s="3"/>
      <c r="B578" s="3"/>
    </row>
    <row r="579" spans="1:2" ht="16.5" customHeight="1">
      <c r="A579" s="3"/>
      <c r="B579" s="3"/>
    </row>
    <row r="580" spans="1:2" ht="16.5" customHeight="1">
      <c r="A580" s="3"/>
      <c r="B580" s="3"/>
    </row>
    <row r="581" spans="1:2" ht="16.5" customHeight="1">
      <c r="A581" s="3"/>
      <c r="B581" s="3"/>
    </row>
    <row r="582" spans="1:2" ht="16.5" customHeight="1">
      <c r="A582" s="3"/>
      <c r="B582" s="3"/>
    </row>
    <row r="583" spans="1:2" ht="16.5" customHeight="1">
      <c r="A583" s="3"/>
      <c r="B583" s="3"/>
    </row>
    <row r="584" spans="1:2" ht="16.5" customHeight="1">
      <c r="A584" s="3"/>
      <c r="B584" s="3"/>
    </row>
    <row r="585" spans="1:2" ht="16.5" customHeight="1">
      <c r="A585" s="3"/>
      <c r="B585" s="3"/>
    </row>
    <row r="586" spans="1:2" ht="16.5" customHeight="1">
      <c r="A586" s="3"/>
      <c r="B586" s="3"/>
    </row>
    <row r="587" spans="1:2" ht="16.5" customHeight="1">
      <c r="A587" s="3"/>
      <c r="B587" s="3"/>
    </row>
    <row r="588" spans="1:2" ht="16.5" customHeight="1">
      <c r="A588" s="3"/>
      <c r="B588" s="3"/>
    </row>
    <row r="589" spans="1:2" ht="16.5" customHeight="1">
      <c r="A589" s="3"/>
      <c r="B589" s="3"/>
    </row>
    <row r="590" spans="1:2" ht="16.5" customHeight="1">
      <c r="A590" s="3"/>
      <c r="B590" s="3"/>
    </row>
    <row r="591" spans="1:2" ht="16.5" customHeight="1">
      <c r="A591" s="3"/>
      <c r="B591" s="3"/>
    </row>
    <row r="592" spans="1:2" ht="16.5" customHeight="1">
      <c r="A592" s="3"/>
      <c r="B592" s="3"/>
    </row>
    <row r="593" spans="1:2" ht="16.5" customHeight="1">
      <c r="A593" s="3"/>
      <c r="B593" s="3"/>
    </row>
    <row r="594" spans="1:2" ht="16.5" customHeight="1">
      <c r="A594" s="3"/>
      <c r="B594" s="3"/>
    </row>
    <row r="595" spans="1:2" ht="16.5" customHeight="1">
      <c r="A595" s="3"/>
      <c r="B595" s="3"/>
    </row>
    <row r="596" spans="1:2" ht="16.5" customHeight="1">
      <c r="A596" s="3"/>
      <c r="B596" s="3"/>
    </row>
    <row r="597" spans="1:2" ht="16.5" customHeight="1">
      <c r="A597" s="3"/>
      <c r="B597" s="3"/>
    </row>
    <row r="598" spans="1:2" ht="16.5" customHeight="1">
      <c r="A598" s="3"/>
      <c r="B598" s="3"/>
    </row>
    <row r="599" spans="1:2" ht="16.5" customHeight="1">
      <c r="A599" s="3"/>
      <c r="B599" s="3"/>
    </row>
    <row r="600" spans="1:2" ht="16.5" customHeight="1">
      <c r="A600" s="3"/>
      <c r="B600" s="3"/>
    </row>
    <row r="601" spans="1:2" ht="16.5" customHeight="1">
      <c r="A601" s="3"/>
      <c r="B601" s="3"/>
    </row>
    <row r="602" spans="1:2" ht="16.5" customHeight="1">
      <c r="A602" s="3"/>
      <c r="B602" s="3"/>
    </row>
    <row r="603" spans="1:2" ht="16.5" customHeight="1">
      <c r="A603" s="3"/>
      <c r="B603" s="3"/>
    </row>
    <row r="604" spans="1:2" ht="16.5" customHeight="1">
      <c r="A604" s="3"/>
      <c r="B604" s="3"/>
    </row>
    <row r="605" spans="1:2" ht="16.5" customHeight="1">
      <c r="A605" s="3"/>
      <c r="B605" s="3"/>
    </row>
    <row r="606" spans="1:2" ht="16.5" customHeight="1">
      <c r="A606" s="3"/>
      <c r="B606" s="3"/>
    </row>
    <row r="607" spans="1:2" ht="16.5" customHeight="1">
      <c r="A607" s="3"/>
      <c r="B607" s="3"/>
    </row>
    <row r="608" spans="1:2" ht="16.5" customHeight="1">
      <c r="A608" s="3"/>
      <c r="B608" s="3"/>
    </row>
    <row r="609" spans="1:2" ht="16.5" customHeight="1">
      <c r="A609" s="3"/>
      <c r="B609" s="3"/>
    </row>
    <row r="610" spans="1:2" ht="16.5" customHeight="1">
      <c r="A610" s="3"/>
      <c r="B610" s="3"/>
    </row>
    <row r="611" spans="1:2" ht="16.5" customHeight="1">
      <c r="A611" s="3"/>
      <c r="B611" s="3"/>
    </row>
    <row r="612" spans="1:2" ht="16.5" customHeight="1">
      <c r="A612" s="3"/>
      <c r="B612" s="3"/>
    </row>
    <row r="613" spans="1:2" ht="16.5" customHeight="1">
      <c r="A613" s="3"/>
      <c r="B613" s="3"/>
    </row>
    <row r="614" spans="1:2" ht="16.5" customHeight="1">
      <c r="A614" s="3"/>
      <c r="B614" s="3"/>
    </row>
    <row r="615" spans="1:2" ht="16.5" customHeight="1">
      <c r="A615" s="3"/>
      <c r="B615" s="3"/>
    </row>
    <row r="616" spans="1:2" ht="16.5" customHeight="1">
      <c r="A616" s="3"/>
      <c r="B616" s="3"/>
    </row>
    <row r="617" spans="1:2" ht="16.5" customHeight="1">
      <c r="A617" s="3"/>
      <c r="B617" s="3"/>
    </row>
    <row r="618" spans="1:2" ht="16.5" customHeight="1">
      <c r="A618" s="3"/>
      <c r="B618" s="3"/>
    </row>
    <row r="619" spans="1:2" ht="16.5" customHeight="1">
      <c r="A619" s="3"/>
      <c r="B619" s="3"/>
    </row>
    <row r="620" spans="1:2" ht="16.5" customHeight="1">
      <c r="A620" s="3"/>
      <c r="B620" s="3"/>
    </row>
    <row r="621" spans="1:2" ht="16.5" customHeight="1">
      <c r="A621" s="3"/>
      <c r="B621" s="3"/>
    </row>
    <row r="622" spans="1:2" ht="16.5" customHeight="1">
      <c r="A622" s="3"/>
      <c r="B622" s="3"/>
    </row>
    <row r="623" spans="1:2" ht="16.5" customHeight="1">
      <c r="A623" s="3"/>
      <c r="B623" s="3"/>
    </row>
    <row r="624" spans="1:2" ht="16.5" customHeight="1">
      <c r="A624" s="3"/>
      <c r="B624" s="3"/>
    </row>
    <row r="625" spans="1:2" ht="16.5" customHeight="1">
      <c r="A625" s="3"/>
      <c r="B625" s="3"/>
    </row>
    <row r="626" spans="1:2" ht="16.5" customHeight="1">
      <c r="A626" s="3"/>
      <c r="B626" s="3"/>
    </row>
    <row r="627" spans="1:2" ht="16.5" customHeight="1">
      <c r="A627" s="3"/>
      <c r="B627" s="3"/>
    </row>
    <row r="628" spans="1:2" ht="16.5" customHeight="1">
      <c r="A628" s="3"/>
      <c r="B628" s="3"/>
    </row>
    <row r="629" spans="1:2" ht="16.5" customHeight="1">
      <c r="A629" s="3"/>
      <c r="B629" s="3"/>
    </row>
    <row r="630" spans="1:2" ht="16.5" customHeight="1">
      <c r="A630" s="3"/>
      <c r="B630" s="3"/>
    </row>
    <row r="631" spans="1:2" ht="16.5" customHeight="1">
      <c r="A631" s="3"/>
      <c r="B631" s="3"/>
    </row>
    <row r="632" spans="1:2" ht="16.5" customHeight="1">
      <c r="A632" s="3"/>
      <c r="B632" s="3"/>
    </row>
    <row r="633" spans="1:2" ht="16.5" customHeight="1">
      <c r="A633" s="3"/>
      <c r="B633" s="3"/>
    </row>
    <row r="634" spans="1:2" ht="16.5" customHeight="1">
      <c r="A634" s="3"/>
      <c r="B634" s="3"/>
    </row>
    <row r="635" spans="1:2" ht="16.5" customHeight="1">
      <c r="A635" s="3"/>
      <c r="B635" s="3"/>
    </row>
    <row r="636" spans="1:2" ht="16.5" customHeight="1">
      <c r="A636" s="3"/>
      <c r="B636" s="3"/>
    </row>
    <row r="637" spans="1:2" ht="16.5" customHeight="1">
      <c r="A637" s="3"/>
      <c r="B637" s="3"/>
    </row>
    <row r="638" spans="1:2" ht="16.5" customHeight="1">
      <c r="A638" s="3"/>
      <c r="B638" s="3"/>
    </row>
    <row r="639" spans="1:2" ht="16.5" customHeight="1">
      <c r="A639" s="3"/>
      <c r="B639" s="3"/>
    </row>
    <row r="640" spans="1:2" ht="16.5" customHeight="1">
      <c r="A640" s="3"/>
      <c r="B640" s="3"/>
    </row>
    <row r="641" spans="1:2" ht="16.5" customHeight="1">
      <c r="A641" s="3"/>
      <c r="B641" s="3"/>
    </row>
    <row r="642" spans="1:2" ht="16.5" customHeight="1">
      <c r="A642" s="3"/>
      <c r="B642" s="3"/>
    </row>
    <row r="643" spans="1:2" ht="16.5" customHeight="1">
      <c r="A643" s="3"/>
      <c r="B643" s="3"/>
    </row>
    <row r="644" spans="1:2" ht="16.5" customHeight="1">
      <c r="A644" s="3"/>
      <c r="B644" s="3"/>
    </row>
    <row r="645" spans="1:2" ht="16.5" customHeight="1">
      <c r="A645" s="3"/>
      <c r="B645" s="3"/>
    </row>
    <row r="646" spans="1:2" ht="16.5" customHeight="1">
      <c r="A646" s="3"/>
      <c r="B646" s="3"/>
    </row>
    <row r="647" spans="1:2" ht="16.5" customHeight="1">
      <c r="A647" s="3"/>
      <c r="B647" s="3"/>
    </row>
    <row r="648" spans="1:2" ht="16.5" customHeight="1">
      <c r="A648" s="3"/>
      <c r="B648" s="3"/>
    </row>
    <row r="649" spans="1:2" ht="16.5" customHeight="1">
      <c r="A649" s="3"/>
      <c r="B649" s="3"/>
    </row>
    <row r="650" spans="1:2" ht="16.5" customHeight="1">
      <c r="A650" s="3"/>
      <c r="B650" s="3"/>
    </row>
    <row r="651" spans="1:2" ht="16.5" customHeight="1">
      <c r="A651" s="3"/>
      <c r="B651" s="3"/>
    </row>
    <row r="652" spans="1:2" ht="16.5" customHeight="1">
      <c r="A652" s="3"/>
      <c r="B652" s="3"/>
    </row>
    <row r="653" spans="1:2" ht="16.5" customHeight="1">
      <c r="A653" s="3"/>
      <c r="B653" s="3"/>
    </row>
    <row r="654" spans="1:2" ht="16.5" customHeight="1">
      <c r="A654" s="3"/>
      <c r="B654" s="3"/>
    </row>
    <row r="655" spans="1:2" ht="16.5" customHeight="1">
      <c r="A655" s="3"/>
      <c r="B655" s="3"/>
    </row>
    <row r="656" spans="1:2" ht="16.5" customHeight="1">
      <c r="A656" s="3"/>
      <c r="B656" s="3"/>
    </row>
    <row r="657" spans="1:2" ht="16.5" customHeight="1">
      <c r="A657" s="3"/>
      <c r="B657" s="3"/>
    </row>
    <row r="658" spans="1:2" ht="16.5" customHeight="1">
      <c r="A658" s="3"/>
      <c r="B658" s="3"/>
    </row>
    <row r="659" spans="1:2" ht="16.5" customHeight="1">
      <c r="A659" s="3"/>
      <c r="B659" s="3"/>
    </row>
    <row r="660" spans="1:2" ht="16.5" customHeight="1">
      <c r="A660" s="3"/>
      <c r="B660" s="3"/>
    </row>
    <row r="661" spans="1:2" ht="16.5" customHeight="1">
      <c r="A661" s="3"/>
      <c r="B661" s="3"/>
    </row>
    <row r="662" spans="1:2" ht="16.5" customHeight="1">
      <c r="A662" s="3"/>
      <c r="B662" s="3"/>
    </row>
    <row r="663" spans="1:2" ht="16.5" customHeight="1">
      <c r="A663" s="3"/>
      <c r="B663" s="3"/>
    </row>
    <row r="664" spans="1:2" ht="16.5" customHeight="1">
      <c r="A664" s="3"/>
      <c r="B664" s="3"/>
    </row>
    <row r="665" spans="1:2" ht="16.5" customHeight="1">
      <c r="A665" s="3"/>
      <c r="B665" s="3"/>
    </row>
    <row r="666" spans="1:2" ht="16.5" customHeight="1">
      <c r="A666" s="3"/>
      <c r="B666" s="3"/>
    </row>
    <row r="667" spans="1:2" ht="16.5" customHeight="1">
      <c r="A667" s="3"/>
      <c r="B667" s="3"/>
    </row>
    <row r="668" spans="1:2" ht="16.5" customHeight="1">
      <c r="A668" s="3"/>
      <c r="B668" s="3"/>
    </row>
    <row r="669" spans="1:2" ht="16.5" customHeight="1">
      <c r="A669" s="3"/>
      <c r="B669" s="3"/>
    </row>
    <row r="670" spans="1:2" ht="16.5" customHeight="1">
      <c r="A670" s="3"/>
      <c r="B670" s="3"/>
    </row>
    <row r="671" spans="1:2" ht="16.5" customHeight="1">
      <c r="A671" s="3"/>
      <c r="B671" s="3"/>
    </row>
    <row r="672" spans="1:2" ht="16.5" customHeight="1">
      <c r="A672" s="3"/>
      <c r="B672" s="3"/>
    </row>
    <row r="673" spans="1:2" ht="16.5" customHeight="1">
      <c r="A673" s="3"/>
      <c r="B673" s="3"/>
    </row>
    <row r="674" spans="1:2" ht="16.5" customHeight="1">
      <c r="A674" s="3"/>
      <c r="B674" s="3"/>
    </row>
    <row r="675" spans="1:2" ht="16.5" customHeight="1">
      <c r="A675" s="3"/>
      <c r="B675" s="3"/>
    </row>
    <row r="676" spans="1:2" ht="16.5" customHeight="1">
      <c r="A676" s="3"/>
      <c r="B676" s="3"/>
    </row>
    <row r="677" spans="1:2" ht="16.5" customHeight="1">
      <c r="A677" s="3"/>
      <c r="B677" s="3"/>
    </row>
    <row r="678" spans="1:2" ht="16.5" customHeight="1">
      <c r="A678" s="3"/>
      <c r="B678" s="3"/>
    </row>
    <row r="679" spans="1:2" ht="16.5" customHeight="1">
      <c r="A679" s="3"/>
      <c r="B679" s="3"/>
    </row>
    <row r="680" spans="1:2" ht="16.5" customHeight="1">
      <c r="A680" s="3"/>
      <c r="B680" s="3"/>
    </row>
    <row r="681" spans="1:2" ht="16.5" customHeight="1">
      <c r="A681" s="3"/>
      <c r="B681" s="3"/>
    </row>
    <row r="682" spans="1:2" ht="16.5" customHeight="1">
      <c r="A682" s="3"/>
      <c r="B682" s="3"/>
    </row>
    <row r="683" spans="1:2" ht="16.5" customHeight="1">
      <c r="A683" s="3"/>
      <c r="B683" s="3"/>
    </row>
    <row r="684" spans="1:2" ht="16.5" customHeight="1">
      <c r="A684" s="3"/>
      <c r="B684" s="3"/>
    </row>
    <row r="685" spans="1:2" ht="16.5" customHeight="1">
      <c r="A685" s="3"/>
      <c r="B685" s="3"/>
    </row>
    <row r="686" spans="1:2" ht="16.5" customHeight="1">
      <c r="A686" s="3"/>
      <c r="B686" s="3"/>
    </row>
    <row r="687" spans="1:2" ht="16.5" customHeight="1">
      <c r="A687" s="3"/>
      <c r="B687" s="3"/>
    </row>
    <row r="688" spans="1:2" ht="16.5" customHeight="1">
      <c r="A688" s="3"/>
      <c r="B688" s="3"/>
    </row>
    <row r="689" spans="1:2" ht="16.5" customHeight="1">
      <c r="A689" s="3"/>
      <c r="B689" s="3"/>
    </row>
    <row r="690" spans="1:2" ht="16.5" customHeight="1">
      <c r="A690" s="3"/>
      <c r="B690" s="3"/>
    </row>
    <row r="691" spans="1:2" ht="16.5" customHeight="1">
      <c r="A691" s="3"/>
      <c r="B691" s="3"/>
    </row>
    <row r="692" spans="1:2" ht="16.5" customHeight="1">
      <c r="A692" s="3"/>
      <c r="B692" s="3"/>
    </row>
    <row r="693" spans="1:2" ht="16.5" customHeight="1">
      <c r="A693" s="3"/>
      <c r="B693" s="3"/>
    </row>
    <row r="694" spans="1:2" ht="16.5" customHeight="1">
      <c r="A694" s="3"/>
      <c r="B694" s="3"/>
    </row>
    <row r="695" spans="1:2" ht="16.5" customHeight="1">
      <c r="A695" s="3"/>
      <c r="B695" s="3"/>
    </row>
    <row r="696" spans="1:2" ht="16.5" customHeight="1">
      <c r="A696" s="3"/>
      <c r="B696" s="3"/>
    </row>
    <row r="697" spans="1:2" ht="16.5" customHeight="1">
      <c r="A697" s="3"/>
      <c r="B697" s="3"/>
    </row>
    <row r="698" spans="1:2" ht="16.5" customHeight="1">
      <c r="A698" s="3"/>
      <c r="B698" s="3"/>
    </row>
    <row r="699" spans="1:2" ht="16.5" customHeight="1">
      <c r="A699" s="3"/>
      <c r="B699" s="3"/>
    </row>
    <row r="700" spans="1:2" ht="16.5" customHeight="1">
      <c r="A700" s="3"/>
      <c r="B700" s="3"/>
    </row>
    <row r="701" spans="1:2" ht="16.5" customHeight="1">
      <c r="A701" s="3"/>
      <c r="B701" s="3"/>
    </row>
    <row r="702" spans="1:2" ht="16.5" customHeight="1">
      <c r="A702" s="3"/>
      <c r="B702" s="3"/>
    </row>
    <row r="703" spans="1:2" ht="16.5" customHeight="1">
      <c r="A703" s="3"/>
      <c r="B703" s="3"/>
    </row>
    <row r="704" spans="1:2" ht="16.5" customHeight="1">
      <c r="A704" s="3"/>
      <c r="B704" s="3"/>
    </row>
    <row r="705" spans="1:2" ht="16.5" customHeight="1">
      <c r="A705" s="3"/>
      <c r="B705" s="3"/>
    </row>
    <row r="706" spans="1:2" ht="16.5" customHeight="1">
      <c r="A706" s="3"/>
      <c r="B706" s="3"/>
    </row>
    <row r="707" spans="1:2" ht="16.5" customHeight="1">
      <c r="A707" s="3"/>
      <c r="B707" s="3"/>
    </row>
    <row r="708" spans="1:2" ht="16.5" customHeight="1">
      <c r="A708" s="3"/>
      <c r="B708" s="3"/>
    </row>
    <row r="709" spans="1:2" ht="16.5" customHeight="1">
      <c r="A709" s="3"/>
      <c r="B709" s="3"/>
    </row>
    <row r="710" spans="1:2" ht="16.5" customHeight="1">
      <c r="A710" s="3"/>
      <c r="B710" s="3"/>
    </row>
    <row r="711" spans="1:2" ht="16.5" customHeight="1">
      <c r="A711" s="3"/>
      <c r="B711" s="3"/>
    </row>
    <row r="712" spans="1:2" ht="16.5" customHeight="1">
      <c r="A712" s="3"/>
      <c r="B712" s="3"/>
    </row>
    <row r="713" spans="1:2" ht="16.5" customHeight="1">
      <c r="A713" s="3"/>
      <c r="B713" s="3"/>
    </row>
    <row r="714" spans="1:2" ht="16.5" customHeight="1">
      <c r="A714" s="3"/>
      <c r="B714" s="3"/>
    </row>
    <row r="715" spans="1:2" ht="16.5" customHeight="1">
      <c r="A715" s="3"/>
      <c r="B715" s="3"/>
    </row>
    <row r="716" spans="1:2" ht="16.5" customHeight="1">
      <c r="A716" s="3"/>
      <c r="B716" s="3"/>
    </row>
    <row r="717" spans="1:2" ht="16.5" customHeight="1">
      <c r="A717" s="3"/>
      <c r="B717" s="3"/>
    </row>
    <row r="718" spans="1:2" ht="16.5" customHeight="1">
      <c r="A718" s="3"/>
      <c r="B718" s="3"/>
    </row>
    <row r="719" spans="1:2" ht="16.5" customHeight="1">
      <c r="A719" s="3"/>
      <c r="B719" s="3"/>
    </row>
    <row r="720" spans="1:2" ht="16.5" customHeight="1">
      <c r="A720" s="3"/>
      <c r="B720" s="3"/>
    </row>
    <row r="721" spans="1:2" ht="16.5" customHeight="1">
      <c r="A721" s="3"/>
      <c r="B721" s="3"/>
    </row>
    <row r="722" spans="1:2" ht="16.5" customHeight="1">
      <c r="A722" s="3"/>
      <c r="B722" s="3"/>
    </row>
    <row r="723" spans="1:2" ht="16.5" customHeight="1">
      <c r="A723" s="3"/>
      <c r="B723" s="3"/>
    </row>
    <row r="724" spans="1:2" ht="16.5" customHeight="1">
      <c r="A724" s="3"/>
      <c r="B724" s="3"/>
    </row>
    <row r="725" spans="1:2" ht="16.5" customHeight="1">
      <c r="A725" s="3"/>
      <c r="B725" s="3"/>
    </row>
    <row r="726" spans="1:2" ht="16.5" customHeight="1">
      <c r="A726" s="3"/>
      <c r="B726" s="3"/>
    </row>
    <row r="727" spans="1:2" ht="16.5" customHeight="1">
      <c r="A727" s="3"/>
      <c r="B727" s="3"/>
    </row>
    <row r="728" spans="1:2" ht="16.5" customHeight="1">
      <c r="A728" s="3"/>
      <c r="B728" s="3"/>
    </row>
    <row r="729" spans="1:2" ht="16.5" customHeight="1">
      <c r="A729" s="3"/>
      <c r="B729" s="3"/>
    </row>
    <row r="730" spans="1:2" ht="16.5" customHeight="1">
      <c r="A730" s="3"/>
      <c r="B730" s="3"/>
    </row>
    <row r="731" spans="1:2" ht="16.5" customHeight="1">
      <c r="A731" s="3"/>
      <c r="B731" s="3"/>
    </row>
    <row r="732" spans="1:2" ht="16.5" customHeight="1">
      <c r="A732" s="3"/>
      <c r="B732" s="3"/>
    </row>
    <row r="733" spans="1:2" ht="16.5" customHeight="1">
      <c r="A733" s="3"/>
      <c r="B733" s="3"/>
    </row>
    <row r="734" spans="1:2" ht="16.5" customHeight="1">
      <c r="A734" s="3"/>
      <c r="B734" s="3"/>
    </row>
    <row r="735" spans="1:2" ht="16.5" customHeight="1">
      <c r="A735" s="3"/>
      <c r="B735" s="3"/>
    </row>
    <row r="736" spans="1:2" ht="16.5" customHeight="1">
      <c r="A736" s="3"/>
      <c r="B736" s="3"/>
    </row>
    <row r="737" spans="1:2" ht="16.5" customHeight="1">
      <c r="A737" s="3"/>
      <c r="B737" s="3"/>
    </row>
    <row r="738" spans="1:2" ht="16.5" customHeight="1">
      <c r="A738" s="3"/>
      <c r="B738" s="3"/>
    </row>
    <row r="739" spans="1:2" ht="16.5" customHeight="1">
      <c r="A739" s="3"/>
      <c r="B739" s="3"/>
    </row>
    <row r="740" spans="1:2" ht="16.5" customHeight="1">
      <c r="A740" s="3"/>
      <c r="B740" s="3"/>
    </row>
    <row r="741" spans="1:2" ht="16.5" customHeight="1">
      <c r="A741" s="3"/>
      <c r="B741" s="3"/>
    </row>
    <row r="742" spans="1:2" ht="16.5" customHeight="1">
      <c r="A742" s="3"/>
      <c r="B742" s="3"/>
    </row>
    <row r="743" spans="1:2" ht="16.5" customHeight="1">
      <c r="A743" s="3"/>
      <c r="B743" s="3"/>
    </row>
    <row r="744" spans="1:2" ht="16.5" customHeight="1">
      <c r="A744" s="3"/>
      <c r="B744" s="3"/>
    </row>
    <row r="745" spans="1:2" ht="16.5" customHeight="1">
      <c r="A745" s="3"/>
      <c r="B745" s="3"/>
    </row>
    <row r="746" spans="1:2" ht="16.5" customHeight="1">
      <c r="A746" s="3"/>
      <c r="B746" s="3"/>
    </row>
    <row r="747" spans="1:2" ht="16.5" customHeight="1">
      <c r="A747" s="3"/>
      <c r="B747" s="3"/>
    </row>
    <row r="748" spans="1:2" ht="16.5" customHeight="1">
      <c r="A748" s="3"/>
      <c r="B748" s="3"/>
    </row>
    <row r="749" spans="1:2" ht="16.5" customHeight="1">
      <c r="A749" s="3"/>
      <c r="B749" s="3"/>
    </row>
    <row r="750" spans="1:2" ht="16.5" customHeight="1">
      <c r="A750" s="3"/>
      <c r="B750" s="3"/>
    </row>
    <row r="751" spans="1:2" ht="16.5" customHeight="1">
      <c r="A751" s="3"/>
      <c r="B751" s="3"/>
    </row>
    <row r="752" spans="1:2" ht="16.5" customHeight="1">
      <c r="A752" s="3"/>
      <c r="B752" s="3"/>
    </row>
    <row r="753" spans="1:2" ht="16.5" customHeight="1">
      <c r="A753" s="3"/>
      <c r="B753" s="3"/>
    </row>
    <row r="754" spans="1:2" ht="16.5" customHeight="1">
      <c r="A754" s="3"/>
      <c r="B754" s="3"/>
    </row>
    <row r="755" spans="1:2" ht="16.5" customHeight="1">
      <c r="A755" s="3"/>
      <c r="B755" s="3"/>
    </row>
    <row r="756" spans="1:2" ht="16.5" customHeight="1">
      <c r="A756" s="3"/>
      <c r="B756" s="3"/>
    </row>
    <row r="757" spans="1:2" ht="16.5" customHeight="1">
      <c r="A757" s="3"/>
      <c r="B757" s="3"/>
    </row>
    <row r="758" spans="1:2" ht="16.5" customHeight="1">
      <c r="A758" s="3"/>
      <c r="B758" s="3"/>
    </row>
    <row r="759" spans="1:2" ht="16.5" customHeight="1">
      <c r="A759" s="3"/>
      <c r="B759" s="3"/>
    </row>
    <row r="760" spans="1:2" ht="16.5" customHeight="1">
      <c r="A760" s="3"/>
      <c r="B760" s="3"/>
    </row>
    <row r="761" spans="1:2" ht="16.5" customHeight="1">
      <c r="A761" s="3"/>
      <c r="B761" s="3"/>
    </row>
    <row r="762" spans="1:2" ht="16.5" customHeight="1">
      <c r="A762" s="3"/>
      <c r="B762" s="3"/>
    </row>
    <row r="763" spans="1:2" ht="16.5" customHeight="1">
      <c r="A763" s="3"/>
      <c r="B763" s="3"/>
    </row>
    <row r="764" spans="1:2" ht="16.5" customHeight="1">
      <c r="A764" s="3"/>
      <c r="B764" s="3"/>
    </row>
    <row r="765" spans="1:2" ht="16.5" customHeight="1">
      <c r="A765" s="3"/>
      <c r="B765" s="3"/>
    </row>
    <row r="766" spans="1:2" ht="16.5" customHeight="1">
      <c r="A766" s="3"/>
      <c r="B766" s="3"/>
    </row>
    <row r="767" spans="1:2" ht="16.5" customHeight="1">
      <c r="A767" s="3"/>
      <c r="B767" s="3"/>
    </row>
    <row r="768" spans="1:2" ht="16.5" customHeight="1">
      <c r="A768" s="3"/>
      <c r="B768" s="3"/>
    </row>
    <row r="769" spans="1:2" ht="16.5" customHeight="1">
      <c r="A769" s="3"/>
      <c r="B769" s="3"/>
    </row>
    <row r="770" spans="1:2" ht="16.5" customHeight="1">
      <c r="A770" s="3"/>
      <c r="B770" s="3"/>
    </row>
    <row r="771" spans="1:2" ht="16.5" customHeight="1">
      <c r="A771" s="3"/>
      <c r="B771" s="3"/>
    </row>
    <row r="772" spans="1:2" ht="16.5" customHeight="1">
      <c r="A772" s="3"/>
      <c r="B772" s="3"/>
    </row>
    <row r="773" spans="1:2" ht="16.5" customHeight="1">
      <c r="A773" s="3"/>
      <c r="B773" s="3"/>
    </row>
    <row r="774" spans="1:2" ht="16.5" customHeight="1">
      <c r="A774" s="3"/>
      <c r="B774" s="3"/>
    </row>
    <row r="775" spans="1:2" ht="16.5" customHeight="1">
      <c r="A775" s="3"/>
      <c r="B775" s="3"/>
    </row>
    <row r="776" spans="1:2" ht="16.5" customHeight="1">
      <c r="A776" s="3"/>
      <c r="B776" s="3"/>
    </row>
    <row r="777" spans="1:2" ht="16.5" customHeight="1">
      <c r="A777" s="3"/>
      <c r="B777" s="3"/>
    </row>
    <row r="778" spans="1:2" ht="16.5" customHeight="1">
      <c r="A778" s="3"/>
      <c r="B778" s="3"/>
    </row>
    <row r="779" spans="1:2" ht="16.5" customHeight="1">
      <c r="A779" s="3"/>
      <c r="B779" s="3"/>
    </row>
    <row r="780" spans="1:2" ht="16.5" customHeight="1">
      <c r="A780" s="3"/>
      <c r="B780" s="3"/>
    </row>
    <row r="781" spans="1:2" ht="16.5" customHeight="1">
      <c r="A781" s="3"/>
      <c r="B781" s="3"/>
    </row>
    <row r="782" spans="1:2" ht="16.5" customHeight="1">
      <c r="A782" s="3"/>
      <c r="B782" s="3"/>
    </row>
    <row r="783" spans="1:2" ht="16.5" customHeight="1">
      <c r="A783" s="3"/>
      <c r="B783" s="3"/>
    </row>
    <row r="784" spans="1:2" ht="16.5" customHeight="1">
      <c r="A784" s="3"/>
      <c r="B784" s="3"/>
    </row>
    <row r="785" spans="1:2" ht="16.5" customHeight="1">
      <c r="A785" s="3"/>
      <c r="B785" s="3"/>
    </row>
    <row r="786" spans="1:2" ht="16.5" customHeight="1">
      <c r="A786" s="3"/>
      <c r="B786" s="3"/>
    </row>
    <row r="787" spans="1:2" ht="16.5" customHeight="1">
      <c r="A787" s="3"/>
      <c r="B787" s="3"/>
    </row>
    <row r="788" spans="1:2" ht="16.5" customHeight="1">
      <c r="A788" s="3"/>
      <c r="B788" s="3"/>
    </row>
    <row r="789" spans="1:2" ht="16.5" customHeight="1">
      <c r="A789" s="3"/>
      <c r="B789" s="3"/>
    </row>
    <row r="790" spans="1:2" ht="16.5" customHeight="1">
      <c r="A790" s="3"/>
      <c r="B790" s="3"/>
    </row>
    <row r="791" spans="1:2" ht="16.5" customHeight="1">
      <c r="A791" s="3"/>
      <c r="B791" s="3"/>
    </row>
    <row r="792" spans="1:2" ht="16.5" customHeight="1">
      <c r="A792" s="3"/>
      <c r="B792" s="3"/>
    </row>
    <row r="793" spans="1:2" ht="16.5" customHeight="1">
      <c r="A793" s="3"/>
      <c r="B793" s="3"/>
    </row>
    <row r="794" spans="1:2" ht="16.5" customHeight="1">
      <c r="A794" s="3"/>
      <c r="B794" s="3"/>
    </row>
    <row r="795" spans="1:2" ht="16.5" customHeight="1">
      <c r="A795" s="3"/>
      <c r="B795" s="3"/>
    </row>
    <row r="796" spans="1:2" ht="16.5" customHeight="1">
      <c r="A796" s="3"/>
      <c r="B796" s="3"/>
    </row>
    <row r="797" spans="1:2" ht="16.5" customHeight="1">
      <c r="A797" s="3"/>
      <c r="B797" s="3"/>
    </row>
    <row r="798" spans="1:2" ht="16.5" customHeight="1">
      <c r="A798" s="3"/>
      <c r="B798" s="3"/>
    </row>
    <row r="799" spans="1:2" ht="16.5" customHeight="1">
      <c r="A799" s="3"/>
      <c r="B799" s="3"/>
    </row>
    <row r="800" spans="1:2" ht="16.5" customHeight="1">
      <c r="A800" s="3"/>
      <c r="B800" s="3"/>
    </row>
    <row r="801" spans="1:2" ht="16.5" customHeight="1">
      <c r="A801" s="3"/>
      <c r="B801" s="3"/>
    </row>
    <row r="802" spans="1:2" ht="16.5" customHeight="1">
      <c r="A802" s="3"/>
      <c r="B802" s="3"/>
    </row>
    <row r="803" spans="1:2" ht="16.5" customHeight="1">
      <c r="A803" s="3"/>
      <c r="B803" s="3"/>
    </row>
    <row r="804" spans="1:2" ht="16.5" customHeight="1">
      <c r="A804" s="3"/>
      <c r="B804" s="3"/>
    </row>
    <row r="805" spans="1:2" ht="16.5" customHeight="1">
      <c r="A805" s="3"/>
      <c r="B805" s="3"/>
    </row>
    <row r="806" spans="1:2" ht="16.5" customHeight="1">
      <c r="A806" s="3"/>
      <c r="B806" s="3"/>
    </row>
    <row r="807" spans="1:2" ht="16.5" customHeight="1">
      <c r="A807" s="3"/>
      <c r="B807" s="3"/>
    </row>
    <row r="808" spans="1:2" ht="16.5" customHeight="1">
      <c r="A808" s="3"/>
      <c r="B808" s="3"/>
    </row>
    <row r="809" spans="1:2" ht="16.5" customHeight="1">
      <c r="A809" s="3"/>
      <c r="B809" s="3"/>
    </row>
    <row r="810" spans="1:2" ht="16.5" customHeight="1">
      <c r="A810" s="3"/>
      <c r="B810" s="3"/>
    </row>
    <row r="811" spans="1:2" ht="16.5" customHeight="1">
      <c r="A811" s="3"/>
      <c r="B811" s="3"/>
    </row>
    <row r="812" spans="1:2" ht="16.5" customHeight="1">
      <c r="A812" s="3"/>
      <c r="B812" s="3"/>
    </row>
    <row r="813" spans="1:2" ht="16.5" customHeight="1">
      <c r="A813" s="3"/>
      <c r="B813" s="3"/>
    </row>
    <row r="814" spans="1:2" ht="16.5" customHeight="1">
      <c r="A814" s="3"/>
      <c r="B814" s="3"/>
    </row>
    <row r="815" spans="1:2" ht="16.5" customHeight="1">
      <c r="A815" s="3"/>
      <c r="B815" s="3"/>
    </row>
    <row r="816" spans="1:2" ht="16.5" customHeight="1">
      <c r="A816" s="3"/>
      <c r="B816" s="3"/>
    </row>
    <row r="817" spans="1:2" ht="16.5" customHeight="1">
      <c r="A817" s="3"/>
      <c r="B817" s="3"/>
    </row>
    <row r="818" spans="1:2" ht="16.5" customHeight="1">
      <c r="A818" s="3"/>
      <c r="B818" s="3"/>
    </row>
    <row r="819" spans="1:2" ht="16.5" customHeight="1">
      <c r="A819" s="3"/>
      <c r="B819" s="3"/>
    </row>
    <row r="820" spans="1:2" ht="16.5" customHeight="1">
      <c r="A820" s="3"/>
      <c r="B820" s="3"/>
    </row>
    <row r="821" spans="1:2" ht="16.5" customHeight="1">
      <c r="A821" s="3"/>
      <c r="B821" s="3"/>
    </row>
    <row r="822" spans="1:2" ht="16.5" customHeight="1">
      <c r="A822" s="3"/>
      <c r="B822" s="3"/>
    </row>
    <row r="823" spans="1:2" ht="16.5" customHeight="1">
      <c r="A823" s="3"/>
      <c r="B823" s="3"/>
    </row>
    <row r="824" spans="1:2" ht="16.5" customHeight="1">
      <c r="A824" s="3"/>
      <c r="B824" s="3"/>
    </row>
    <row r="825" spans="1:2" ht="16.5" customHeight="1">
      <c r="A825" s="3"/>
      <c r="B825" s="3"/>
    </row>
    <row r="826" spans="1:2" ht="16.5" customHeight="1">
      <c r="A826" s="3"/>
      <c r="B826" s="3"/>
    </row>
    <row r="827" spans="1:2" ht="16.5" customHeight="1">
      <c r="A827" s="3"/>
      <c r="B827" s="3"/>
    </row>
    <row r="828" spans="1:2" ht="16.5" customHeight="1">
      <c r="A828" s="3"/>
      <c r="B828" s="3"/>
    </row>
    <row r="829" spans="1:2" ht="16.5" customHeight="1">
      <c r="A829" s="3"/>
      <c r="B829" s="3"/>
    </row>
    <row r="830" spans="1:2" ht="16.5" customHeight="1">
      <c r="A830" s="3"/>
      <c r="B830" s="3"/>
    </row>
    <row r="831" spans="1:2" ht="16.5" customHeight="1">
      <c r="A831" s="3"/>
      <c r="B831" s="3"/>
    </row>
    <row r="832" spans="1:2" ht="16.5" customHeight="1">
      <c r="A832" s="3"/>
      <c r="B832" s="3"/>
    </row>
    <row r="833" spans="1:2" ht="16.5" customHeight="1">
      <c r="A833" s="3"/>
      <c r="B833" s="3"/>
    </row>
    <row r="834" spans="1:2" ht="16.5" customHeight="1">
      <c r="A834" s="3"/>
      <c r="B834" s="3"/>
    </row>
    <row r="835" spans="1:2" ht="16.5" customHeight="1">
      <c r="A835" s="3"/>
      <c r="B835" s="3"/>
    </row>
    <row r="836" spans="1:2" ht="16.5" customHeight="1">
      <c r="A836" s="3"/>
      <c r="B836" s="3"/>
    </row>
    <row r="837" spans="1:2" ht="16.5" customHeight="1">
      <c r="A837" s="3"/>
      <c r="B837" s="3"/>
    </row>
    <row r="838" spans="1:2" ht="16.5" customHeight="1">
      <c r="A838" s="3"/>
      <c r="B838" s="3"/>
    </row>
    <row r="839" spans="1:2" ht="16.5" customHeight="1">
      <c r="A839" s="3"/>
      <c r="B839" s="3"/>
    </row>
    <row r="840" spans="1:2" ht="16.5" customHeight="1">
      <c r="A840" s="3"/>
      <c r="B840" s="3"/>
    </row>
    <row r="841" spans="1:2" ht="16.5" customHeight="1">
      <c r="A841" s="3"/>
      <c r="B841" s="3"/>
    </row>
    <row r="842" spans="1:2" ht="16.5" customHeight="1">
      <c r="A842" s="3"/>
      <c r="B842" s="3"/>
    </row>
    <row r="843" spans="1:2" ht="16.5" customHeight="1">
      <c r="A843" s="3"/>
      <c r="B843" s="3"/>
    </row>
    <row r="844" spans="1:2" ht="16.5" customHeight="1">
      <c r="A844" s="3"/>
      <c r="B844" s="3"/>
    </row>
    <row r="845" spans="1:2" ht="16.5" customHeight="1">
      <c r="A845" s="3"/>
      <c r="B845" s="3"/>
    </row>
    <row r="846" spans="1:2" ht="16.5" customHeight="1">
      <c r="A846" s="3"/>
      <c r="B846" s="3"/>
    </row>
    <row r="847" spans="1:2" ht="16.5" customHeight="1">
      <c r="A847" s="3"/>
      <c r="B847" s="3"/>
    </row>
    <row r="848" spans="1:2" ht="16.5" customHeight="1">
      <c r="A848" s="3"/>
      <c r="B848" s="3"/>
    </row>
    <row r="849" spans="1:2" ht="16.5" customHeight="1">
      <c r="A849" s="3"/>
      <c r="B849" s="3"/>
    </row>
    <row r="850" spans="1:2" ht="16.5" customHeight="1">
      <c r="A850" s="3"/>
      <c r="B850" s="3"/>
    </row>
    <row r="851" spans="1:2" ht="16.5" customHeight="1">
      <c r="A851" s="3"/>
      <c r="B851" s="3"/>
    </row>
    <row r="852" spans="1:2" ht="16.5" customHeight="1">
      <c r="A852" s="3"/>
      <c r="B852" s="3"/>
    </row>
    <row r="853" spans="1:2" ht="16.5" customHeight="1">
      <c r="A853" s="3"/>
      <c r="B853" s="3"/>
    </row>
    <row r="854" spans="1:2" ht="16.5" customHeight="1">
      <c r="A854" s="3"/>
      <c r="B854" s="3"/>
    </row>
    <row r="855" spans="1:2" ht="16.5" customHeight="1">
      <c r="A855" s="3"/>
      <c r="B855" s="3"/>
    </row>
    <row r="856" spans="1:2" ht="16.5" customHeight="1">
      <c r="A856" s="3"/>
      <c r="B856" s="3"/>
    </row>
    <row r="857" spans="1:2" ht="16.5" customHeight="1">
      <c r="A857" s="3"/>
      <c r="B857" s="3"/>
    </row>
    <row r="858" spans="1:2" ht="16.5" customHeight="1">
      <c r="A858" s="3"/>
      <c r="B858" s="3"/>
    </row>
    <row r="859" spans="1:2" ht="16.5" customHeight="1">
      <c r="A859" s="3"/>
      <c r="B859" s="3"/>
    </row>
    <row r="860" spans="1:2" ht="16.5" customHeight="1">
      <c r="A860" s="3"/>
      <c r="B860" s="3"/>
    </row>
    <row r="861" spans="1:2" ht="16.5" customHeight="1">
      <c r="A861" s="3"/>
      <c r="B861" s="3"/>
    </row>
    <row r="862" spans="1:2" ht="16.5" customHeight="1">
      <c r="A862" s="3"/>
      <c r="B862" s="3"/>
    </row>
    <row r="863" spans="1:2" ht="16.5" customHeight="1">
      <c r="A863" s="3"/>
      <c r="B863" s="3"/>
    </row>
    <row r="864" spans="1:2" ht="16.5" customHeight="1">
      <c r="A864" s="3"/>
      <c r="B864" s="3"/>
    </row>
    <row r="865" spans="1:2" ht="16.5" customHeight="1">
      <c r="A865" s="3"/>
      <c r="B865" s="3"/>
    </row>
    <row r="866" spans="1:2" ht="16.5" customHeight="1">
      <c r="A866" s="3"/>
      <c r="B866" s="3"/>
    </row>
    <row r="867" spans="1:2" ht="16.5" customHeight="1">
      <c r="A867" s="3"/>
      <c r="B867" s="3"/>
    </row>
    <row r="868" spans="1:2" ht="16.5" customHeight="1">
      <c r="A868" s="3"/>
      <c r="B868" s="3"/>
    </row>
    <row r="869" spans="1:2" ht="16.5" customHeight="1">
      <c r="A869" s="3"/>
      <c r="B869" s="3"/>
    </row>
    <row r="870" spans="1:2" ht="16.5" customHeight="1">
      <c r="A870" s="3"/>
      <c r="B870" s="3"/>
    </row>
    <row r="871" spans="1:2" ht="16.5" customHeight="1">
      <c r="A871" s="3"/>
      <c r="B871" s="3"/>
    </row>
    <row r="872" spans="1:2" ht="16.5" customHeight="1">
      <c r="A872" s="3"/>
      <c r="B872" s="3"/>
    </row>
    <row r="873" spans="1:2" ht="16.5" customHeight="1">
      <c r="A873" s="3"/>
      <c r="B873" s="3"/>
    </row>
    <row r="874" spans="1:2" ht="16.5" customHeight="1">
      <c r="A874" s="3"/>
      <c r="B874" s="3"/>
    </row>
    <row r="875" spans="1:2" ht="16.5" customHeight="1">
      <c r="A875" s="3"/>
      <c r="B875" s="3"/>
    </row>
    <row r="876" spans="1:2" ht="16.5" customHeight="1">
      <c r="A876" s="3"/>
      <c r="B876" s="3"/>
    </row>
    <row r="877" spans="1:2" ht="16.5" customHeight="1">
      <c r="A877" s="3"/>
      <c r="B877" s="3"/>
    </row>
    <row r="878" spans="1:2" ht="16.5" customHeight="1">
      <c r="A878" s="3"/>
      <c r="B878" s="3"/>
    </row>
    <row r="879" spans="1:2" ht="16.5" customHeight="1">
      <c r="A879" s="3"/>
      <c r="B879" s="3"/>
    </row>
    <row r="880" spans="1:2" ht="16.5" customHeight="1">
      <c r="A880" s="3"/>
      <c r="B880" s="3"/>
    </row>
    <row r="881" spans="1:2" ht="16.5" customHeight="1">
      <c r="A881" s="3"/>
      <c r="B881" s="3"/>
    </row>
    <row r="882" spans="1:2" ht="16.5" customHeight="1">
      <c r="A882" s="3"/>
      <c r="B882" s="3"/>
    </row>
    <row r="883" spans="1:2" ht="16.5" customHeight="1">
      <c r="A883" s="3"/>
      <c r="B883" s="3"/>
    </row>
    <row r="884" spans="1:2" ht="16.5" customHeight="1">
      <c r="A884" s="3"/>
      <c r="B884" s="3"/>
    </row>
    <row r="885" spans="1:2" ht="16.5" customHeight="1">
      <c r="A885" s="3"/>
      <c r="B885" s="3"/>
    </row>
    <row r="886" spans="1:2" ht="16.5" customHeight="1">
      <c r="A886" s="3"/>
      <c r="B886" s="3"/>
    </row>
    <row r="887" spans="1:2" ht="16.5" customHeight="1">
      <c r="A887" s="3"/>
      <c r="B887" s="3"/>
    </row>
    <row r="888" spans="1:2" ht="16.5" customHeight="1">
      <c r="A888" s="3"/>
      <c r="B888" s="3"/>
    </row>
    <row r="889" spans="1:2" ht="16.5" customHeight="1">
      <c r="A889" s="3"/>
      <c r="B889" s="3"/>
    </row>
    <row r="890" spans="1:2" ht="16.5" customHeight="1">
      <c r="A890" s="3"/>
      <c r="B890" s="3"/>
    </row>
    <row r="891" spans="1:2" ht="16.5" customHeight="1">
      <c r="A891" s="3"/>
      <c r="B891" s="3"/>
    </row>
    <row r="892" spans="1:2" ht="16.5" customHeight="1">
      <c r="A892" s="3"/>
      <c r="B892" s="3"/>
    </row>
    <row r="893" spans="1:2" ht="16.5" customHeight="1">
      <c r="A893" s="3"/>
      <c r="B893" s="3"/>
    </row>
    <row r="894" spans="1:2" ht="16.5" customHeight="1">
      <c r="A894" s="3"/>
      <c r="B894" s="3"/>
    </row>
    <row r="895" spans="1:2" ht="16.5" customHeight="1">
      <c r="A895" s="3"/>
      <c r="B895" s="3"/>
    </row>
    <row r="896" spans="1:2" ht="16.5" customHeight="1">
      <c r="A896" s="3"/>
      <c r="B896" s="3"/>
    </row>
    <row r="897" spans="1:2" ht="16.5" customHeight="1">
      <c r="A897" s="3"/>
      <c r="B897" s="3"/>
    </row>
    <row r="898" spans="1:2" ht="16.5" customHeight="1">
      <c r="A898" s="3"/>
      <c r="B898" s="3"/>
    </row>
    <row r="899" spans="1:2" ht="16.5" customHeight="1">
      <c r="A899" s="3"/>
      <c r="B899" s="3"/>
    </row>
    <row r="900" spans="1:2" ht="16.5" customHeight="1">
      <c r="A900" s="3"/>
      <c r="B900" s="3"/>
    </row>
    <row r="901" spans="1:2" ht="16.5" customHeight="1">
      <c r="A901" s="3"/>
      <c r="B901" s="3"/>
    </row>
    <row r="902" spans="1:2" ht="16.5" customHeight="1">
      <c r="A902" s="3"/>
      <c r="B902" s="3"/>
    </row>
    <row r="903" spans="1:2" ht="16.5" customHeight="1">
      <c r="A903" s="3"/>
      <c r="B903" s="3"/>
    </row>
    <row r="904" spans="1:2" ht="16.5" customHeight="1">
      <c r="A904" s="3"/>
      <c r="B904" s="3"/>
    </row>
    <row r="905" spans="1:2" ht="16.5" customHeight="1">
      <c r="A905" s="3"/>
      <c r="B905" s="3"/>
    </row>
    <row r="906" spans="1:2" ht="16.5" customHeight="1">
      <c r="A906" s="3"/>
      <c r="B906" s="3"/>
    </row>
    <row r="907" spans="1:2" ht="16.5" customHeight="1">
      <c r="A907" s="3"/>
      <c r="B907" s="3"/>
    </row>
    <row r="908" spans="1:2" ht="16.5" customHeight="1">
      <c r="A908" s="3"/>
      <c r="B908" s="3"/>
    </row>
    <row r="909" spans="1:2" ht="16.5" customHeight="1">
      <c r="A909" s="3"/>
      <c r="B909" s="3"/>
    </row>
    <row r="910" spans="1:2" ht="16.5" customHeight="1">
      <c r="A910" s="3"/>
      <c r="B910" s="3"/>
    </row>
    <row r="911" spans="1:2" ht="16.5" customHeight="1">
      <c r="A911" s="3"/>
      <c r="B911" s="3"/>
    </row>
    <row r="912" spans="1:2" ht="16.5" customHeight="1">
      <c r="A912" s="3"/>
      <c r="B912" s="3"/>
    </row>
    <row r="913" spans="1:2" ht="16.5" customHeight="1">
      <c r="A913" s="3"/>
      <c r="B913" s="3"/>
    </row>
    <row r="914" spans="1:2" ht="16.5" customHeight="1">
      <c r="A914" s="3"/>
      <c r="B914" s="3"/>
    </row>
    <row r="915" spans="1:2" ht="16.5" customHeight="1">
      <c r="A915" s="3"/>
      <c r="B915" s="3"/>
    </row>
    <row r="916" spans="1:2" ht="16.5" customHeight="1">
      <c r="A916" s="3"/>
      <c r="B916" s="3"/>
    </row>
    <row r="917" spans="1:2" ht="16.5" customHeight="1">
      <c r="A917" s="3"/>
      <c r="B917" s="3"/>
    </row>
    <row r="918" spans="1:2" ht="16.5" customHeight="1">
      <c r="A918" s="3"/>
      <c r="B918" s="3"/>
    </row>
    <row r="919" spans="1:2" ht="16.5" customHeight="1">
      <c r="A919" s="3"/>
      <c r="B919" s="3"/>
    </row>
    <row r="920" spans="1:2" ht="16.5" customHeight="1">
      <c r="A920" s="3"/>
      <c r="B920" s="3"/>
    </row>
    <row r="921" spans="1:2" ht="16.5" customHeight="1">
      <c r="A921" s="3"/>
      <c r="B921" s="3"/>
    </row>
    <row r="922" spans="1:2" ht="16.5" customHeight="1">
      <c r="A922" s="3"/>
      <c r="B922" s="3"/>
    </row>
    <row r="923" spans="1:2" ht="16.5" customHeight="1">
      <c r="A923" s="3"/>
      <c r="B923" s="3"/>
    </row>
    <row r="924" spans="1:2" ht="16.5" customHeight="1">
      <c r="A924" s="3"/>
      <c r="B924" s="3"/>
    </row>
    <row r="925" spans="1:2" ht="16.5" customHeight="1">
      <c r="A925" s="3"/>
      <c r="B925" s="3"/>
    </row>
    <row r="926" spans="1:2" ht="16.5" customHeight="1">
      <c r="A926" s="3"/>
      <c r="B926" s="3"/>
    </row>
    <row r="927" spans="1:2" ht="16.5" customHeight="1">
      <c r="A927" s="3"/>
      <c r="B927" s="3"/>
    </row>
    <row r="928" spans="1:2" ht="16.5" customHeight="1">
      <c r="A928" s="3"/>
      <c r="B928" s="3"/>
    </row>
    <row r="929" spans="1:2" ht="16.5" customHeight="1">
      <c r="A929" s="3"/>
      <c r="B929" s="3"/>
    </row>
    <row r="930" spans="1:2" ht="16.5" customHeight="1">
      <c r="A930" s="3"/>
      <c r="B930" s="3"/>
    </row>
    <row r="931" spans="1:2" ht="16.5" customHeight="1">
      <c r="A931" s="3"/>
      <c r="B931" s="3"/>
    </row>
    <row r="932" spans="1:2" ht="16.5" customHeight="1">
      <c r="A932" s="3"/>
      <c r="B932" s="3"/>
    </row>
    <row r="933" spans="1:2" ht="16.5" customHeight="1">
      <c r="A933" s="3"/>
      <c r="B933" s="3"/>
    </row>
    <row r="934" spans="1:2" ht="16.5" customHeight="1">
      <c r="A934" s="3"/>
      <c r="B934" s="3"/>
    </row>
    <row r="935" spans="1:2" ht="16.5" customHeight="1">
      <c r="A935" s="3"/>
      <c r="B935" s="3"/>
    </row>
    <row r="936" spans="1:2" ht="16.5" customHeight="1">
      <c r="A936" s="3"/>
      <c r="B936" s="3"/>
    </row>
    <row r="937" spans="1:2" ht="16.5" customHeight="1">
      <c r="A937" s="3"/>
      <c r="B937" s="3"/>
    </row>
    <row r="938" spans="1:2" ht="16.5" customHeight="1">
      <c r="A938" s="3"/>
      <c r="B938" s="3"/>
    </row>
    <row r="939" spans="1:2" ht="16.5" customHeight="1">
      <c r="A939" s="3"/>
      <c r="B939" s="3"/>
    </row>
    <row r="940" spans="1:2" ht="16.5" customHeight="1">
      <c r="A940" s="3"/>
      <c r="B940" s="3"/>
    </row>
    <row r="941" spans="1:2" ht="16.5" customHeight="1">
      <c r="A941" s="3"/>
      <c r="B941" s="3"/>
    </row>
    <row r="942" spans="1:2" ht="16.5" customHeight="1">
      <c r="A942" s="3"/>
      <c r="B942" s="3"/>
    </row>
    <row r="943" spans="1:2" ht="16.5" customHeight="1">
      <c r="A943" s="3"/>
      <c r="B943" s="3"/>
    </row>
    <row r="944" spans="1:2" ht="16.5" customHeight="1">
      <c r="A944" s="3"/>
      <c r="B944" s="3"/>
    </row>
    <row r="945" spans="1:2" ht="16.5" customHeight="1">
      <c r="A945" s="3"/>
      <c r="B945" s="3"/>
    </row>
    <row r="946" spans="1:2" ht="16.5" customHeight="1">
      <c r="A946" s="3"/>
      <c r="B946" s="3"/>
    </row>
    <row r="947" spans="1:2" ht="16.5" customHeight="1">
      <c r="A947" s="3"/>
      <c r="B947" s="3"/>
    </row>
    <row r="948" spans="1:2" ht="16.5" customHeight="1">
      <c r="A948" s="3"/>
      <c r="B948" s="3"/>
    </row>
    <row r="949" spans="1:2" ht="16.5" customHeight="1">
      <c r="A949" s="3"/>
      <c r="B949" s="3"/>
    </row>
    <row r="950" spans="1:2" ht="16.5" customHeight="1">
      <c r="A950" s="3"/>
      <c r="B950" s="3"/>
    </row>
    <row r="951" spans="1:2" ht="16.5" customHeight="1">
      <c r="A951" s="3"/>
      <c r="B951" s="3"/>
    </row>
    <row r="952" spans="1:2" ht="16.5" customHeight="1">
      <c r="A952" s="3"/>
      <c r="B952" s="3"/>
    </row>
    <row r="953" spans="1:2" ht="16.5" customHeight="1">
      <c r="A953" s="3"/>
      <c r="B953" s="3"/>
    </row>
    <row r="954" spans="1:2" ht="16.5" customHeight="1">
      <c r="A954" s="3"/>
      <c r="B954" s="3"/>
    </row>
    <row r="955" spans="1:2" ht="16.5" customHeight="1">
      <c r="A955" s="3"/>
      <c r="B955" s="3"/>
    </row>
    <row r="956" spans="1:2" ht="16.5" customHeight="1">
      <c r="A956" s="3"/>
      <c r="B956" s="3"/>
    </row>
    <row r="957" spans="1:2" ht="16.5" customHeight="1">
      <c r="A957" s="3"/>
      <c r="B957" s="3"/>
    </row>
    <row r="958" spans="1:2" ht="16.5" customHeight="1">
      <c r="A958" s="3"/>
      <c r="B958" s="3"/>
    </row>
    <row r="959" spans="1:2" ht="16.5" customHeight="1">
      <c r="A959" s="3"/>
      <c r="B959" s="3"/>
    </row>
    <row r="960" spans="1:2" ht="16.5" customHeight="1">
      <c r="A960" s="3"/>
      <c r="B960" s="3"/>
    </row>
    <row r="961" spans="1:2" ht="16.5" customHeight="1">
      <c r="A961" s="3"/>
      <c r="B961" s="3"/>
    </row>
    <row r="962" spans="1:2" ht="16.5" customHeight="1">
      <c r="A962" s="3"/>
      <c r="B962" s="3"/>
    </row>
    <row r="963" spans="1:2" ht="16.5" customHeight="1">
      <c r="A963" s="3"/>
      <c r="B963" s="3"/>
    </row>
    <row r="964" spans="1:2" ht="16.5" customHeight="1">
      <c r="A964" s="3"/>
      <c r="B964" s="3"/>
    </row>
    <row r="965" spans="1:2" ht="16.5" customHeight="1">
      <c r="A965" s="3"/>
      <c r="B965" s="3"/>
    </row>
    <row r="966" spans="1:2" ht="16.5" customHeight="1">
      <c r="A966" s="3"/>
      <c r="B966" s="3"/>
    </row>
    <row r="967" spans="1:2" ht="16.5" customHeight="1">
      <c r="A967" s="3"/>
      <c r="B967" s="3"/>
    </row>
    <row r="968" spans="1:2" ht="16.5" customHeight="1">
      <c r="A968" s="3"/>
      <c r="B968" s="3"/>
    </row>
    <row r="969" spans="1:2" ht="16.5" customHeight="1">
      <c r="A969" s="3"/>
      <c r="B969" s="3"/>
    </row>
    <row r="970" spans="1:2" ht="16.5" customHeight="1">
      <c r="A970" s="3"/>
      <c r="B970" s="3"/>
    </row>
    <row r="971" spans="1:2" ht="16.5" customHeight="1">
      <c r="A971" s="3"/>
      <c r="B971" s="3"/>
    </row>
    <row r="972" spans="1:2" ht="16.5" customHeight="1">
      <c r="A972" s="3"/>
      <c r="B972" s="3"/>
    </row>
    <row r="973" spans="1:2" ht="16.5" customHeight="1">
      <c r="A973" s="3"/>
      <c r="B973" s="3"/>
    </row>
    <row r="974" spans="1:2" ht="16.5" customHeight="1">
      <c r="A974" s="3"/>
      <c r="B974" s="3"/>
    </row>
    <row r="975" spans="1:2" ht="16.5" customHeight="1">
      <c r="A975" s="3"/>
      <c r="B975" s="3"/>
    </row>
    <row r="976" spans="1:2" ht="16.5" customHeight="1">
      <c r="A976" s="3"/>
      <c r="B976" s="3"/>
    </row>
    <row r="977" spans="1:2" ht="16.5" customHeight="1">
      <c r="A977" s="3"/>
      <c r="B977" s="3"/>
    </row>
    <row r="978" spans="1:2" ht="16.5" customHeight="1">
      <c r="A978" s="3"/>
      <c r="B978" s="3"/>
    </row>
    <row r="979" spans="1:2" ht="16.5" customHeight="1">
      <c r="A979" s="3"/>
      <c r="B979" s="3"/>
    </row>
    <row r="980" spans="1:2" ht="16.5" customHeight="1">
      <c r="A980" s="3"/>
      <c r="B980" s="3"/>
    </row>
    <row r="981" spans="1:2" ht="16.5" customHeight="1">
      <c r="A981" s="3"/>
      <c r="B981" s="3"/>
    </row>
    <row r="982" spans="1:2" ht="16.5" customHeight="1">
      <c r="A982" s="3"/>
      <c r="B982" s="3"/>
    </row>
    <row r="983" spans="1:2" ht="16.5" customHeight="1">
      <c r="A983" s="3"/>
      <c r="B983" s="3"/>
    </row>
    <row r="984" spans="1:2" ht="16.5" customHeight="1">
      <c r="A984" s="3"/>
      <c r="B984" s="3"/>
    </row>
    <row r="985" spans="1:2" ht="16.5" customHeight="1">
      <c r="A985" s="3"/>
      <c r="B985" s="3"/>
    </row>
    <row r="986" spans="1:2" ht="16.5" customHeight="1">
      <c r="A986" s="3"/>
      <c r="B986" s="3"/>
    </row>
    <row r="987" spans="1:2" ht="16.5" customHeight="1">
      <c r="A987" s="3"/>
      <c r="B987" s="3"/>
    </row>
    <row r="988" spans="1:2" ht="16.5" customHeight="1">
      <c r="A988" s="3"/>
      <c r="B988" s="3"/>
    </row>
    <row r="989" spans="1:2" ht="16.5" customHeight="1">
      <c r="A989" s="3"/>
      <c r="B989" s="3"/>
    </row>
    <row r="990" spans="1:2" ht="16.5" customHeight="1">
      <c r="A990" s="3"/>
      <c r="B990" s="3"/>
    </row>
    <row r="991" spans="1:2" ht="16.5" customHeight="1">
      <c r="A991" s="3"/>
      <c r="B991" s="3"/>
    </row>
    <row r="992" spans="1:2" ht="16.5" customHeight="1">
      <c r="A992" s="3"/>
      <c r="B992" s="3"/>
    </row>
    <row r="993" spans="1:2" ht="16.5" customHeight="1">
      <c r="A993" s="3"/>
      <c r="B993" s="3"/>
    </row>
    <row r="994" spans="1:2" ht="16.5" customHeight="1">
      <c r="A994" s="3"/>
      <c r="B994" s="3"/>
    </row>
    <row r="995" spans="1:2" ht="16.5" customHeight="1">
      <c r="A995" s="3"/>
      <c r="B995" s="3"/>
    </row>
    <row r="996" spans="1:2" ht="16.5" customHeight="1">
      <c r="A996" s="3"/>
      <c r="B996" s="3"/>
    </row>
    <row r="997" spans="1:2" ht="16.5" customHeight="1">
      <c r="A997" s="3"/>
      <c r="B997" s="3"/>
    </row>
    <row r="998" spans="1:2" ht="16.5" customHeight="1">
      <c r="A998" s="3"/>
      <c r="B998" s="3"/>
    </row>
    <row r="999" spans="1:2" ht="16.5" customHeight="1">
      <c r="A999" s="3"/>
      <c r="B999" s="3"/>
    </row>
  </sheetData>
  <phoneticPr fontId="15" type="noConversion"/>
  <conditionalFormatting sqref="B9:B10">
    <cfRule type="cellIs" dxfId="45" priority="1" operator="lessThan">
      <formula>1</formula>
    </cfRule>
    <cfRule type="cellIs" dxfId="44" priority="2" operator="lessThan">
      <formula>2</formula>
    </cfRule>
  </conditionalFormatting>
  <pageMargins left="0.25" right="0.25" top="0.75" bottom="0.75" header="0" footer="0"/>
  <pageSetup paperSize="9" scale="90" orientation="landscape" r:id="rId1"/>
  <headerFooter>
    <oddFooter>&amp;C&amp;P/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7CAAC"/>
  </sheetPr>
  <dimension ref="A1:Z1001"/>
  <sheetViews>
    <sheetView workbookViewId="0"/>
  </sheetViews>
  <sheetFormatPr defaultColWidth="14.42578125" defaultRowHeight="15" customHeight="1"/>
  <cols>
    <col min="1" max="1" width="15.42578125" customWidth="1"/>
    <col min="2" max="5" width="16.85546875" bestFit="1" customWidth="1"/>
    <col min="6" max="6" width="8.7109375" customWidth="1"/>
    <col min="7" max="7" width="15.42578125" customWidth="1"/>
    <col min="8" max="8" width="19.28515625" bestFit="1" customWidth="1"/>
    <col min="9" max="11" width="16.85546875" bestFit="1" customWidth="1"/>
    <col min="12" max="12" width="8.7109375" customWidth="1"/>
    <col min="13" max="13" width="17.85546875" customWidth="1"/>
    <col min="14" max="16" width="19.140625" customWidth="1"/>
    <col min="17" max="17" width="15.42578125" customWidth="1"/>
    <col min="18" max="18" width="8.7109375" customWidth="1"/>
    <col min="19" max="19" width="17.85546875" customWidth="1"/>
    <col min="20" max="22" width="19.140625" customWidth="1"/>
    <col min="23" max="23" width="15.42578125" customWidth="1"/>
    <col min="24" max="24" width="8.7109375" customWidth="1"/>
    <col min="25" max="25" width="15.42578125" customWidth="1"/>
    <col min="26" max="26" width="8.7109375" customWidth="1"/>
  </cols>
  <sheetData>
    <row r="1" spans="1:26" ht="15" customHeight="1">
      <c r="B1" s="336" t="s">
        <v>299</v>
      </c>
      <c r="H1" s="336" t="s">
        <v>300</v>
      </c>
      <c r="N1" s="336" t="s">
        <v>301</v>
      </c>
    </row>
    <row r="2" spans="1:26" ht="16.5" customHeight="1">
      <c r="A2" s="46" t="s">
        <v>67</v>
      </c>
      <c r="C2" s="3"/>
      <c r="D2" s="3"/>
      <c r="E2" s="3"/>
      <c r="G2" s="46" t="s">
        <v>68</v>
      </c>
      <c r="I2" s="3"/>
      <c r="J2" s="3"/>
      <c r="K2" s="3"/>
      <c r="M2" s="46" t="s">
        <v>70</v>
      </c>
      <c r="N2" s="15">
        <v>2000000000</v>
      </c>
      <c r="O2" s="15">
        <v>2000000000</v>
      </c>
      <c r="P2" s="15">
        <v>2000000000</v>
      </c>
      <c r="Q2" s="15">
        <v>2000000000</v>
      </c>
      <c r="S2" s="46" t="s">
        <v>70</v>
      </c>
      <c r="T2" s="15">
        <v>1000000000</v>
      </c>
      <c r="U2" s="15">
        <v>1000000000</v>
      </c>
      <c r="V2" s="15">
        <v>1000000000</v>
      </c>
      <c r="W2" s="15">
        <v>1000000000</v>
      </c>
    </row>
    <row r="3" spans="1:26" ht="16.5" customHeight="1">
      <c r="A3" s="47">
        <v>2026</v>
      </c>
      <c r="B3" s="3" t="s">
        <v>8</v>
      </c>
      <c r="C3" s="3" t="s">
        <v>293</v>
      </c>
      <c r="D3" s="3" t="s">
        <v>293</v>
      </c>
      <c r="E3" s="3" t="s">
        <v>293</v>
      </c>
      <c r="G3" s="47">
        <v>2027</v>
      </c>
      <c r="H3" s="3" t="str">
        <f>B3</f>
        <v>주택1</v>
      </c>
      <c r="I3" s="3" t="str">
        <f>C3</f>
        <v>주택1</v>
      </c>
      <c r="J3" s="3" t="str">
        <f>D3</f>
        <v>주택1</v>
      </c>
      <c r="K3" s="3" t="str">
        <f>E3</f>
        <v>주택1</v>
      </c>
      <c r="M3" s="47">
        <v>2028</v>
      </c>
      <c r="N3" s="3" t="str">
        <f>H3</f>
        <v>주택1</v>
      </c>
      <c r="O3" s="3" t="str">
        <f>I3</f>
        <v>주택1</v>
      </c>
      <c r="P3" s="3" t="str">
        <f>J3</f>
        <v>주택1</v>
      </c>
      <c r="Q3" s="3" t="str">
        <f>K3</f>
        <v>주택1</v>
      </c>
      <c r="S3" s="47">
        <v>2029</v>
      </c>
      <c r="T3" s="3" t="str">
        <f>N3</f>
        <v>주택1</v>
      </c>
      <c r="U3" s="3" t="str">
        <f t="shared" ref="U3" si="0">O3</f>
        <v>주택1</v>
      </c>
      <c r="V3" s="3" t="str">
        <f t="shared" ref="V3" si="1">P3</f>
        <v>주택1</v>
      </c>
      <c r="W3" s="3" t="str">
        <f t="shared" ref="W3" si="2">Q3</f>
        <v>주택1</v>
      </c>
    </row>
    <row r="4" spans="1:26" ht="16.5" customHeight="1">
      <c r="B4" s="256" t="s">
        <v>0</v>
      </c>
      <c r="C4" s="256" t="s">
        <v>14</v>
      </c>
      <c r="D4" s="256" t="s">
        <v>4</v>
      </c>
      <c r="E4" s="256" t="s">
        <v>5</v>
      </c>
      <c r="G4" s="48"/>
      <c r="H4" s="256" t="s">
        <v>0</v>
      </c>
      <c r="I4" s="256" t="s">
        <v>14</v>
      </c>
      <c r="J4" s="256" t="s">
        <v>4</v>
      </c>
      <c r="K4" s="256" t="s">
        <v>5</v>
      </c>
      <c r="M4" s="48"/>
      <c r="N4" s="256" t="s">
        <v>0</v>
      </c>
      <c r="O4" s="256" t="s">
        <v>14</v>
      </c>
      <c r="P4" s="256" t="s">
        <v>4</v>
      </c>
      <c r="Q4" s="256" t="s">
        <v>5</v>
      </c>
      <c r="S4" s="48" t="s">
        <v>72</v>
      </c>
      <c r="T4" s="256" t="s">
        <v>0</v>
      </c>
      <c r="U4" s="256" t="s">
        <v>14</v>
      </c>
      <c r="V4" s="256" t="s">
        <v>4</v>
      </c>
      <c r="W4" s="256" t="s">
        <v>5</v>
      </c>
    </row>
    <row r="5" spans="1:26" ht="16.5" customHeight="1">
      <c r="A5" s="130" t="s">
        <v>226</v>
      </c>
      <c r="B5" s="132" t="str">
        <f>HLOOKUP(B$3,기초!$C$5:$I$16,MATCH($A5,기초!$A$5:$A$16,0),0)</f>
        <v>조정대상지역</v>
      </c>
      <c r="C5" s="132" t="str">
        <f>HLOOKUP(C$3,기초!$C$5:$I$16,MATCH($A5,기초!$A$5:$A$16,0),0)</f>
        <v>조정대상지역</v>
      </c>
      <c r="D5" s="132" t="str">
        <f>HLOOKUP(D$3,기초!$C$5:$I$16,MATCH($A5,기초!$A$5:$A$16,0),0)</f>
        <v>조정대상지역</v>
      </c>
      <c r="E5" s="132" t="str">
        <f>HLOOKUP(E$3,기초!$C$5:$I$16,MATCH($A5,기초!$A$5:$A$16,0),0)</f>
        <v>조정대상지역</v>
      </c>
      <c r="G5" s="3" t="s">
        <v>74</v>
      </c>
      <c r="H5" s="132" t="str">
        <f>B5</f>
        <v>조정대상지역</v>
      </c>
      <c r="I5" s="132" t="str">
        <f>C5</f>
        <v>조정대상지역</v>
      </c>
      <c r="J5" s="132" t="str">
        <f>D5</f>
        <v>조정대상지역</v>
      </c>
      <c r="K5" s="132" t="str">
        <f>E5</f>
        <v>조정대상지역</v>
      </c>
      <c r="M5" s="3" t="s">
        <v>74</v>
      </c>
      <c r="N5" s="132" t="str">
        <f>H5</f>
        <v>조정대상지역</v>
      </c>
      <c r="O5" s="132" t="str">
        <f>I5</f>
        <v>조정대상지역</v>
      </c>
      <c r="P5" s="132" t="str">
        <f>J5</f>
        <v>조정대상지역</v>
      </c>
      <c r="Q5" s="132" t="str">
        <f>K5</f>
        <v>조정대상지역</v>
      </c>
      <c r="S5" s="3" t="s">
        <v>74</v>
      </c>
      <c r="T5" s="132" t="str">
        <f>N5</f>
        <v>조정대상지역</v>
      </c>
      <c r="U5" s="132" t="str">
        <f t="shared" ref="U5" si="3">O5</f>
        <v>조정대상지역</v>
      </c>
      <c r="V5" s="132" t="str">
        <f t="shared" ref="V5" si="4">P5</f>
        <v>조정대상지역</v>
      </c>
      <c r="W5" s="132" t="str">
        <f t="shared" ref="W5" si="5">Q5</f>
        <v>조정대상지역</v>
      </c>
    </row>
    <row r="6" spans="1:26" ht="16.5" customHeight="1">
      <c r="A6" s="3" t="s">
        <v>233</v>
      </c>
      <c r="B6" s="132">
        <f>HLOOKUP(B$3,기초!$C$5:$I$16,MATCH($A6,기초!$A$5:$A$16,0),0)</f>
        <v>10</v>
      </c>
      <c r="C6" s="132">
        <f>HLOOKUP(C$3,기초!$C$5:$I$16,MATCH($A6,기초!$A$5:$A$16,0),0)</f>
        <v>10</v>
      </c>
      <c r="D6" s="132">
        <f>HLOOKUP(D$3,기초!$C$5:$I$16,MATCH($A6,기초!$A$5:$A$16,0),0)</f>
        <v>10</v>
      </c>
      <c r="E6" s="132">
        <f>HLOOKUP(E$3,기초!$C$5:$I$16,MATCH($A6,기초!$A$5:$A$16,0),0)</f>
        <v>10</v>
      </c>
      <c r="G6" s="3" t="s">
        <v>75</v>
      </c>
      <c r="H6" s="132">
        <f t="shared" ref="H6:K7" si="6">B6+1</f>
        <v>11</v>
      </c>
      <c r="I6" s="132">
        <f t="shared" si="6"/>
        <v>11</v>
      </c>
      <c r="J6" s="132">
        <f t="shared" si="6"/>
        <v>11</v>
      </c>
      <c r="K6" s="132">
        <f t="shared" si="6"/>
        <v>11</v>
      </c>
      <c r="M6" s="3" t="s">
        <v>75</v>
      </c>
      <c r="N6" s="132">
        <f t="shared" ref="N6:Q7" si="7">H6+1</f>
        <v>12</v>
      </c>
      <c r="O6" s="132">
        <f t="shared" si="7"/>
        <v>12</v>
      </c>
      <c r="P6" s="132">
        <f t="shared" si="7"/>
        <v>12</v>
      </c>
      <c r="Q6" s="132">
        <f t="shared" si="7"/>
        <v>12</v>
      </c>
      <c r="S6" s="3" t="s">
        <v>75</v>
      </c>
      <c r="T6" s="132">
        <f>N6+1</f>
        <v>13</v>
      </c>
      <c r="U6" s="132">
        <f t="shared" ref="U6:U7" si="8">O6+1</f>
        <v>13</v>
      </c>
      <c r="V6" s="132">
        <f t="shared" ref="V6:V7" si="9">P6+1</f>
        <v>13</v>
      </c>
      <c r="W6" s="132">
        <f t="shared" ref="W6:W7" si="10">Q6+1</f>
        <v>13</v>
      </c>
    </row>
    <row r="7" spans="1:26" ht="16.5" customHeight="1">
      <c r="A7" s="3" t="s">
        <v>234</v>
      </c>
      <c r="B7" s="132">
        <f>HLOOKUP(B$3,기초!$C$5:$I$16,MATCH($A7,기초!$A$5:$A$16,0),0)</f>
        <v>5</v>
      </c>
      <c r="C7" s="132">
        <f>HLOOKUP(C$3,기초!$C$5:$I$16,MATCH($A7,기초!$A$5:$A$16,0),0)</f>
        <v>5</v>
      </c>
      <c r="D7" s="132">
        <f>HLOOKUP(D$3,기초!$C$5:$I$16,MATCH($A7,기초!$A$5:$A$16,0),0)</f>
        <v>5</v>
      </c>
      <c r="E7" s="132">
        <f>HLOOKUP(E$3,기초!$C$5:$I$16,MATCH($A7,기초!$A$5:$A$16,0),0)</f>
        <v>5</v>
      </c>
      <c r="G7" s="3" t="s">
        <v>2</v>
      </c>
      <c r="H7" s="132">
        <f t="shared" si="6"/>
        <v>6</v>
      </c>
      <c r="I7" s="132">
        <f t="shared" si="6"/>
        <v>6</v>
      </c>
      <c r="J7" s="132">
        <f t="shared" si="6"/>
        <v>6</v>
      </c>
      <c r="K7" s="132">
        <f t="shared" si="6"/>
        <v>6</v>
      </c>
      <c r="M7" s="3" t="s">
        <v>2</v>
      </c>
      <c r="N7" s="132">
        <f t="shared" si="7"/>
        <v>7</v>
      </c>
      <c r="O7" s="132">
        <f t="shared" si="7"/>
        <v>7</v>
      </c>
      <c r="P7" s="132">
        <f t="shared" si="7"/>
        <v>7</v>
      </c>
      <c r="Q7" s="132">
        <f t="shared" si="7"/>
        <v>7</v>
      </c>
      <c r="S7" s="3" t="s">
        <v>2</v>
      </c>
      <c r="T7" s="132">
        <f>N7+1</f>
        <v>8</v>
      </c>
      <c r="U7" s="132">
        <f t="shared" si="8"/>
        <v>8</v>
      </c>
      <c r="V7" s="132">
        <f t="shared" si="9"/>
        <v>8</v>
      </c>
      <c r="W7" s="132">
        <f t="shared" si="10"/>
        <v>8</v>
      </c>
    </row>
    <row r="8" spans="1:26" ht="16.5" customHeight="1">
      <c r="A8" s="3" t="s">
        <v>77</v>
      </c>
      <c r="B8" s="3" t="str">
        <f t="shared" ref="B8:D8" si="11">IF(AND(B4="3주택",B5="조정대상지역"),"기본세율+30%",IF(B4="비사토","기본세율+10%",IF(AND(B4="2주택",B5="조정대상지역"),"기본세율+20%","기본세율")))</f>
        <v>기본세율</v>
      </c>
      <c r="C8" s="3" t="str">
        <f t="shared" si="11"/>
        <v>기본세율</v>
      </c>
      <c r="D8" s="3" t="str">
        <f t="shared" si="11"/>
        <v>기본세율+20%</v>
      </c>
      <c r="E8" s="3" t="str">
        <f t="shared" ref="E8" si="12">IF(AND(E4="3주택",E5="조정대상지역"),"기본세율+30%",IF(E4="비사토","기본세율+10%",IF(AND(E4="2주택",E5="조정대상지역"),"기본세율+20%","기본세율")))</f>
        <v>기본세율+30%</v>
      </c>
      <c r="G8" s="3" t="s">
        <v>77</v>
      </c>
      <c r="H8" s="3" t="str">
        <f t="shared" ref="H8:K8" si="13">IF(AND(H4="3주택",H5="조정대상지역"),"기본세율+30%",IF(H4="비사토","기본세율+10%",IF(AND(H4="2주택",H5="조정대상지역"),"기본세율+20%","기본세율")))</f>
        <v>기본세율</v>
      </c>
      <c r="I8" s="3" t="str">
        <f t="shared" si="13"/>
        <v>기본세율</v>
      </c>
      <c r="J8" s="3" t="str">
        <f t="shared" si="13"/>
        <v>기본세율+20%</v>
      </c>
      <c r="K8" s="3" t="str">
        <f t="shared" si="13"/>
        <v>기본세율+30%</v>
      </c>
      <c r="M8" s="3" t="s">
        <v>77</v>
      </c>
      <c r="N8" s="3" t="str">
        <f t="shared" ref="N8:Q8" si="14">IF(AND(N4="3주택",N5="조정대상지역"),"기본세율+30%",IF(N4="비사토","기본세율+10%",IF(AND(N4="2주택",N5="조정대상지역"),"기본세율+20%","기본세율")))</f>
        <v>기본세율</v>
      </c>
      <c r="O8" s="3" t="str">
        <f t="shared" si="14"/>
        <v>기본세율</v>
      </c>
      <c r="P8" s="3" t="str">
        <f t="shared" si="14"/>
        <v>기본세율+20%</v>
      </c>
      <c r="Q8" s="3" t="str">
        <f t="shared" si="14"/>
        <v>기본세율+30%</v>
      </c>
      <c r="S8" s="3" t="s">
        <v>77</v>
      </c>
      <c r="T8" s="3" t="str">
        <f t="shared" ref="T8:W8" si="15">IF(AND(T4="3주택",T5="조정대상지역"),"기본세율+30%",IF(T4="비사토","기본세율+10%",IF(AND(T4="2주택",T5="조정대상지역"),"기본세율+20%","기본세율")))</f>
        <v>기본세율</v>
      </c>
      <c r="U8" s="3" t="str">
        <f t="shared" si="15"/>
        <v>기본세율</v>
      </c>
      <c r="V8" s="3" t="str">
        <f t="shared" si="15"/>
        <v>기본세율+20%</v>
      </c>
      <c r="W8" s="3" t="str">
        <f t="shared" si="15"/>
        <v>기본세율+30%</v>
      </c>
    </row>
    <row r="9" spans="1:26" ht="16.5" customHeight="1">
      <c r="A9" s="3" t="s">
        <v>79</v>
      </c>
      <c r="B9" s="307">
        <v>1</v>
      </c>
      <c r="C9" s="307">
        <v>1</v>
      </c>
      <c r="D9" s="307">
        <v>1</v>
      </c>
      <c r="E9" s="307">
        <v>1</v>
      </c>
      <c r="G9" s="3" t="s">
        <v>79</v>
      </c>
      <c r="H9" s="307">
        <v>1</v>
      </c>
      <c r="I9" s="307">
        <v>1</v>
      </c>
      <c r="J9" s="307">
        <v>1</v>
      </c>
      <c r="K9" s="307">
        <v>1</v>
      </c>
      <c r="M9" s="3" t="s">
        <v>79</v>
      </c>
      <c r="N9" s="307">
        <v>1</v>
      </c>
      <c r="O9" s="307">
        <v>1</v>
      </c>
      <c r="P9" s="307">
        <v>1</v>
      </c>
      <c r="Q9" s="307">
        <v>1</v>
      </c>
      <c r="S9" s="3" t="s">
        <v>79</v>
      </c>
      <c r="T9" s="307">
        <v>1</v>
      </c>
      <c r="U9" s="307">
        <v>1</v>
      </c>
      <c r="V9" s="307">
        <v>1</v>
      </c>
      <c r="W9" s="307">
        <v>1</v>
      </c>
    </row>
    <row r="10" spans="1:26" ht="16.5" customHeight="1">
      <c r="A10" s="3"/>
      <c r="B10" s="17"/>
      <c r="C10" s="17"/>
      <c r="D10" s="17"/>
      <c r="E10" s="17"/>
      <c r="G10" s="3" t="s">
        <v>80</v>
      </c>
      <c r="H10" s="48"/>
      <c r="I10" s="48"/>
      <c r="J10" s="48"/>
      <c r="K10" s="48"/>
      <c r="M10" s="3" t="s">
        <v>80</v>
      </c>
      <c r="N10" s="48" t="b">
        <v>1</v>
      </c>
      <c r="O10" s="48" t="b">
        <v>1</v>
      </c>
      <c r="P10" s="48" t="b">
        <v>1</v>
      </c>
      <c r="Q10" s="48" t="b">
        <v>1</v>
      </c>
      <c r="S10" s="3" t="s">
        <v>80</v>
      </c>
      <c r="T10" s="48"/>
      <c r="U10" s="48" t="b">
        <v>1</v>
      </c>
      <c r="V10" s="48" t="b">
        <v>1</v>
      </c>
      <c r="W10" s="48" t="b">
        <v>1</v>
      </c>
    </row>
    <row r="11" spans="1:26" ht="16.5" customHeight="1"/>
    <row r="12" spans="1:26" ht="16.5" customHeight="1">
      <c r="A12" s="50" t="s">
        <v>235</v>
      </c>
      <c r="B12" s="132">
        <f>HLOOKUP(B$3,기초!$C$5:$I$16,MATCH($A12,기초!$A$5:$A$16,0),0)</f>
        <v>8400000000</v>
      </c>
      <c r="C12" s="132">
        <f>HLOOKUP(C$3,기초!$C$5:$I$16,MATCH($A12,기초!$A$5:$A$16,0),0)</f>
        <v>8400000000</v>
      </c>
      <c r="D12" s="132">
        <f>HLOOKUP(D$3,기초!$C$5:$I$16,MATCH($A12,기초!$A$5:$A$16,0),0)</f>
        <v>8400000000</v>
      </c>
      <c r="E12" s="132">
        <f>HLOOKUP(E$3,기초!$C$5:$I$16,MATCH($A12,기초!$A$5:$A$16,0),0)</f>
        <v>8400000000</v>
      </c>
      <c r="F12" s="19"/>
      <c r="G12" s="50" t="s">
        <v>235</v>
      </c>
      <c r="H12" s="148">
        <f>B12</f>
        <v>8400000000</v>
      </c>
      <c r="I12" s="148">
        <f>C12</f>
        <v>8400000000</v>
      </c>
      <c r="J12" s="148">
        <f>D12</f>
        <v>8400000000</v>
      </c>
      <c r="K12" s="148">
        <f>E12</f>
        <v>8400000000</v>
      </c>
      <c r="L12" s="19"/>
      <c r="M12" s="50" t="s">
        <v>235</v>
      </c>
      <c r="N12" s="148">
        <f>H12</f>
        <v>8400000000</v>
      </c>
      <c r="O12" s="148">
        <f>I12</f>
        <v>8400000000</v>
      </c>
      <c r="P12" s="148">
        <f>J12</f>
        <v>8400000000</v>
      </c>
      <c r="Q12" s="148">
        <f>K12</f>
        <v>8400000000</v>
      </c>
      <c r="R12" s="19"/>
      <c r="S12" s="50" t="s">
        <v>235</v>
      </c>
      <c r="T12" s="148">
        <f>N12</f>
        <v>8400000000</v>
      </c>
      <c r="U12" s="148">
        <f t="shared" ref="U12" si="16">O12</f>
        <v>8400000000</v>
      </c>
      <c r="V12" s="148">
        <f t="shared" ref="V12" si="17">P12</f>
        <v>8400000000</v>
      </c>
      <c r="W12" s="148">
        <f t="shared" ref="W12" si="18">Q12</f>
        <v>8400000000</v>
      </c>
      <c r="X12" s="19"/>
      <c r="Y12" s="19"/>
      <c r="Z12" s="19"/>
    </row>
    <row r="13" spans="1:26" ht="16.5" customHeight="1">
      <c r="A13" s="50" t="s">
        <v>178</v>
      </c>
      <c r="B13" s="4">
        <f t="shared" ref="B13:D13" si="19">B9*B12</f>
        <v>8400000000</v>
      </c>
      <c r="C13" s="4">
        <f t="shared" si="19"/>
        <v>8400000000</v>
      </c>
      <c r="D13" s="4">
        <f t="shared" si="19"/>
        <v>8400000000</v>
      </c>
      <c r="E13" s="4">
        <f t="shared" ref="E13" si="20">E9*E12</f>
        <v>8400000000</v>
      </c>
      <c r="F13" s="19"/>
      <c r="G13" s="50" t="s">
        <v>178</v>
      </c>
      <c r="H13" s="4">
        <f t="shared" ref="H13:K13" si="21">H9*H12</f>
        <v>8400000000</v>
      </c>
      <c r="I13" s="4">
        <f t="shared" si="21"/>
        <v>8400000000</v>
      </c>
      <c r="J13" s="4">
        <f t="shared" si="21"/>
        <v>8400000000</v>
      </c>
      <c r="K13" s="4">
        <f t="shared" si="21"/>
        <v>8400000000</v>
      </c>
      <c r="L13" s="19"/>
      <c r="M13" s="50" t="s">
        <v>178</v>
      </c>
      <c r="N13" s="4">
        <f t="shared" ref="N13:Q13" si="22">N9*N12</f>
        <v>8400000000</v>
      </c>
      <c r="O13" s="4">
        <f t="shared" si="22"/>
        <v>8400000000</v>
      </c>
      <c r="P13" s="4">
        <f t="shared" si="22"/>
        <v>8400000000</v>
      </c>
      <c r="Q13" s="4">
        <f t="shared" si="22"/>
        <v>8400000000</v>
      </c>
      <c r="R13" s="19"/>
      <c r="S13" s="50" t="s">
        <v>178</v>
      </c>
      <c r="T13" s="4">
        <f t="shared" ref="T13:W13" si="23">T9*T12</f>
        <v>8400000000</v>
      </c>
      <c r="U13" s="4">
        <f t="shared" si="23"/>
        <v>8400000000</v>
      </c>
      <c r="V13" s="4">
        <f t="shared" si="23"/>
        <v>8400000000</v>
      </c>
      <c r="W13" s="4">
        <f t="shared" si="23"/>
        <v>8400000000</v>
      </c>
      <c r="X13" s="19"/>
      <c r="Y13" s="19"/>
      <c r="Z13" s="19"/>
    </row>
    <row r="14" spans="1:26" ht="16.5" customHeight="1">
      <c r="A14" s="19" t="s">
        <v>236</v>
      </c>
      <c r="B14" s="132">
        <f>HLOOKUP(B$3,기초!$C$5:$I$16,MATCH($A14,기초!$A$5:$A$16,0),0)</f>
        <v>1300000000</v>
      </c>
      <c r="C14" s="132">
        <f>HLOOKUP(C$3,기초!$C$5:$I$16,MATCH($A14,기초!$A$5:$A$16,0),0)</f>
        <v>1300000000</v>
      </c>
      <c r="D14" s="132">
        <f>HLOOKUP(D$3,기초!$C$5:$I$16,MATCH($A14,기초!$A$5:$A$16,0),0)</f>
        <v>1300000000</v>
      </c>
      <c r="E14" s="132">
        <f>HLOOKUP(E$3,기초!$C$5:$I$16,MATCH($A14,기초!$A$5:$A$16,0),0)</f>
        <v>1300000000</v>
      </c>
      <c r="F14" s="19"/>
      <c r="G14" s="19" t="s">
        <v>236</v>
      </c>
      <c r="H14" s="148">
        <f>B14</f>
        <v>1300000000</v>
      </c>
      <c r="I14" s="148">
        <f>C14</f>
        <v>1300000000</v>
      </c>
      <c r="J14" s="148">
        <f>D14</f>
        <v>1300000000</v>
      </c>
      <c r="K14" s="148">
        <f>E14</f>
        <v>1300000000</v>
      </c>
      <c r="L14" s="19"/>
      <c r="M14" s="19" t="s">
        <v>236</v>
      </c>
      <c r="N14" s="148">
        <f>H14</f>
        <v>1300000000</v>
      </c>
      <c r="O14" s="148">
        <f>I14</f>
        <v>1300000000</v>
      </c>
      <c r="P14" s="148">
        <f>J14</f>
        <v>1300000000</v>
      </c>
      <c r="Q14" s="148">
        <f>K14</f>
        <v>1300000000</v>
      </c>
      <c r="R14" s="19"/>
      <c r="S14" s="19" t="s">
        <v>236</v>
      </c>
      <c r="T14" s="148">
        <f>N14</f>
        <v>1300000000</v>
      </c>
      <c r="U14" s="148">
        <f t="shared" ref="U14" si="24">O14</f>
        <v>1300000000</v>
      </c>
      <c r="V14" s="148">
        <f t="shared" ref="V14" si="25">P14</f>
        <v>1300000000</v>
      </c>
      <c r="W14" s="148">
        <f t="shared" ref="W14" si="26">Q14</f>
        <v>1300000000</v>
      </c>
      <c r="X14" s="19"/>
      <c r="Y14" s="28"/>
      <c r="Z14" s="19"/>
    </row>
    <row r="15" spans="1:26" ht="16.5" customHeight="1">
      <c r="A15" s="19" t="s">
        <v>83</v>
      </c>
      <c r="B15" s="4">
        <f t="shared" ref="B15:D15" si="27">B13-B14</f>
        <v>7100000000</v>
      </c>
      <c r="C15" s="4">
        <f t="shared" si="27"/>
        <v>7100000000</v>
      </c>
      <c r="D15" s="4">
        <f t="shared" si="27"/>
        <v>7100000000</v>
      </c>
      <c r="E15" s="4">
        <f t="shared" ref="E15" si="28">E13-E14</f>
        <v>7100000000</v>
      </c>
      <c r="F15" s="19"/>
      <c r="G15" s="19" t="s">
        <v>83</v>
      </c>
      <c r="H15" s="4">
        <f t="shared" ref="H15:K15" si="29">H13-H14</f>
        <v>7100000000</v>
      </c>
      <c r="I15" s="4">
        <f t="shared" si="29"/>
        <v>7100000000</v>
      </c>
      <c r="J15" s="4">
        <f t="shared" si="29"/>
        <v>7100000000</v>
      </c>
      <c r="K15" s="4">
        <f t="shared" si="29"/>
        <v>7100000000</v>
      </c>
      <c r="L15" s="19"/>
      <c r="M15" s="19" t="s">
        <v>83</v>
      </c>
      <c r="N15" s="4">
        <f t="shared" ref="N15:Q15" si="30">N13-N14</f>
        <v>7100000000</v>
      </c>
      <c r="O15" s="4">
        <f t="shared" si="30"/>
        <v>7100000000</v>
      </c>
      <c r="P15" s="4">
        <f t="shared" si="30"/>
        <v>7100000000</v>
      </c>
      <c r="Q15" s="4">
        <f t="shared" si="30"/>
        <v>7100000000</v>
      </c>
      <c r="R15" s="19"/>
      <c r="S15" s="19" t="s">
        <v>83</v>
      </c>
      <c r="T15" s="4">
        <f t="shared" ref="T15:W15" si="31">T13-T14</f>
        <v>7100000000</v>
      </c>
      <c r="U15" s="4">
        <f t="shared" si="31"/>
        <v>7100000000</v>
      </c>
      <c r="V15" s="4">
        <f t="shared" si="31"/>
        <v>7100000000</v>
      </c>
      <c r="W15" s="4">
        <f t="shared" si="31"/>
        <v>7100000000</v>
      </c>
      <c r="X15" s="19"/>
      <c r="Y15" s="19"/>
      <c r="Z15" s="19"/>
    </row>
    <row r="16" spans="1:26" ht="16.5" customHeight="1">
      <c r="A16" s="19" t="s">
        <v>84</v>
      </c>
      <c r="B16" s="4">
        <f t="shared" ref="B16:D16" si="32">IF(B4="1세대1주택",MAX(0,B15*(B12-1200000000)/B12),B15)</f>
        <v>6085714285.7142859</v>
      </c>
      <c r="C16" s="4">
        <f t="shared" si="32"/>
        <v>7100000000</v>
      </c>
      <c r="D16" s="4">
        <f t="shared" si="32"/>
        <v>7100000000</v>
      </c>
      <c r="E16" s="4">
        <f t="shared" ref="E16" si="33">IF(E4="1세대1주택",MAX(0,E15*(E12-1200000000)/E12),E15)</f>
        <v>7100000000</v>
      </c>
      <c r="F16" s="19"/>
      <c r="G16" s="19" t="s">
        <v>84</v>
      </c>
      <c r="H16" s="4">
        <f t="shared" ref="H16:K16" si="34">IF(H4="1세대1주택",MAX(0,H15*(H12-1200000000)/H12),H15)</f>
        <v>6085714285.7142859</v>
      </c>
      <c r="I16" s="4">
        <f t="shared" si="34"/>
        <v>7100000000</v>
      </c>
      <c r="J16" s="4">
        <f t="shared" si="34"/>
        <v>7100000000</v>
      </c>
      <c r="K16" s="4">
        <f t="shared" si="34"/>
        <v>7100000000</v>
      </c>
      <c r="L16" s="19"/>
      <c r="M16" s="19" t="s">
        <v>84</v>
      </c>
      <c r="N16" s="4">
        <f t="shared" ref="N16:Q16" si="35">IF(N4="1세대1주택",MAX(0,N15*(N12-1200000000)/N12),N15)</f>
        <v>6085714285.7142859</v>
      </c>
      <c r="O16" s="4">
        <f t="shared" si="35"/>
        <v>7100000000</v>
      </c>
      <c r="P16" s="4">
        <f t="shared" si="35"/>
        <v>7100000000</v>
      </c>
      <c r="Q16" s="4">
        <f t="shared" si="35"/>
        <v>7100000000</v>
      </c>
      <c r="R16" s="19"/>
      <c r="S16" s="19" t="s">
        <v>84</v>
      </c>
      <c r="T16" s="4">
        <f t="shared" ref="T16:W16" si="36">IF(T4="1세대1주택",MAX(0,T15*(T12-1200000000)/T12),T15)</f>
        <v>6085714285.7142859</v>
      </c>
      <c r="U16" s="4">
        <f t="shared" si="36"/>
        <v>7100000000</v>
      </c>
      <c r="V16" s="4">
        <f t="shared" si="36"/>
        <v>7100000000</v>
      </c>
      <c r="W16" s="4">
        <f t="shared" si="36"/>
        <v>7100000000</v>
      </c>
      <c r="X16" s="19"/>
      <c r="Y16" s="19"/>
      <c r="Z16" s="19"/>
    </row>
    <row r="17" spans="1:26" ht="16.5" customHeight="1">
      <c r="A17" s="51" t="s">
        <v>85</v>
      </c>
      <c r="B17" s="52">
        <f t="shared" ref="B17:D17" si="37">IF(B6&gt;=3,IF(AND(B4="1세대1주택",B7&gt;=2),MIN(40%,B6*4%)+MIN(40%,B7*4%),IF(B8="기본세율",MIN(30%,B6*2%),0)))</f>
        <v>0.60000000000000009</v>
      </c>
      <c r="C17" s="52">
        <f t="shared" si="37"/>
        <v>0.2</v>
      </c>
      <c r="D17" s="52">
        <f t="shared" si="37"/>
        <v>0</v>
      </c>
      <c r="E17" s="52">
        <f t="shared" ref="E17" si="38">IF(E6&gt;=3,IF(AND(E4="1세대1주택",E7&gt;=2),MIN(40%,E6*4%)+MIN(40%,E7*4%),IF(E8="기본세율",MIN(30%,E6*2%),0)))</f>
        <v>0</v>
      </c>
      <c r="F17" s="19"/>
      <c r="G17" s="51" t="s">
        <v>85</v>
      </c>
      <c r="H17" s="52">
        <f t="shared" ref="H17:K17" si="39">IF(H6&gt;=3,IF(AND(H4="1세대1주택",H7&gt;=2),MIN(40%,H6*4%)+MIN(40%,H7*4%),IF(H8="기본세율",MIN(30%,H6*2%),0)))</f>
        <v>0.64</v>
      </c>
      <c r="I17" s="52">
        <f t="shared" si="39"/>
        <v>0.22</v>
      </c>
      <c r="J17" s="52">
        <f t="shared" si="39"/>
        <v>0</v>
      </c>
      <c r="K17" s="52">
        <f t="shared" si="39"/>
        <v>0</v>
      </c>
      <c r="L17" s="19"/>
      <c r="M17" s="51" t="s">
        <v>85</v>
      </c>
      <c r="N17" s="52">
        <f>IF(N6&gt;=3,IF(AND(N4="1세대1주택",N7&gt;=2),MIN(20%,N6*2%)+MIN(60%,N7*6%),IF(N8="기본세율",MIN(15%,N6*1%)+MIN(30%,N7*2%),0)))</f>
        <v>0.62</v>
      </c>
      <c r="O17" s="52">
        <f>IF(O6&gt;=3,IF(AND(O4="1세대1주택",O7&gt;=2),MIN(20%,O6*2%)+MIN(60%,O7*6%),IF(O8="기본세율",MIN(15%,O6*1%)+MIN(30%,O7*2%),0)))</f>
        <v>0.26</v>
      </c>
      <c r="P17" s="52">
        <f>IF(P6&gt;=3,IF(AND(P4="1세대1주택",P7&gt;=2),MIN(20%,P6*2%)+MIN(60%,P7*6%),IF(P8="기본세율",MIN(15%,P6*1%)+MIN(30%,P7*2%),0)))</f>
        <v>0</v>
      </c>
      <c r="Q17" s="52">
        <f>IF(Q6&gt;=3,IF(AND(Q4="1세대1주택",Q7&gt;=2),MIN(20%,Q6*2%)+MIN(60%,Q7*6%),IF(Q8="기본세율",MIN(15%,Q6*1%)+MIN(30%,Q7*2%),0)))</f>
        <v>0</v>
      </c>
      <c r="R17" s="19"/>
      <c r="S17" s="51" t="s">
        <v>85</v>
      </c>
      <c r="T17" s="52">
        <f>IF(T6&gt;=3,IF(AND(T4="1세대1주택",T7&gt;=2),MIN(80%,T7*8%),IF(T8="기본세율",MIN(30%,T7*2%),0)))</f>
        <v>0.64</v>
      </c>
      <c r="U17" s="52">
        <f>IF(U6&gt;=3,IF(AND(U4="1세대1주택",U7&gt;=2),MIN(80%,U7*8%),IF(U8="기본세율",MIN(30%,U7*2%),0)))</f>
        <v>0.16</v>
      </c>
      <c r="V17" s="52">
        <f>IF(V6&gt;=3,IF(AND(V4="1세대1주택",V7&gt;=2),MIN(80%,V7*8%),IF(V8="기본세율",MIN(30%,V7*2%),0)))</f>
        <v>0</v>
      </c>
      <c r="W17" s="52">
        <f>IF(W6&gt;=3,IF(AND(W4="1세대1주택",W7&gt;=2),MIN(80%,W7*8%),IF(W8="기본세율",MIN(30%,W7*2%),0)))</f>
        <v>0</v>
      </c>
      <c r="X17" s="19"/>
      <c r="Y17" s="19"/>
      <c r="Z17" s="19"/>
    </row>
    <row r="18" spans="1:26" ht="16.5" customHeight="1" thickBot="1">
      <c r="A18" s="53" t="s">
        <v>87</v>
      </c>
      <c r="B18" s="54">
        <f t="shared" ref="B18:D18" si="40">B16*(1-B17)</f>
        <v>2434285714.2857137</v>
      </c>
      <c r="C18" s="54">
        <f t="shared" si="40"/>
        <v>5680000000</v>
      </c>
      <c r="D18" s="54">
        <f t="shared" si="40"/>
        <v>7100000000</v>
      </c>
      <c r="E18" s="54">
        <f t="shared" ref="E18" si="41">E16*(1-E17)</f>
        <v>7100000000</v>
      </c>
      <c r="F18" s="19"/>
      <c r="G18" s="53" t="s">
        <v>87</v>
      </c>
      <c r="H18" s="54">
        <f t="shared" ref="H18:K18" si="42">H16*(1-H17)</f>
        <v>2190857142.8571429</v>
      </c>
      <c r="I18" s="54">
        <f t="shared" si="42"/>
        <v>5538000000</v>
      </c>
      <c r="J18" s="54">
        <f t="shared" si="42"/>
        <v>7100000000</v>
      </c>
      <c r="K18" s="54">
        <f t="shared" si="42"/>
        <v>7100000000</v>
      </c>
      <c r="L18" s="19"/>
      <c r="M18" s="53" t="s">
        <v>87</v>
      </c>
      <c r="N18" s="54">
        <f>N16-MIN(N2,N16*N17)</f>
        <v>4085714285.7142859</v>
      </c>
      <c r="O18" s="54">
        <f>O16-MIN(O2,O16*O17)</f>
        <v>5254000000</v>
      </c>
      <c r="P18" s="54">
        <f>P16-MIN(P2,P16*P17)</f>
        <v>7100000000</v>
      </c>
      <c r="Q18" s="54">
        <f>Q16-MIN(Q2,Q16*Q17)</f>
        <v>7100000000</v>
      </c>
      <c r="R18" s="19"/>
      <c r="S18" s="53" t="s">
        <v>87</v>
      </c>
      <c r="T18" s="54">
        <f>T16-MIN(T2,T16*T17)</f>
        <v>5085714285.7142859</v>
      </c>
      <c r="U18" s="54">
        <f>U16-MIN(U2,U16*U17)</f>
        <v>6100000000</v>
      </c>
      <c r="V18" s="54">
        <f>V16-MIN(V2,V16*V17)</f>
        <v>7100000000</v>
      </c>
      <c r="W18" s="54">
        <f>W16-MIN(W2,W16*W17)</f>
        <v>7100000000</v>
      </c>
      <c r="X18" s="19"/>
      <c r="Y18" s="19"/>
      <c r="Z18" s="19"/>
    </row>
    <row r="19" spans="1:26" ht="16.5" customHeight="1">
      <c r="A19" s="55" t="s">
        <v>89</v>
      </c>
      <c r="B19" s="56">
        <v>2500000</v>
      </c>
      <c r="C19" s="56">
        <v>2500000</v>
      </c>
      <c r="D19" s="56">
        <v>2500000</v>
      </c>
      <c r="E19" s="56">
        <v>2500000</v>
      </c>
      <c r="F19" s="19"/>
      <c r="G19" s="55" t="s">
        <v>89</v>
      </c>
      <c r="H19" s="56">
        <f t="shared" ref="H19:K19" si="43">IF(AND(H4="1세대1주택",H7&gt;=10,H12&lt;=3*10^9),25*10^6*IF($G$4="부부",IF(H10=TRUE,H9,1),H9),2500000)</f>
        <v>2500000</v>
      </c>
      <c r="I19" s="56">
        <f t="shared" si="43"/>
        <v>2500000</v>
      </c>
      <c r="J19" s="56">
        <f t="shared" si="43"/>
        <v>2500000</v>
      </c>
      <c r="K19" s="56">
        <f t="shared" si="43"/>
        <v>2500000</v>
      </c>
      <c r="L19" s="19"/>
      <c r="M19" s="55" t="s">
        <v>89</v>
      </c>
      <c r="N19" s="56">
        <f t="shared" ref="N19:Q19" si="44">IF(AND(N4="1세대1주택",N7&gt;=10,N12&lt;=3*10^9),25*10^6*IF($M$4="부부",IF(N10=TRUE,N9,1),N9),2500000)</f>
        <v>2500000</v>
      </c>
      <c r="O19" s="56">
        <f t="shared" si="44"/>
        <v>2500000</v>
      </c>
      <c r="P19" s="56">
        <f t="shared" si="44"/>
        <v>2500000</v>
      </c>
      <c r="Q19" s="56">
        <f t="shared" si="44"/>
        <v>2500000</v>
      </c>
      <c r="R19" s="19"/>
      <c r="S19" s="55" t="s">
        <v>89</v>
      </c>
      <c r="T19" s="56">
        <f t="shared" ref="T19:W19" si="45">IF(AND(T4="1세대1주택",T7&gt;=10,T12&lt;=3*10^9),25*10^6*IF($S$4="부부",IF(T10=TRUE,T9,1),T9),2500000)</f>
        <v>2500000</v>
      </c>
      <c r="U19" s="56">
        <f t="shared" si="45"/>
        <v>2500000</v>
      </c>
      <c r="V19" s="56">
        <f t="shared" si="45"/>
        <v>2500000</v>
      </c>
      <c r="W19" s="56">
        <f t="shared" si="45"/>
        <v>2500000</v>
      </c>
      <c r="X19" s="19"/>
      <c r="Y19" s="19"/>
      <c r="Z19" s="19"/>
    </row>
    <row r="20" spans="1:26" ht="16.5" customHeight="1" thickBot="1">
      <c r="A20" s="57" t="s">
        <v>62</v>
      </c>
      <c r="B20" s="58">
        <f t="shared" ref="B20:D20" si="46">B18-B19</f>
        <v>2431785714.2857137</v>
      </c>
      <c r="C20" s="58">
        <f t="shared" si="46"/>
        <v>5677500000</v>
      </c>
      <c r="D20" s="58">
        <f t="shared" si="46"/>
        <v>7097500000</v>
      </c>
      <c r="E20" s="58">
        <f t="shared" ref="E20" si="47">E18-E19</f>
        <v>7097500000</v>
      </c>
      <c r="F20" s="19"/>
      <c r="G20" s="57" t="s">
        <v>62</v>
      </c>
      <c r="H20" s="58">
        <f t="shared" ref="H20:K20" si="48">H18-H19</f>
        <v>2188357142.8571429</v>
      </c>
      <c r="I20" s="58">
        <f t="shared" si="48"/>
        <v>5535500000</v>
      </c>
      <c r="J20" s="58">
        <f t="shared" si="48"/>
        <v>7097500000</v>
      </c>
      <c r="K20" s="58">
        <f t="shared" si="48"/>
        <v>7097500000</v>
      </c>
      <c r="L20" s="19"/>
      <c r="M20" s="57" t="s">
        <v>62</v>
      </c>
      <c r="N20" s="36">
        <f t="shared" ref="N20:Q20" si="49">N18-N19</f>
        <v>4083214285.7142859</v>
      </c>
      <c r="O20" s="36">
        <f t="shared" si="49"/>
        <v>5251500000</v>
      </c>
      <c r="P20" s="36">
        <f t="shared" si="49"/>
        <v>7097500000</v>
      </c>
      <c r="Q20" s="36">
        <f t="shared" si="49"/>
        <v>7097500000</v>
      </c>
      <c r="R20" s="19"/>
      <c r="S20" s="57" t="s">
        <v>62</v>
      </c>
      <c r="T20" s="36">
        <f t="shared" ref="T20:W20" si="50">T18-T19</f>
        <v>5083214285.7142859</v>
      </c>
      <c r="U20" s="36">
        <f t="shared" si="50"/>
        <v>6097500000</v>
      </c>
      <c r="V20" s="36">
        <f t="shared" si="50"/>
        <v>7097500000</v>
      </c>
      <c r="W20" s="36">
        <f t="shared" si="50"/>
        <v>7097500000</v>
      </c>
      <c r="X20" s="19"/>
      <c r="Y20" s="19"/>
      <c r="Z20" s="19"/>
    </row>
    <row r="21" spans="1:26" ht="16.5" customHeight="1">
      <c r="A21" s="51" t="s">
        <v>63</v>
      </c>
      <c r="B21" s="52">
        <f t="array" ref="B21">INDEX(t!$AB$3:$AJ$10,MIN(ROWS(t!$AB$3:$AB$10),IF(B20&lt;=t!$AB$3,1,MATCH(B20-1,t!$AB$3:$AB$10,1)+1)),MATCH(B8,{"기본세율","기본세율+10%","기본세율+20%","기본세율+30%"},0)*2)</f>
        <v>0.45</v>
      </c>
      <c r="C21" s="52">
        <f t="array" ref="C21">INDEX(t!$AB$3:$AJ$10,MIN(ROWS(t!$AB$3:$AB$10),IF(C20&lt;=t!$AB$3,1,MATCH(C20-1,t!$AB$3:$AB$10,1)+1)),MATCH(C8,{"기본세율","기본세율+10%","기본세율+20%","기본세율+30%"},0)*2)</f>
        <v>0.45</v>
      </c>
      <c r="D21" s="52">
        <f t="array" ref="D21">INDEX(t!$AB$3:$AJ$10,MIN(ROWS(t!$AB$3:$AB$10),IF(D20&lt;=t!$AB$3,1,MATCH(D20-1,t!$AB$3:$AB$10,1)+1)),MATCH(D8,{"기본세율","기본세율+10%","기본세율+20%","기본세율+30%"},0)*2)</f>
        <v>0.65</v>
      </c>
      <c r="E21" s="52">
        <f t="array" ref="E21">INDEX(t!$AB$3:$AJ$10,MIN(ROWS(t!$AB$3:$AB$10),IF(E20&lt;=t!$AB$3,1,MATCH(E20-1,t!$AB$3:$AB$10,1)+1)),MATCH(E8,{"기본세율","기본세율+10%","기본세율+20%","기본세율+30%"},0)*2)</f>
        <v>0.75</v>
      </c>
      <c r="F21" s="19"/>
      <c r="G21" s="51" t="s">
        <v>63</v>
      </c>
      <c r="H21" s="52">
        <f t="array" ref="H21">INDEX(t!$AB$3:$AJ$10,MIN(ROWS(t!$AB$3:$AB$10),IF(H20&lt;=t!$AB$3,1,MATCH(H20-1,t!$AB$3:$AB$10,1)+1)),MATCH(H8,{"기본세율","기본세율+10%","기본세율+20%","기본세율+30%"},0)*2)</f>
        <v>0.45</v>
      </c>
      <c r="I21" s="52">
        <f t="array" ref="I21">INDEX(t!$AB$3:$AJ$10,MIN(ROWS(t!$AB$3:$AB$10),IF(I20&lt;=t!$AB$3,1,MATCH(I20-1,t!$AB$3:$AB$10,1)+1)),MATCH(I8,{"기본세율","기본세율+10%","기본세율+20%","기본세율+30%"},0)*2)</f>
        <v>0.45</v>
      </c>
      <c r="J21" s="52">
        <f t="array" ref="J21">INDEX(t!$AB$3:$AJ$10,MIN(ROWS(t!$AB$3:$AB$10),IF(J20&lt;=t!$AB$3,1,MATCH(J20-1,t!$AB$3:$AB$10,1)+1)),MATCH(J8,{"기본세율","기본세율+10%","기본세율+20%","기본세율+30%"},0)*2)</f>
        <v>0.65</v>
      </c>
      <c r="K21" s="52">
        <f t="array" ref="K21">INDEX(t!$AB$3:$AJ$10,MIN(ROWS(t!$AB$3:$AB$10),IF(K20&lt;=t!$AB$3,1,MATCH(K20-1,t!$AB$3:$AB$10,1)+1)),MATCH(K8,{"기본세율","기본세율+10%","기본세율+20%","기본세율+30%"},0)*2)</f>
        <v>0.75</v>
      </c>
      <c r="L21" s="19"/>
      <c r="M21" s="51" t="s">
        <v>63</v>
      </c>
      <c r="N21" s="52">
        <f t="array" ref="N21">INDEX(t!$AB$3:$AJ$10,MIN(ROWS(t!$AB$3:$AB$10),IF(N20&lt;=t!$AB$3,1,MATCH(N20-1,t!$AB$3:$AB$10,1)+1)),MATCH(N8,{"기본세율","기본세율+10%","기본세율+20%","기본세율+30%"},0)*2)</f>
        <v>0.45</v>
      </c>
      <c r="O21" s="52">
        <f t="array" ref="O21">INDEX(t!$AB$3:$AJ$10,MIN(ROWS(t!$AB$3:$AB$10),IF(O20&lt;=t!$AB$3,1,MATCH(O20-1,t!$AB$3:$AB$10,1)+1)),MATCH(O8,{"기본세율","기본세율+10%","기본세율+20%","기본세율+30%"},0)*2)</f>
        <v>0.45</v>
      </c>
      <c r="P21" s="52">
        <f t="array" ref="P21">INDEX(t!$AB$3:$AJ$10,MIN(ROWS(t!$AB$3:$AB$10),IF(P20&lt;=t!$AB$3,1,MATCH(P20-1,t!$AB$3:$AB$10,1)+1)),MATCH(P8,{"기본세율","기본세율+10%","기본세율+20%","기본세율+30%"},0)*2)</f>
        <v>0.65</v>
      </c>
      <c r="Q21" s="52">
        <f t="array" ref="Q21">INDEX(t!$AB$3:$AJ$10,MIN(ROWS(t!$AB$3:$AB$10),IF(Q20&lt;=t!$AB$3,1,MATCH(Q20-1,t!$AB$3:$AB$10,1)+1)),MATCH(Q8,{"기본세율","기본세율+10%","기본세율+20%","기본세율+30%"},0)*2)</f>
        <v>0.75</v>
      </c>
      <c r="R21" s="19"/>
      <c r="S21" s="51" t="s">
        <v>63</v>
      </c>
      <c r="T21" s="52">
        <f t="array" ref="T21">INDEX(t!$AB$3:$AJ$10,MIN(ROWS(t!$AB$3:$AB$10),IF(T20&lt;=t!$AB$3,1,MATCH(T20-1,t!$AB$3:$AB$10,1)+1)),MATCH(T8,{"기본세율","기본세율+10%","기본세율+20%","기본세율+30%"},0)*2)</f>
        <v>0.45</v>
      </c>
      <c r="U21" s="52">
        <f t="array" ref="U21">INDEX(t!$AB$3:$AJ$10,MIN(ROWS(t!$AB$3:$AB$10),IF(U20&lt;=t!$AB$3,1,MATCH(U20-1,t!$AB$3:$AB$10,1)+1)),MATCH(U8,{"기본세율","기본세율+10%","기본세율+20%","기본세율+30%"},0)*2)</f>
        <v>0.45</v>
      </c>
      <c r="V21" s="52">
        <f t="array" ref="V21">INDEX(t!$AB$3:$AJ$10,MIN(ROWS(t!$AB$3:$AB$10),IF(V20&lt;=t!$AB$3,1,MATCH(V20-1,t!$AB$3:$AB$10,1)+1)),MATCH(V8,{"기본세율","기본세율+10%","기본세율+20%","기본세율+30%"},0)*2)</f>
        <v>0.65</v>
      </c>
      <c r="W21" s="52">
        <f t="array" ref="W21">INDEX(t!$AB$3:$AJ$10,MIN(ROWS(t!$AB$3:$AB$10),IF(W20&lt;=t!$AB$3,1,MATCH(W20-1,t!$AB$3:$AB$10,1)+1)),MATCH(W8,{"기본세율","기본세율+10%","기본세율+20%","기본세율+30%"},0)*2)</f>
        <v>0.75</v>
      </c>
      <c r="X21" s="19"/>
      <c r="Y21" s="19"/>
      <c r="Z21" s="19"/>
    </row>
    <row r="22" spans="1:26" ht="16.5" customHeight="1" thickBot="1">
      <c r="A22" s="53" t="s">
        <v>64</v>
      </c>
      <c r="B22" s="54">
        <f>B20*B21-INDEX(t!$AB$3:$AJ$10,MIN(ROWS(t!$AB$3:$AB$10),IF(B20&lt;=t!$AB$3,1,MATCH(B20-1,t!$AB$3:$AB$10,1)+1)),MATCH(B8,{"기본세율","기본세율+10%","기본세율+20%","기본세율+30%"},0)*2+1)</f>
        <v>1028363571.4285712</v>
      </c>
      <c r="C22" s="54">
        <f>C20*C21-INDEX(t!$AB$3:$AJ$10,MIN(ROWS(t!$AB$3:$AB$10),IF(C20&lt;=t!$AB$3,1,MATCH(C20-1,t!$AB$3:$AB$10,1)+1)),MATCH(C8,{"기본세율","기본세율+10%","기본세율+20%","기본세율+30%"},0)*2+1)</f>
        <v>2488935000</v>
      </c>
      <c r="D22" s="54">
        <f>D20*D21-INDEX(t!$AB$3:$AJ$10,MIN(ROWS(t!$AB$3:$AB$10),IF(D20&lt;=t!$AB$3,1,MATCH(D20-1,t!$AB$3:$AB$10,1)+1)),MATCH(D8,{"기본세율","기본세율+10%","기본세율+20%","기본세율+30%"},0)*2+1)</f>
        <v>4547435000</v>
      </c>
      <c r="E22" s="54">
        <f>E20*E21-INDEX(t!$AB$3:$AJ$10,MIN(ROWS(t!$AB$3:$AB$10),IF(E20&lt;=t!$AB$3,1,MATCH(E20-1,t!$AB$3:$AB$10,1)+1)),MATCH(E8,{"기본세율","기본세율+10%","기본세율+20%","기본세율+30%"},0)*2+1)</f>
        <v>5257185000</v>
      </c>
      <c r="F22" s="19"/>
      <c r="G22" s="53" t="s">
        <v>64</v>
      </c>
      <c r="H22" s="54">
        <f>H20*H21-INDEX(t!$AB$3:$AJ$10,MIN(ROWS(t!$AB$3:$AB$10),IF(H20&lt;=t!$AB$3,1,MATCH(H20-1,t!$AB$3:$AB$10,1)+1)),MATCH(H8,{"기본세율","기본세율+10%","기본세율+20%","기본세율+30%"},0)*2+1)</f>
        <v>918820714.28571439</v>
      </c>
      <c r="I22" s="54">
        <f>I20*I21-INDEX(t!$AB$3:$AJ$10,MIN(ROWS(t!$AB$3:$AB$10),IF(I20&lt;=t!$AB$3,1,MATCH(I20-1,t!$AB$3:$AB$10,1)+1)),MATCH(I8,{"기본세율","기본세율+10%","기본세율+20%","기본세율+30%"},0)*2+1)</f>
        <v>2425035000</v>
      </c>
      <c r="J22" s="54">
        <f>J20*J21-INDEX(t!$AB$3:$AJ$10,MIN(ROWS(t!$AB$3:$AB$10),IF(J20&lt;=t!$AB$3,1,MATCH(J20-1,t!$AB$3:$AB$10,1)+1)),MATCH(J8,{"기본세율","기본세율+10%","기본세율+20%","기본세율+30%"},0)*2+1)</f>
        <v>4547435000</v>
      </c>
      <c r="K22" s="54">
        <f>K20*K21-INDEX(t!$AB$3:$AJ$10,MIN(ROWS(t!$AB$3:$AB$10),IF(K20&lt;=t!$AB$3,1,MATCH(K20-1,t!$AB$3:$AB$10,1)+1)),MATCH(K8,{"기본세율","기본세율+10%","기본세율+20%","기본세율+30%"},0)*2+1)</f>
        <v>5257185000</v>
      </c>
      <c r="L22" s="19"/>
      <c r="M22" s="53" t="s">
        <v>64</v>
      </c>
      <c r="N22" s="54">
        <f>N20*N21-INDEX(t!$AB$3:$AJ$10,MIN(ROWS(t!$AB$3:$AB$10),IF(N20&lt;=t!$AB$3,1,MATCH(N20-1,t!$AB$3:$AB$10,1)+1)),MATCH(N8,{"기본세율","기본세율+10%","기본세율+20%","기본세율+30%"},0)*2+1)</f>
        <v>1771506428.5714288</v>
      </c>
      <c r="O22" s="54">
        <f>O20*O21-INDEX(t!$AB$3:$AJ$10,MIN(ROWS(t!$AB$3:$AB$10),IF(O20&lt;=t!$AB$3,1,MATCH(O20-1,t!$AB$3:$AB$10,1)+1)),MATCH(O8,{"기본세율","기본세율+10%","기본세율+20%","기본세율+30%"},0)*2+1)</f>
        <v>2297235000</v>
      </c>
      <c r="P22" s="54">
        <f>P20*P21-INDEX(t!$AB$3:$AJ$10,MIN(ROWS(t!$AB$3:$AB$10),IF(P20&lt;=t!$AB$3,1,MATCH(P20-1,t!$AB$3:$AB$10,1)+1)),MATCH(P8,{"기본세율","기본세율+10%","기본세율+20%","기본세율+30%"},0)*2+1)</f>
        <v>4547435000</v>
      </c>
      <c r="Q22" s="54">
        <f>Q20*Q21-INDEX(t!$AB$3:$AJ$10,MIN(ROWS(t!$AB$3:$AB$10),IF(Q20&lt;=t!$AB$3,1,MATCH(Q20-1,t!$AB$3:$AB$10,1)+1)),MATCH(Q8,{"기본세율","기본세율+10%","기본세율+20%","기본세율+30%"},0)*2+1)</f>
        <v>5257185000</v>
      </c>
      <c r="R22" s="19"/>
      <c r="S22" s="53" t="s">
        <v>64</v>
      </c>
      <c r="T22" s="69">
        <f t="array" ref="T22">T20*T21-INDEX(t!$AB$3:$AJ$10,MIN(ROWS(t!$AB$3:$AB$10),IF($B$20&lt;=t!$AB$3,1,MATCH($B$20-1,t!$AB$3:$AB$10,1)+1)),MATCH($B$8,{"기본세율","기본세율+10%","기본세율+20%","기본세율+30%"},0)*2+1)</f>
        <v>2221506428.5714288</v>
      </c>
      <c r="U22" s="54">
        <f t="array" ref="U22">U20*U21-INDEX(t!$AB$3:$AJ$10,MIN(ROWS(t!$AB$3:$AB$10),IF($B$20&lt;=t!$AB$3,1,MATCH($B$20-1,t!$AB$3:$AB$10,1)+1)),MATCH($B$8,{"기본세율","기본세율+10%","기본세율+20%","기본세율+30%"},0)*2+1)</f>
        <v>2677935000</v>
      </c>
      <c r="V22" s="54">
        <f t="array" ref="V22">V20*V21-INDEX(t!$AB$3:$AJ$10,MIN(ROWS(t!$AB$3:$AB$10),IF($B$20&lt;=t!$AB$3,1,MATCH($B$20-1,t!$AB$3:$AB$10,1)+1)),MATCH($B$8,{"기본세율","기본세율+10%","기본세율+20%","기본세율+30%"},0)*2+1)</f>
        <v>4547435000</v>
      </c>
      <c r="W22" s="54">
        <f t="array" ref="W22">W20*W21-INDEX(t!$AB$3:$AJ$10,MIN(ROWS(t!$AB$3:$AB$10),IF($B$20&lt;=t!$AB$3,1,MATCH($B$20-1,t!$AB$3:$AB$10,1)+1)),MATCH($B$8,{"기본세율","기본세율+10%","기본세율+20%","기본세율+30%"},0)*2+1)</f>
        <v>5257185000</v>
      </c>
      <c r="X22" s="19"/>
      <c r="Y22" s="19"/>
      <c r="Z22" s="19"/>
    </row>
    <row r="23" spans="1:26" ht="16.5" customHeight="1">
      <c r="A23" s="19" t="s">
        <v>97</v>
      </c>
      <c r="B23" s="4">
        <f t="shared" ref="B23:D23" si="51">B22</f>
        <v>1028363571.4285712</v>
      </c>
      <c r="C23" s="4">
        <f t="shared" si="51"/>
        <v>2488935000</v>
      </c>
      <c r="D23" s="4">
        <f t="shared" si="51"/>
        <v>4547435000</v>
      </c>
      <c r="E23" s="4">
        <f t="shared" ref="E23" si="52">E22</f>
        <v>5257185000</v>
      </c>
      <c r="F23" s="19"/>
      <c r="G23" s="19" t="s">
        <v>97</v>
      </c>
      <c r="H23" s="4">
        <f t="shared" ref="H23:K23" si="53">H22</f>
        <v>918820714.28571439</v>
      </c>
      <c r="I23" s="4">
        <f t="shared" si="53"/>
        <v>2425035000</v>
      </c>
      <c r="J23" s="4">
        <f t="shared" si="53"/>
        <v>4547435000</v>
      </c>
      <c r="K23" s="4">
        <f t="shared" si="53"/>
        <v>5257185000</v>
      </c>
      <c r="L23" s="19"/>
      <c r="M23" s="19" t="s">
        <v>97</v>
      </c>
      <c r="N23" s="4">
        <f t="shared" ref="N23:Q23" si="54">N22</f>
        <v>1771506428.5714288</v>
      </c>
      <c r="O23" s="4">
        <f t="shared" si="54"/>
        <v>2297235000</v>
      </c>
      <c r="P23" s="4">
        <f t="shared" si="54"/>
        <v>4547435000</v>
      </c>
      <c r="Q23" s="4">
        <f t="shared" si="54"/>
        <v>5257185000</v>
      </c>
      <c r="R23" s="19"/>
      <c r="S23" s="19" t="s">
        <v>97</v>
      </c>
      <c r="T23" s="4">
        <f t="shared" ref="T23:W23" si="55">T22</f>
        <v>2221506428.5714288</v>
      </c>
      <c r="U23" s="4">
        <f t="shared" si="55"/>
        <v>2677935000</v>
      </c>
      <c r="V23" s="4">
        <f t="shared" si="55"/>
        <v>4547435000</v>
      </c>
      <c r="W23" s="4">
        <f t="shared" si="55"/>
        <v>5257185000</v>
      </c>
      <c r="X23" s="19"/>
      <c r="Y23" s="19"/>
      <c r="Z23" s="19"/>
    </row>
    <row r="24" spans="1:26" ht="16.5" customHeight="1">
      <c r="A24" s="51" t="s">
        <v>99</v>
      </c>
      <c r="B24" s="73">
        <f t="shared" ref="B24:D24" si="56">B23*0.1</f>
        <v>102836357.14285713</v>
      </c>
      <c r="C24" s="73">
        <f t="shared" si="56"/>
        <v>248893500</v>
      </c>
      <c r="D24" s="73">
        <f t="shared" si="56"/>
        <v>454743500</v>
      </c>
      <c r="E24" s="73">
        <f t="shared" ref="E24" si="57">E23*0.1</f>
        <v>525718500</v>
      </c>
      <c r="G24" s="51" t="s">
        <v>99</v>
      </c>
      <c r="H24" s="73">
        <f t="shared" ref="H24:K24" si="58">H23*0.1</f>
        <v>91882071.428571448</v>
      </c>
      <c r="I24" s="73">
        <f t="shared" si="58"/>
        <v>242503500</v>
      </c>
      <c r="J24" s="73">
        <f t="shared" si="58"/>
        <v>454743500</v>
      </c>
      <c r="K24" s="73">
        <f t="shared" si="58"/>
        <v>525718500</v>
      </c>
      <c r="M24" s="51" t="s">
        <v>99</v>
      </c>
      <c r="N24" s="4">
        <f t="shared" ref="N24:Q24" si="59">N23*0.1</f>
        <v>177150642.8571429</v>
      </c>
      <c r="O24" s="4">
        <f t="shared" si="59"/>
        <v>229723500</v>
      </c>
      <c r="P24" s="4">
        <f t="shared" si="59"/>
        <v>454743500</v>
      </c>
      <c r="Q24" s="4">
        <f t="shared" si="59"/>
        <v>525718500</v>
      </c>
      <c r="S24" s="51" t="s">
        <v>99</v>
      </c>
      <c r="T24" s="4">
        <f t="shared" ref="T24:W24" si="60">T23*0.1</f>
        <v>222150642.8571429</v>
      </c>
      <c r="U24" s="4">
        <f t="shared" si="60"/>
        <v>267793500</v>
      </c>
      <c r="V24" s="4">
        <f t="shared" si="60"/>
        <v>454743500</v>
      </c>
      <c r="W24" s="4">
        <f t="shared" si="60"/>
        <v>525718500</v>
      </c>
    </row>
    <row r="25" spans="1:26" ht="16.5" customHeight="1" thickBot="1">
      <c r="A25" s="74" t="s">
        <v>60</v>
      </c>
      <c r="B25" s="75">
        <f t="shared" ref="B25:D25" si="61">SUM(B23:B24)</f>
        <v>1131199928.5714283</v>
      </c>
      <c r="C25" s="75">
        <f t="shared" si="61"/>
        <v>2737828500</v>
      </c>
      <c r="D25" s="75">
        <f t="shared" si="61"/>
        <v>5002178500</v>
      </c>
      <c r="E25" s="75">
        <f t="shared" ref="E25" si="62">SUM(E23:E24)</f>
        <v>5782903500</v>
      </c>
      <c r="G25" s="74" t="s">
        <v>60</v>
      </c>
      <c r="H25" s="75">
        <f t="shared" ref="H25:K25" si="63">SUM(H23:H24)</f>
        <v>1010702785.7142859</v>
      </c>
      <c r="I25" s="75">
        <f t="shared" si="63"/>
        <v>2667538500</v>
      </c>
      <c r="J25" s="75">
        <f t="shared" si="63"/>
        <v>5002178500</v>
      </c>
      <c r="K25" s="75">
        <f t="shared" si="63"/>
        <v>5782903500</v>
      </c>
      <c r="M25" s="74" t="s">
        <v>60</v>
      </c>
      <c r="N25" s="75">
        <f t="shared" ref="N25:Q25" si="64">SUM(N23:N24)</f>
        <v>1948657071.4285717</v>
      </c>
      <c r="O25" s="75">
        <f t="shared" si="64"/>
        <v>2526958500</v>
      </c>
      <c r="P25" s="75">
        <f t="shared" si="64"/>
        <v>5002178500</v>
      </c>
      <c r="Q25" s="75">
        <f t="shared" si="64"/>
        <v>5782903500</v>
      </c>
      <c r="S25" s="74" t="s">
        <v>60</v>
      </c>
      <c r="T25" s="75">
        <f t="shared" ref="T25:W25" si="65">SUM(T23:T24)</f>
        <v>2443657071.4285717</v>
      </c>
      <c r="U25" s="75">
        <f t="shared" si="65"/>
        <v>2945728500</v>
      </c>
      <c r="V25" s="75">
        <f t="shared" si="65"/>
        <v>5002178500</v>
      </c>
      <c r="W25" s="75">
        <f t="shared" si="65"/>
        <v>5782903500</v>
      </c>
    </row>
    <row r="26" spans="1:26" ht="16.5" customHeight="1" thickTop="1"/>
    <row r="27" spans="1:26" ht="16.5" customHeight="1">
      <c r="B27" s="7"/>
      <c r="C27" s="7"/>
      <c r="D27" s="7"/>
      <c r="E27" s="7"/>
      <c r="I27" s="7"/>
      <c r="J27" s="7"/>
      <c r="K27" s="7"/>
      <c r="N27" s="7"/>
      <c r="O27" s="7"/>
      <c r="P27" s="7"/>
      <c r="Q27" s="7"/>
      <c r="T27" s="7"/>
      <c r="U27" s="7"/>
      <c r="V27" s="7"/>
      <c r="W27" s="7"/>
    </row>
    <row r="28" spans="1:26" ht="16.5" customHeight="1">
      <c r="A28" s="7"/>
      <c r="B28" s="4"/>
      <c r="C28" s="4"/>
      <c r="D28" s="4"/>
      <c r="E28" s="4"/>
      <c r="G28" s="76" t="s">
        <v>100</v>
      </c>
      <c r="H28" s="4"/>
      <c r="I28" s="4"/>
      <c r="J28" s="4"/>
      <c r="K28" s="4"/>
      <c r="M28" s="7"/>
      <c r="N28" s="4"/>
      <c r="O28" s="4"/>
      <c r="P28" s="4"/>
      <c r="Q28" s="4"/>
      <c r="S28" s="7"/>
      <c r="T28" s="4"/>
      <c r="U28" s="4"/>
      <c r="V28" s="4"/>
      <c r="W28" s="4"/>
    </row>
    <row r="29" spans="1:26" ht="16.5" customHeight="1">
      <c r="B29" s="4"/>
      <c r="D29" s="27"/>
      <c r="H29" s="4"/>
      <c r="J29" s="27"/>
    </row>
    <row r="30" spans="1:26" ht="16.5" customHeight="1">
      <c r="B30" s="4"/>
      <c r="H30" s="4"/>
    </row>
    <row r="31" spans="1:26" ht="16.5" customHeight="1">
      <c r="B31" s="4"/>
      <c r="H31" s="4"/>
    </row>
    <row r="32" spans="1:26" ht="16.5" customHeight="1"/>
    <row r="33" spans="1:26" ht="16.5" customHeight="1"/>
    <row r="34" spans="1:26" ht="16.5" customHeight="1"/>
    <row r="35" spans="1:26" ht="16.5" customHeight="1"/>
    <row r="36" spans="1:26" ht="16.5" customHeight="1"/>
    <row r="37" spans="1:26" ht="16.5" customHeight="1"/>
    <row r="38" spans="1:26" ht="16.5" customHeight="1"/>
    <row r="39" spans="1:26" ht="16.5" customHeight="1"/>
    <row r="40" spans="1:26" ht="16.5" customHeight="1"/>
    <row r="41" spans="1:26" ht="16.5" customHeight="1"/>
    <row r="42" spans="1:26" ht="16.5" customHeight="1"/>
    <row r="43" spans="1:26" ht="16.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6.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6.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6.5" customHeight="1"/>
    <row r="47" spans="1:26" ht="16.5" customHeight="1"/>
    <row r="48" spans="1:26" ht="16.5" customHeight="1"/>
    <row r="49" spans="1:26" ht="16.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16.5" customHeight="1"/>
    <row r="51" spans="1:26" ht="16.5" customHeight="1"/>
    <row r="52" spans="1:26" ht="16.5" customHeight="1"/>
    <row r="53" spans="1:26" ht="16.5" customHeight="1"/>
    <row r="54" spans="1:26" ht="16.5" customHeight="1"/>
    <row r="55" spans="1:26" ht="16.5" customHeight="1"/>
    <row r="56" spans="1:26" ht="16.5" customHeight="1"/>
    <row r="57" spans="1:26" ht="16.5" customHeight="1">
      <c r="R57" s="77"/>
      <c r="X57" s="77"/>
      <c r="Y57" s="77"/>
      <c r="Z57" s="77"/>
    </row>
    <row r="58" spans="1:26" ht="16.5" customHeight="1"/>
    <row r="59" spans="1:26" ht="16.5" customHeight="1"/>
    <row r="60" spans="1:26" ht="16.5" customHeight="1"/>
    <row r="61" spans="1:26" ht="16.5" customHeight="1"/>
    <row r="62" spans="1:26" ht="16.5" customHeight="1"/>
    <row r="63" spans="1:26" ht="16.5" customHeight="1"/>
    <row r="64" spans="1:26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</sheetData>
  <phoneticPr fontId="15" type="noConversion"/>
  <conditionalFormatting sqref="B5:E7">
    <cfRule type="cellIs" dxfId="43" priority="23" operator="lessThan">
      <formula>1</formula>
    </cfRule>
    <cfRule type="cellIs" dxfId="42" priority="24" operator="lessThan">
      <formula>2</formula>
    </cfRule>
  </conditionalFormatting>
  <conditionalFormatting sqref="B12:E12">
    <cfRule type="cellIs" dxfId="41" priority="19" operator="lessThan">
      <formula>1</formula>
    </cfRule>
    <cfRule type="cellIs" dxfId="40" priority="20" operator="lessThan">
      <formula>2</formula>
    </cfRule>
  </conditionalFormatting>
  <conditionalFormatting sqref="B14:E14">
    <cfRule type="cellIs" dxfId="39" priority="17" operator="lessThan">
      <formula>1</formula>
    </cfRule>
    <cfRule type="cellIs" dxfId="38" priority="18" operator="lessThan">
      <formula>2</formula>
    </cfRule>
  </conditionalFormatting>
  <conditionalFormatting sqref="H5:K7">
    <cfRule type="cellIs" dxfId="37" priority="11" operator="lessThan">
      <formula>1</formula>
    </cfRule>
    <cfRule type="cellIs" dxfId="36" priority="12" operator="lessThan">
      <formula>2</formula>
    </cfRule>
  </conditionalFormatting>
  <conditionalFormatting sqref="N5:Q7">
    <cfRule type="cellIs" dxfId="35" priority="5" operator="lessThan">
      <formula>1</formula>
    </cfRule>
    <cfRule type="cellIs" dxfId="34" priority="6" operator="lessThan">
      <formula>2</formula>
    </cfRule>
  </conditionalFormatting>
  <conditionalFormatting sqref="T5:W7">
    <cfRule type="cellIs" dxfId="33" priority="1" operator="lessThan">
      <formula>1</formula>
    </cfRule>
    <cfRule type="cellIs" dxfId="32" priority="2" operator="lessThan">
      <formula>2</formula>
    </cfRule>
  </conditionalFormatting>
  <dataValidations count="3">
    <dataValidation type="list" allowBlank="1" showErrorMessage="1" sqref="T10:W10 N10:Q10 H10:K10" xr:uid="{00000000-0002-0000-0600-000001000000}">
      <formula1>"TRUE"</formula1>
    </dataValidation>
    <dataValidation type="list" allowBlank="1" showErrorMessage="1" sqref="N4:Q4 B4:E4 T4:W4 H4:K4" xr:uid="{00000000-0002-0000-0600-000002000000}">
      <formula1>"1세대1주택,주택,2주택,3주택,토지,비사토"</formula1>
    </dataValidation>
    <dataValidation type="list" allowBlank="1" showErrorMessage="1" sqref="G4 S4 M4" xr:uid="{00000000-0002-0000-0600-000003000000}">
      <formula1>"부부"</formula1>
    </dataValidation>
  </dataValidations>
  <pageMargins left="0.25" right="0.25" top="0.75" bottom="0.75" header="0" footer="0"/>
  <pageSetup paperSize="9" orientation="landscape" r:id="rId1"/>
  <headerFooter>
    <oddFooter>&amp;C&amp;P/</oddFooter>
  </headerFooter>
  <rowBreaks count="2" manualBreakCount="2">
    <brk id="56" man="1"/>
    <brk id="2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4B083"/>
  </sheetPr>
  <dimension ref="A1:Z996"/>
  <sheetViews>
    <sheetView workbookViewId="0"/>
  </sheetViews>
  <sheetFormatPr defaultColWidth="14.42578125" defaultRowHeight="15" customHeight="1"/>
  <cols>
    <col min="1" max="1" width="28.140625" bestFit="1" customWidth="1"/>
    <col min="2" max="2" width="17.85546875" bestFit="1" customWidth="1"/>
    <col min="3" max="3" width="19.28515625" bestFit="1" customWidth="1"/>
    <col min="4" max="4" width="8.7109375" customWidth="1"/>
    <col min="5" max="5" width="28.140625" bestFit="1" customWidth="1"/>
    <col min="6" max="6" width="17.85546875" bestFit="1" customWidth="1"/>
    <col min="7" max="7" width="19.28515625" bestFit="1" customWidth="1"/>
    <col min="8" max="8" width="8.7109375" customWidth="1"/>
    <col min="9" max="9" width="28.140625" bestFit="1" customWidth="1"/>
    <col min="10" max="10" width="17.85546875" bestFit="1" customWidth="1"/>
    <col min="11" max="11" width="19.28515625" bestFit="1" customWidth="1"/>
    <col min="12" max="12" width="8.7109375" customWidth="1"/>
    <col min="13" max="13" width="28.140625" bestFit="1" customWidth="1"/>
    <col min="14" max="14" width="17.85546875" bestFit="1" customWidth="1"/>
    <col min="15" max="15" width="19.28515625" bestFit="1" customWidth="1"/>
    <col min="16" max="16" width="8.7109375" customWidth="1"/>
    <col min="17" max="17" width="15.42578125" customWidth="1"/>
    <col min="18" max="26" width="8.7109375" customWidth="1"/>
  </cols>
  <sheetData>
    <row r="1" spans="1:26" ht="16.5" customHeight="1">
      <c r="A1" s="50" t="s">
        <v>235</v>
      </c>
      <c r="B1" s="148">
        <f>HLOOKUP(B$9,기초!$C$5:$I$16,MATCH($A1,기초!$A$5:$A$16,0),0)</f>
        <v>8400000000</v>
      </c>
      <c r="C1" s="148">
        <f>B1</f>
        <v>8400000000</v>
      </c>
      <c r="E1" s="50" t="s">
        <v>235</v>
      </c>
      <c r="F1" s="148">
        <f>HLOOKUP(F$9,기초!$C$5:$I$16,MATCH($A1,기초!$A$5:$A$16,0),0)</f>
        <v>8400000000</v>
      </c>
      <c r="G1" s="148">
        <f>F1</f>
        <v>8400000000</v>
      </c>
      <c r="I1" s="50" t="s">
        <v>235</v>
      </c>
      <c r="J1" s="148">
        <f>HLOOKUP(J$9,기초!$C$5:$I$16,MATCH($A1,기초!$A$5:$A$16,0),0)</f>
        <v>8400000000</v>
      </c>
      <c r="K1" s="148">
        <f>J1</f>
        <v>8400000000</v>
      </c>
      <c r="M1" s="50" t="s">
        <v>235</v>
      </c>
      <c r="N1" s="148">
        <f>HLOOKUP(N$9,기초!$C$5:$I$16,MATCH($A1,기초!$A$5:$A$16,0),0)</f>
        <v>8400000000</v>
      </c>
      <c r="O1" s="148">
        <f>N1</f>
        <v>8400000000</v>
      </c>
    </row>
    <row r="2" spans="1:26" ht="16.5" customHeight="1">
      <c r="A2" s="1" t="s">
        <v>91</v>
      </c>
      <c r="B2" s="148">
        <f>HLOOKUP(B$9,기초!$C$5:$I$16,MATCH($A2,기초!$A$5:$A$16,0),0)</f>
        <v>500000000</v>
      </c>
      <c r="C2" s="148">
        <f>B2</f>
        <v>500000000</v>
      </c>
      <c r="E2" s="1" t="s">
        <v>91</v>
      </c>
      <c r="F2" s="148">
        <f>HLOOKUP(F$9,기초!$C$5:$I$16,MATCH($A2,기초!$A$5:$A$16,0),0)</f>
        <v>500000000</v>
      </c>
      <c r="G2" s="148">
        <f>F2</f>
        <v>500000000</v>
      </c>
      <c r="I2" s="1" t="s">
        <v>91</v>
      </c>
      <c r="J2" s="148">
        <f>HLOOKUP(J$9,기초!$C$5:$I$16,MATCH($A2,기초!$A$5:$A$16,0),0)</f>
        <v>500000000</v>
      </c>
      <c r="K2" s="148">
        <f>J2</f>
        <v>500000000</v>
      </c>
      <c r="M2" s="1" t="s">
        <v>91</v>
      </c>
      <c r="N2" s="148">
        <f>HLOOKUP(N$9,기초!$C$5:$I$16,MATCH($A2,기초!$A$5:$A$16,0),0)</f>
        <v>500000000</v>
      </c>
      <c r="O2" s="148">
        <f>N2</f>
        <v>500000000</v>
      </c>
    </row>
    <row r="3" spans="1:26" ht="16.5" customHeight="1" thickBot="1">
      <c r="A3" s="53" t="s">
        <v>59</v>
      </c>
      <c r="B3" s="54">
        <f t="shared" ref="B3:C3" si="0">B1-B2</f>
        <v>7900000000</v>
      </c>
      <c r="C3" s="54">
        <f t="shared" si="0"/>
        <v>7900000000</v>
      </c>
      <c r="E3" s="53" t="s">
        <v>59</v>
      </c>
      <c r="F3" s="54">
        <f t="shared" ref="F3:G3" si="1">F1-F2</f>
        <v>7900000000</v>
      </c>
      <c r="G3" s="54">
        <f t="shared" si="1"/>
        <v>7900000000</v>
      </c>
      <c r="I3" s="53" t="s">
        <v>59</v>
      </c>
      <c r="J3" s="54">
        <f t="shared" ref="J3:K3" si="2">J1-J2</f>
        <v>7900000000</v>
      </c>
      <c r="K3" s="54">
        <f t="shared" si="2"/>
        <v>7900000000</v>
      </c>
      <c r="M3" s="53" t="s">
        <v>59</v>
      </c>
      <c r="N3" s="54">
        <f t="shared" ref="N3:O3" si="3">N1-N2</f>
        <v>7900000000</v>
      </c>
      <c r="O3" s="54">
        <f t="shared" si="3"/>
        <v>7900000000</v>
      </c>
    </row>
    <row r="4" spans="1:26" ht="16.5" customHeight="1">
      <c r="A4" s="1" t="s">
        <v>41</v>
      </c>
      <c r="B4" s="148">
        <f>HLOOKUP(B$9,기초!$C$5:$I$16,MATCH($A4,기초!$A$5:$A$16,0),0)</f>
        <v>1300000000</v>
      </c>
      <c r="C4" s="148">
        <f>HLOOKUP(C$9,기초!$C$5:$I$16,MATCH($A4,기초!$A$5:$A$16,0),0)</f>
        <v>1300000000</v>
      </c>
      <c r="E4" s="1" t="s">
        <v>41</v>
      </c>
      <c r="F4" s="15">
        <f t="shared" ref="F4:G4" si="4">B4</f>
        <v>1300000000</v>
      </c>
      <c r="G4" s="15">
        <f t="shared" si="4"/>
        <v>1300000000</v>
      </c>
      <c r="I4" s="1" t="s">
        <v>41</v>
      </c>
      <c r="J4" s="15">
        <f t="shared" ref="J4:K4" si="5">F4</f>
        <v>1300000000</v>
      </c>
      <c r="K4" s="15">
        <f t="shared" si="5"/>
        <v>1300000000</v>
      </c>
      <c r="M4" s="1" t="s">
        <v>41</v>
      </c>
      <c r="N4" s="15">
        <f t="shared" ref="N4:O4" si="6">J4</f>
        <v>1300000000</v>
      </c>
      <c r="O4" s="15">
        <f t="shared" si="6"/>
        <v>1300000000</v>
      </c>
    </row>
    <row r="5" spans="1:26" ht="16.5" customHeight="1">
      <c r="A5" s="19"/>
    </row>
    <row r="6" spans="1:26" ht="16.5" customHeight="1">
      <c r="A6" s="59" t="s">
        <v>92</v>
      </c>
      <c r="B6" s="60">
        <f t="shared" ref="B6:C6" si="7">B33</f>
        <v>13154204.081632648</v>
      </c>
      <c r="C6" s="60">
        <f t="shared" si="7"/>
        <v>188234.69387755013</v>
      </c>
      <c r="D6" s="60"/>
      <c r="E6" s="5"/>
      <c r="F6" s="60">
        <f t="shared" ref="F6:G6" si="8">F33</f>
        <v>11139183.673469383</v>
      </c>
      <c r="G6" s="60">
        <f t="shared" si="8"/>
        <v>-505438.77551020461</v>
      </c>
      <c r="H6" s="5"/>
      <c r="I6" s="60"/>
      <c r="J6" s="60">
        <f t="shared" ref="J6:K6" si="9">J33</f>
        <v>7847265.3061224464</v>
      </c>
      <c r="K6" s="60">
        <f t="shared" si="9"/>
        <v>270942571.4285714</v>
      </c>
      <c r="L6" s="60"/>
      <c r="M6" s="60"/>
      <c r="N6" s="60">
        <f t="shared" ref="N6:O6" si="10">N33</f>
        <v>7066040.816326526</v>
      </c>
      <c r="O6" s="60">
        <f t="shared" si="10"/>
        <v>224729476.19047621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6.5" customHeight="1">
      <c r="A7" s="59"/>
    </row>
    <row r="8" spans="1:26" ht="16.5" customHeight="1">
      <c r="A8" s="46" t="s">
        <v>67</v>
      </c>
      <c r="B8" s="3"/>
      <c r="C8" s="3"/>
      <c r="E8" s="46" t="s">
        <v>68</v>
      </c>
      <c r="F8" s="3"/>
      <c r="G8" s="3"/>
      <c r="I8" s="46" t="s">
        <v>70</v>
      </c>
      <c r="J8" s="15">
        <v>2000000000</v>
      </c>
      <c r="K8" s="15">
        <v>2000000000</v>
      </c>
      <c r="M8" s="46" t="s">
        <v>70</v>
      </c>
      <c r="N8" s="15">
        <v>1000000000</v>
      </c>
      <c r="O8" s="15">
        <v>1000000000</v>
      </c>
    </row>
    <row r="9" spans="1:26" ht="16.5" customHeight="1">
      <c r="A9" s="3"/>
      <c r="B9" s="3" t="s">
        <v>8</v>
      </c>
      <c r="C9" s="3" t="s">
        <v>8</v>
      </c>
      <c r="E9" s="47">
        <v>2027</v>
      </c>
      <c r="F9" s="3" t="s">
        <v>8</v>
      </c>
      <c r="G9" s="3" t="s">
        <v>8</v>
      </c>
      <c r="I9" s="47">
        <v>2028</v>
      </c>
      <c r="J9" s="3" t="s">
        <v>8</v>
      </c>
      <c r="K9" s="3" t="s">
        <v>9</v>
      </c>
      <c r="M9" s="47">
        <v>2029</v>
      </c>
      <c r="N9" s="3" t="s">
        <v>8</v>
      </c>
      <c r="O9" s="3" t="s">
        <v>9</v>
      </c>
    </row>
    <row r="10" spans="1:26" ht="16.5" customHeight="1">
      <c r="A10" s="3"/>
      <c r="B10" s="256" t="s">
        <v>0</v>
      </c>
      <c r="C10" s="256" t="s">
        <v>0</v>
      </c>
      <c r="E10" s="48" t="s">
        <v>72</v>
      </c>
      <c r="F10" s="256" t="s">
        <v>0</v>
      </c>
      <c r="G10" s="256" t="s">
        <v>0</v>
      </c>
      <c r="I10" s="48" t="s">
        <v>72</v>
      </c>
      <c r="J10" s="256" t="s">
        <v>0</v>
      </c>
      <c r="K10" s="256" t="s">
        <v>4</v>
      </c>
      <c r="M10" s="48" t="s">
        <v>72</v>
      </c>
      <c r="N10" s="256" t="s">
        <v>0</v>
      </c>
      <c r="O10" s="256" t="s">
        <v>71</v>
      </c>
    </row>
    <row r="11" spans="1:26" ht="16.5" customHeight="1">
      <c r="A11" s="130" t="s">
        <v>226</v>
      </c>
      <c r="B11" s="127" t="str">
        <f>HLOOKUP(B$9,기초!$C$5:$I$7,3,0)</f>
        <v>조정대상지역</v>
      </c>
      <c r="C11" s="127" t="str">
        <f>HLOOKUP(C$9,기초!$C$5:$I$7,3,0)</f>
        <v>조정대상지역</v>
      </c>
      <c r="E11" s="130" t="s">
        <v>226</v>
      </c>
      <c r="F11" s="127" t="str">
        <f>HLOOKUP(F$9,기초!$C$5:$I$7,3,0)</f>
        <v>조정대상지역</v>
      </c>
      <c r="G11" s="127" t="str">
        <f>HLOOKUP(G$9,기초!$C$5:$I$7,3,0)</f>
        <v>조정대상지역</v>
      </c>
      <c r="I11" s="130" t="s">
        <v>226</v>
      </c>
      <c r="J11" s="127" t="str">
        <f>HLOOKUP(J$9,기초!$C$5:$I$7,3,0)</f>
        <v>조정대상지역</v>
      </c>
      <c r="K11" s="127" t="str">
        <f>HLOOKUP(K$9,기초!$C$5:$I$7,3,0)</f>
        <v>조정대상지역</v>
      </c>
      <c r="M11" s="130" t="s">
        <v>226</v>
      </c>
      <c r="N11" s="127" t="str">
        <f>HLOOKUP(N$9,기초!$C$5:$I$7,3,0)</f>
        <v>조정대상지역</v>
      </c>
      <c r="O11" s="127" t="str">
        <f>HLOOKUP(O$9,기초!$C$5:$I$7,3,0)</f>
        <v>조정대상지역</v>
      </c>
    </row>
    <row r="12" spans="1:26" ht="16.5" customHeight="1">
      <c r="A12" s="3" t="s">
        <v>184</v>
      </c>
      <c r="B12" s="17" t="str">
        <f>HLOOKUP(B$9,기초!$C$5:$I$7,2,0)</f>
        <v>85 초과</v>
      </c>
      <c r="C12" s="17" t="str">
        <f>HLOOKUP(C$9,기초!$C$5:$I$7,2,0)</f>
        <v>85 초과</v>
      </c>
      <c r="E12" s="3" t="s">
        <v>184</v>
      </c>
      <c r="F12" s="17" t="str">
        <f>HLOOKUP(F$9,기초!$C$5:$I$7,2,0)</f>
        <v>85 초과</v>
      </c>
      <c r="G12" s="17" t="str">
        <f>HLOOKUP(G$9,기초!$C$5:$I$7,2,0)</f>
        <v>85 초과</v>
      </c>
      <c r="I12" s="3" t="s">
        <v>184</v>
      </c>
      <c r="J12" s="17" t="str">
        <f>HLOOKUP(J$9,기초!$C$5:$I$7,2,0)</f>
        <v>85 초과</v>
      </c>
      <c r="K12" s="17" t="str">
        <f>HLOOKUP(K$9,기초!$C$5:$I$7,2,0)</f>
        <v>국평</v>
      </c>
      <c r="M12" s="3" t="s">
        <v>184</v>
      </c>
      <c r="N12" s="17" t="str">
        <f>HLOOKUP(N$9,기초!$C$5:$I$7,2,0)</f>
        <v>85 초과</v>
      </c>
      <c r="O12" s="17" t="str">
        <f>HLOOKUP(O$9,기초!$C$5:$I$7,2,0)</f>
        <v>국평</v>
      </c>
    </row>
    <row r="13" spans="1:26" ht="16.5" customHeight="1">
      <c r="A13" s="3" t="s">
        <v>233</v>
      </c>
      <c r="B13" s="132">
        <f>HLOOKUP(B$9,기초!$C$5:$I$16,MATCH($A13,기초!$A$5:$A$16,0),0)</f>
        <v>10</v>
      </c>
      <c r="C13" s="132">
        <f>HLOOKUP(C$9,기초!$C$5:$I$16,MATCH($A13,기초!$A$5:$A$16,0),0)</f>
        <v>10</v>
      </c>
      <c r="E13" s="3" t="s">
        <v>75</v>
      </c>
      <c r="F13" s="257">
        <f>B13+1</f>
        <v>11</v>
      </c>
      <c r="G13" s="257">
        <f>C13+1</f>
        <v>11</v>
      </c>
      <c r="I13" s="3" t="s">
        <v>75</v>
      </c>
      <c r="J13" s="257">
        <f>F13+1</f>
        <v>12</v>
      </c>
      <c r="K13" s="257">
        <f>G13+1</f>
        <v>12</v>
      </c>
      <c r="M13" s="3" t="s">
        <v>75</v>
      </c>
      <c r="N13" s="257">
        <f>J13+1</f>
        <v>13</v>
      </c>
      <c r="O13" s="257">
        <f>K13+1</f>
        <v>13</v>
      </c>
    </row>
    <row r="14" spans="1:26" ht="16.5" customHeight="1">
      <c r="A14" s="3" t="s">
        <v>234</v>
      </c>
      <c r="B14" s="132">
        <f>HLOOKUP(B$9,기초!$C$5:$I$16,MATCH($A14,기초!$A$5:$A$16,0),0)</f>
        <v>5</v>
      </c>
      <c r="C14" s="132">
        <f>HLOOKUP(C$9,기초!$C$5:$I$16,MATCH($A14,기초!$A$5:$A$16,0),0)</f>
        <v>5</v>
      </c>
      <c r="E14" s="3" t="s">
        <v>2</v>
      </c>
      <c r="F14" s="257">
        <f>B14+1</f>
        <v>6</v>
      </c>
      <c r="G14" s="257">
        <f>C14+1</f>
        <v>6</v>
      </c>
      <c r="I14" s="3" t="s">
        <v>2</v>
      </c>
      <c r="J14" s="257">
        <f>F14+1</f>
        <v>7</v>
      </c>
      <c r="K14" s="257">
        <f>G14+1</f>
        <v>7</v>
      </c>
      <c r="M14" s="3" t="s">
        <v>2</v>
      </c>
      <c r="N14" s="257">
        <f>J14+1</f>
        <v>8</v>
      </c>
      <c r="O14" s="257">
        <f>K14+1</f>
        <v>8</v>
      </c>
    </row>
    <row r="15" spans="1:26" ht="16.5" customHeight="1">
      <c r="A15" s="3" t="s">
        <v>77</v>
      </c>
      <c r="B15" s="3" t="str">
        <f t="shared" ref="B15:C15" si="11">IF(AND(B10="3주택",B11="조정대상지역"),"기본세율+30%",IF(B10="비사토","기본세율+10%",IF(AND(B10="2주택",B11="조정대상지역"),"기본세율+20%","기본세율")))</f>
        <v>기본세율</v>
      </c>
      <c r="C15" s="3" t="str">
        <f t="shared" si="11"/>
        <v>기본세율</v>
      </c>
      <c r="E15" s="3" t="s">
        <v>77</v>
      </c>
      <c r="F15" s="3" t="str">
        <f t="shared" ref="F15:G15" si="12">IF(AND(F10="3주택",F11="조정대상지역"),"기본세율+30%",IF(F10="비사토","기본세율+10%",IF(AND(F10="2주택",F11="조정대상지역"),"기본세율+20%","기본세율")))</f>
        <v>기본세율</v>
      </c>
      <c r="G15" s="3" t="str">
        <f t="shared" si="12"/>
        <v>기본세율</v>
      </c>
      <c r="I15" s="3" t="s">
        <v>77</v>
      </c>
      <c r="J15" s="3" t="str">
        <f t="shared" ref="J15:K15" si="13">IF(AND(J10="3주택",J11="조정대상지역"),"기본세율+30%",IF(J10="비사토","기본세율+10%",IF(AND(J10="2주택",J11="조정대상지역"),"기본세율+20%","기본세율")))</f>
        <v>기본세율</v>
      </c>
      <c r="K15" s="3" t="str">
        <f t="shared" si="13"/>
        <v>기본세율+20%</v>
      </c>
      <c r="M15" s="3" t="s">
        <v>77</v>
      </c>
      <c r="N15" s="3" t="str">
        <f t="shared" ref="N15:O15" si="14">IF(AND(N10="3주택",N11="조정대상지역"),"기본세율+30%",IF(N10="비사토","기본세율+10%",IF(AND(N10="2주택",N11="조정대상지역"),"기본세율+20%","기본세율")))</f>
        <v>기본세율</v>
      </c>
      <c r="O15" s="3" t="str">
        <f t="shared" si="14"/>
        <v>기본세율+10%</v>
      </c>
    </row>
    <row r="16" spans="1:26" ht="16.5" customHeight="1">
      <c r="A16" s="3" t="s">
        <v>79</v>
      </c>
      <c r="B16" s="17">
        <v>0.6</v>
      </c>
      <c r="C16" s="17">
        <v>0.4</v>
      </c>
      <c r="E16" s="3" t="s">
        <v>79</v>
      </c>
      <c r="F16" s="17">
        <v>0.6</v>
      </c>
      <c r="G16" s="17">
        <v>0.4</v>
      </c>
      <c r="I16" s="3" t="s">
        <v>79</v>
      </c>
      <c r="J16" s="17">
        <v>0.5</v>
      </c>
      <c r="K16" s="17">
        <v>1</v>
      </c>
      <c r="M16" s="3" t="s">
        <v>79</v>
      </c>
      <c r="N16" s="17">
        <v>0.5</v>
      </c>
      <c r="O16" s="17">
        <v>1</v>
      </c>
    </row>
    <row r="17" spans="1:26" ht="16.5" customHeight="1">
      <c r="A17" s="3" t="s">
        <v>55</v>
      </c>
      <c r="B17" s="13" t="s">
        <v>44</v>
      </c>
      <c r="C17" s="13" t="s">
        <v>44</v>
      </c>
      <c r="E17" s="3" t="s">
        <v>55</v>
      </c>
      <c r="F17" s="13" t="s">
        <v>44</v>
      </c>
      <c r="G17" s="13" t="s">
        <v>44</v>
      </c>
      <c r="I17" s="3" t="s">
        <v>55</v>
      </c>
      <c r="J17" s="13" t="s">
        <v>44</v>
      </c>
      <c r="K17" s="13" t="s">
        <v>44</v>
      </c>
      <c r="M17" s="3" t="s">
        <v>55</v>
      </c>
      <c r="N17" s="13" t="s">
        <v>44</v>
      </c>
      <c r="O17" s="13" t="s">
        <v>44</v>
      </c>
    </row>
    <row r="18" spans="1:26" ht="16.5" customHeight="1">
      <c r="A18" s="3"/>
      <c r="B18" s="17"/>
      <c r="C18" s="17"/>
      <c r="E18" s="3" t="s">
        <v>80</v>
      </c>
      <c r="F18" s="48" t="b">
        <v>1</v>
      </c>
      <c r="G18" s="48" t="b">
        <v>1</v>
      </c>
      <c r="I18" s="3" t="s">
        <v>80</v>
      </c>
      <c r="J18" s="48" t="b">
        <v>1</v>
      </c>
      <c r="K18" s="48" t="b">
        <v>1</v>
      </c>
      <c r="M18" s="3" t="s">
        <v>80</v>
      </c>
      <c r="N18" s="48" t="b">
        <v>1</v>
      </c>
      <c r="O18" s="48" t="b">
        <v>1</v>
      </c>
    </row>
    <row r="19" spans="1:26" ht="16.5" customHeight="1"/>
    <row r="20" spans="1:26" ht="16.5" customHeight="1">
      <c r="A20" s="50" t="s">
        <v>235</v>
      </c>
      <c r="B20" s="132">
        <f>HLOOKUP(B$9,기초!$C$5:$I$16,MATCH($A20,기초!$A$5:$A$16,0),0)</f>
        <v>8400000000</v>
      </c>
      <c r="C20" s="132">
        <f>HLOOKUP(C$9,기초!$C$5:$I$16,MATCH($A20,기초!$A$5:$A$16,0),0)</f>
        <v>8400000000</v>
      </c>
      <c r="D20" s="19"/>
      <c r="E20" s="50" t="s">
        <v>177</v>
      </c>
      <c r="F20" s="15">
        <f>F1</f>
        <v>8400000000</v>
      </c>
      <c r="G20" s="15">
        <f>G1</f>
        <v>8400000000</v>
      </c>
      <c r="H20" s="19"/>
      <c r="I20" s="50" t="s">
        <v>177</v>
      </c>
      <c r="J20" s="15">
        <f>J1</f>
        <v>8400000000</v>
      </c>
      <c r="K20" s="15">
        <f>K1</f>
        <v>8400000000</v>
      </c>
      <c r="L20" s="19"/>
      <c r="M20" s="50" t="s">
        <v>177</v>
      </c>
      <c r="N20" s="15">
        <f>N1</f>
        <v>8400000000</v>
      </c>
      <c r="O20" s="15">
        <f>O1</f>
        <v>8400000000</v>
      </c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6.5" customHeight="1">
      <c r="A21" s="50" t="s">
        <v>179</v>
      </c>
      <c r="B21" s="4">
        <f>B16*B20*B2/B1</f>
        <v>300000000</v>
      </c>
      <c r="C21" s="4">
        <f>C16*C20*C2/C1</f>
        <v>200000000</v>
      </c>
      <c r="D21" s="19"/>
      <c r="E21" s="50" t="s">
        <v>179</v>
      </c>
      <c r="F21" s="4">
        <f>F16*F20*F2/F1</f>
        <v>300000000</v>
      </c>
      <c r="G21" s="4">
        <f>G16*G20*G2/G1</f>
        <v>200000000</v>
      </c>
      <c r="H21" s="19"/>
      <c r="I21" s="50" t="s">
        <v>179</v>
      </c>
      <c r="J21" s="4">
        <f>J16*J20*J2/J1</f>
        <v>250000000</v>
      </c>
      <c r="K21" s="4">
        <f>K16*K20*K2/K1</f>
        <v>500000000</v>
      </c>
      <c r="L21" s="19"/>
      <c r="M21" s="50" t="s">
        <v>179</v>
      </c>
      <c r="N21" s="4">
        <f>N16*N20*N2/N1</f>
        <v>250000000</v>
      </c>
      <c r="O21" s="4">
        <f>O16*O20*O2/O1</f>
        <v>500000000</v>
      </c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6.5" customHeight="1">
      <c r="A22" s="26" t="s">
        <v>82</v>
      </c>
      <c r="B22" s="61">
        <f>B4*B2/B1</f>
        <v>77380952.380952388</v>
      </c>
      <c r="C22" s="61">
        <f>C4*C2/C1</f>
        <v>77380952.380952388</v>
      </c>
      <c r="D22" s="26"/>
      <c r="E22" s="26" t="s">
        <v>82</v>
      </c>
      <c r="F22" s="61">
        <f>F4*F2/F1</f>
        <v>77380952.380952388</v>
      </c>
      <c r="G22" s="61">
        <f>G4*G2/G1</f>
        <v>77380952.380952388</v>
      </c>
      <c r="H22" s="26"/>
      <c r="I22" s="26" t="s">
        <v>82</v>
      </c>
      <c r="J22" s="61">
        <f>J4*J2/J1</f>
        <v>77380952.380952388</v>
      </c>
      <c r="K22" s="61">
        <f>K4*K2/K1</f>
        <v>77380952.380952388</v>
      </c>
      <c r="L22" s="26"/>
      <c r="M22" s="26" t="s">
        <v>82</v>
      </c>
      <c r="N22" s="61">
        <f>N4*N2/N1</f>
        <v>77380952.380952388</v>
      </c>
      <c r="O22" s="61">
        <f>O4*O2/O1</f>
        <v>77380952.380952388</v>
      </c>
      <c r="P22" s="26"/>
      <c r="Q22" s="62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6.5" customHeight="1">
      <c r="A23" s="19" t="s">
        <v>83</v>
      </c>
      <c r="B23" s="4">
        <f t="shared" ref="B23:C23" si="15">B21-B22</f>
        <v>222619047.61904761</v>
      </c>
      <c r="C23" s="4">
        <f t="shared" si="15"/>
        <v>122619047.61904761</v>
      </c>
      <c r="D23" s="19"/>
      <c r="E23" s="19" t="s">
        <v>83</v>
      </c>
      <c r="F23" s="4">
        <f t="shared" ref="F23:G23" si="16">F21-F22</f>
        <v>222619047.61904761</v>
      </c>
      <c r="G23" s="4">
        <f t="shared" si="16"/>
        <v>122619047.61904761</v>
      </c>
      <c r="H23" s="19"/>
      <c r="I23" s="19" t="s">
        <v>83</v>
      </c>
      <c r="J23" s="4">
        <f t="shared" ref="J23:K23" si="17">J21-J22</f>
        <v>172619047.61904761</v>
      </c>
      <c r="K23" s="4">
        <f t="shared" si="17"/>
        <v>422619047.61904764</v>
      </c>
      <c r="L23" s="19"/>
      <c r="M23" s="19" t="s">
        <v>83</v>
      </c>
      <c r="N23" s="4">
        <f t="shared" ref="N23:O23" si="18">N21-N22</f>
        <v>172619047.61904761</v>
      </c>
      <c r="O23" s="4">
        <f t="shared" si="18"/>
        <v>422619047.61904764</v>
      </c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6.5" customHeight="1">
      <c r="A24" s="26" t="s">
        <v>84</v>
      </c>
      <c r="B24" s="63">
        <f>IF(B10="1세대1주택",MAX(0,B23*(B20-1200000000)/B20),B23)</f>
        <v>190816326.53061223</v>
      </c>
      <c r="C24" s="63">
        <f>IF(C10="1세대1주택",MAX(0,C23*(C20-1200000000)/C20),C23)</f>
        <v>105102040.81632653</v>
      </c>
      <c r="D24" s="26"/>
      <c r="E24" s="26" t="s">
        <v>84</v>
      </c>
      <c r="F24" s="63">
        <f>IF(F10="1세대1주택",MAX(0,F23*(F20-1200000000)/F20),F23)</f>
        <v>190816326.53061223</v>
      </c>
      <c r="G24" s="63">
        <f>IF(G10="1세대1주택",MAX(0,G23*(G20-1200000000)/G20),G23)</f>
        <v>105102040.81632653</v>
      </c>
      <c r="H24" s="26"/>
      <c r="I24" s="26" t="s">
        <v>84</v>
      </c>
      <c r="J24" s="63">
        <f>IF(J10="1세대1주택",MAX(0,J23*(J20-1200000000)/J20),J23)</f>
        <v>147959183.67346936</v>
      </c>
      <c r="K24" s="63">
        <f>IF(K10="1세대1주택",MAX(0,K23*(K20-1200000000)/K20),K23)</f>
        <v>422619047.61904764</v>
      </c>
      <c r="L24" s="26"/>
      <c r="M24" s="26" t="s">
        <v>84</v>
      </c>
      <c r="N24" s="63">
        <f>IF(N10="1세대1주택",MAX(0,N23*(N20-1200000000)/N20),N23)</f>
        <v>147959183.67346936</v>
      </c>
      <c r="O24" s="63">
        <f>IF(O10="1세대1주택",MAX(0,O23*(O20-1200000000)/O20),O23)</f>
        <v>422619047.61904764</v>
      </c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6.5" customHeight="1">
      <c r="A25" s="51" t="s">
        <v>85</v>
      </c>
      <c r="B25" s="52">
        <f>IF(B13&gt;=3,IF(AND(B10="1세대1주택",B14&gt;=2),MIN(40%,B13*4%)+MIN(40%,B14*4%),IF(B15="기본세율",MIN(30%,B13*2%),0)))</f>
        <v>0.60000000000000009</v>
      </c>
      <c r="C25" s="52">
        <f>IF(C13&gt;=3,IF(AND(C10="1세대1주택",C14&gt;=2),MIN(40%,C13*4%)+MIN(40%,C14*4%),IF(C15="기본세율",MIN(30%,C13*2%),0)))</f>
        <v>0.60000000000000009</v>
      </c>
      <c r="D25" s="19"/>
      <c r="E25" s="51" t="s">
        <v>85</v>
      </c>
      <c r="F25" s="52">
        <f>IF(F13&gt;=3,IF(AND(F10="1세대1주택",F14&gt;=2),MIN(40%,F13*4%)+MIN(40%,F14*4%),IF(F15="기본세율",MIN(30%,F13*2%),0)))</f>
        <v>0.64</v>
      </c>
      <c r="G25" s="52">
        <f>IF(G13&gt;=3,IF(AND(G10="1세대1주택",G14&gt;=2),MIN(40%,G13*4%)+MIN(40%,G14*4%),IF(G15="기본세율",MIN(30%,G13*2%),0)))</f>
        <v>0.64</v>
      </c>
      <c r="H25" s="19"/>
      <c r="I25" s="51" t="s">
        <v>85</v>
      </c>
      <c r="J25" s="52">
        <f>IF(J13&gt;=3,IF(AND(J10="1세대1주택",J14&gt;=2),MIN(20%,J13*2%)+MIN(60%,J14*6%),IF(J15="기본세율",MIN(15%,J13*1%)+MIN(30%,J14*2%),0)))</f>
        <v>0.62</v>
      </c>
      <c r="K25" s="52">
        <f>IF(K13&gt;=3,IF(AND(K10="1세대1주택",K14&gt;=2),MIN(20%,K13*2%)+MIN(60%,K14*6%),IF(K15="기본세율",MIN(15%,K13*1%)+MIN(30%,K14*2%),0)))</f>
        <v>0</v>
      </c>
      <c r="L25" s="19"/>
      <c r="M25" s="51" t="s">
        <v>85</v>
      </c>
      <c r="N25" s="52">
        <f>IF(N13&gt;=3,IF(AND(N10="1세대1주택",N14&gt;=2),MIN(80%,N14*8%),IF(N15="기본세율",MIN(30%,N14*2%),0)))</f>
        <v>0.64</v>
      </c>
      <c r="O25" s="52">
        <f>IF(O13&gt;=3,IF(AND(O10="1세대1주택",O14&gt;=2),MIN(80%,O14*8%),IF(O15="기본세율",MIN(30%,O14*2%),0)))</f>
        <v>0</v>
      </c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6.5" customHeight="1">
      <c r="A26" s="53" t="s">
        <v>87</v>
      </c>
      <c r="B26" s="54">
        <f t="shared" ref="B26:C26" si="19">B24*(1-B25)</f>
        <v>76326530.612244874</v>
      </c>
      <c r="C26" s="54">
        <f t="shared" si="19"/>
        <v>42040816.326530606</v>
      </c>
      <c r="D26" s="19"/>
      <c r="E26" s="53" t="s">
        <v>87</v>
      </c>
      <c r="F26" s="54">
        <f t="shared" ref="F26:G26" si="20">F24*(1-F25)</f>
        <v>68693877.551020399</v>
      </c>
      <c r="G26" s="54">
        <f t="shared" si="20"/>
        <v>37836734.693877548</v>
      </c>
      <c r="H26" s="19"/>
      <c r="I26" s="53" t="s">
        <v>87</v>
      </c>
      <c r="J26" s="54">
        <f>J24-MIN(J24*J25,J8)</f>
        <v>56224489.79591836</v>
      </c>
      <c r="K26" s="54">
        <f>K24-MIN(K24*K25,K8)</f>
        <v>422619047.61904764</v>
      </c>
      <c r="L26" s="19"/>
      <c r="M26" s="53" t="s">
        <v>87</v>
      </c>
      <c r="N26" s="54">
        <f>N24-MIN(N24*N25,N8)</f>
        <v>53265306.122448966</v>
      </c>
      <c r="O26" s="54">
        <f>O24-MIN(O24*O25,O8)</f>
        <v>422619047.61904764</v>
      </c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6.5" customHeight="1">
      <c r="A27" s="55" t="s">
        <v>89</v>
      </c>
      <c r="B27" s="56">
        <v>2500000</v>
      </c>
      <c r="C27" s="56">
        <v>2500000</v>
      </c>
      <c r="D27" s="19"/>
      <c r="E27" s="55" t="s">
        <v>89</v>
      </c>
      <c r="F27" s="56">
        <f>IF(AND(F10="1세대1주택",F14&gt;=10,F20&lt;=3*10^9),25*10^6*IF($E$10="부부",IF(F18=TRUE,F16,1),F16),2500000)</f>
        <v>2500000</v>
      </c>
      <c r="G27" s="56">
        <f>IF(AND(G10="1세대1주택",G14&gt;=10,G20&lt;=3*10^9),25*10^6*IF($E$10="부부",IF(G18=TRUE,G16,1),G16),2500000)</f>
        <v>2500000</v>
      </c>
      <c r="H27" s="19"/>
      <c r="I27" s="55" t="s">
        <v>89</v>
      </c>
      <c r="J27" s="56">
        <f>IF(AND(J10="1세대1주택",J14&gt;=10,J20&lt;=3*10^9),25*10^6*IF($I$10="부부",IF(J18=TRUE,J16,1),J16),2500000)</f>
        <v>2500000</v>
      </c>
      <c r="K27" s="56">
        <f>IF(AND(K10="1세대1주택",K14&gt;=10,K20&lt;=3*10^9),25*10^6*IF($I$10="부부",IF(K18=TRUE,K16,1),K16),2500000)</f>
        <v>2500000</v>
      </c>
      <c r="L27" s="19"/>
      <c r="M27" s="55" t="s">
        <v>89</v>
      </c>
      <c r="N27" s="56">
        <f>IF(AND(N10="1세대1주택",N14&gt;=10,N20&lt;=3*10^9),25*10^6*IF($M$10="부부",IF(N18=TRUE,N16,1),N16),2500000)</f>
        <v>2500000</v>
      </c>
      <c r="O27" s="56">
        <f>IF(AND(O10="1세대1주택",O14&gt;=10,O20&lt;=3*10^9),25*10^6*IF($M$10="부부",IF(O18=TRUE,O16,1),O16),2500000)</f>
        <v>2500000</v>
      </c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6.5" customHeight="1">
      <c r="A28" s="57" t="s">
        <v>62</v>
      </c>
      <c r="B28" s="58">
        <f t="shared" ref="B28:C28" si="21">B26-B27</f>
        <v>73826530.612244874</v>
      </c>
      <c r="C28" s="58">
        <f t="shared" si="21"/>
        <v>39540816.326530606</v>
      </c>
      <c r="D28" s="19"/>
      <c r="E28" s="57" t="s">
        <v>62</v>
      </c>
      <c r="F28" s="58">
        <f t="shared" ref="F28:G28" si="22">F26-F27</f>
        <v>66193877.551020399</v>
      </c>
      <c r="G28" s="58">
        <f t="shared" si="22"/>
        <v>35336734.693877548</v>
      </c>
      <c r="H28" s="19"/>
      <c r="I28" s="57" t="s">
        <v>62</v>
      </c>
      <c r="J28" s="36">
        <f t="shared" ref="J28:K28" si="23">J26-J27</f>
        <v>53724489.79591836</v>
      </c>
      <c r="K28" s="36">
        <f t="shared" si="23"/>
        <v>420119047.61904764</v>
      </c>
      <c r="L28" s="19"/>
      <c r="M28" s="57" t="s">
        <v>62</v>
      </c>
      <c r="N28" s="36">
        <f t="shared" ref="N28:O28" si="24">N26-N27</f>
        <v>50765306.122448966</v>
      </c>
      <c r="O28" s="36">
        <f t="shared" si="24"/>
        <v>420119047.61904764</v>
      </c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6.5" customHeight="1">
      <c r="A29" s="51" t="s">
        <v>63</v>
      </c>
      <c r="B29" s="52">
        <f t="array" ref="B29">INDEX(t!$AB$3:$AJ$10,MIN(ROWS(t!$AB$3:$AB$10),IF(B28&lt;=t!$AB$3,1,MATCH(B28-1,t!$AB$3:$AB$10,1)+1)),MATCH(B15,{"기본세율","기본세율+10%","기본세율+20%","기본세율+30%"},0)*2)</f>
        <v>0.24</v>
      </c>
      <c r="C29" s="52">
        <f t="array" ref="C29">INDEX(t!$AB$3:$AJ$10,MIN(ROWS(t!$AB$3:$AB$10),IF(C28&lt;=t!$AB$3,1,MATCH(C28-1,t!$AB$3:$AB$10,1)+1)),MATCH(C15,{"기본세율","기본세율+10%","기본세율+20%","기본세율+30%"},0)*2)</f>
        <v>0.15</v>
      </c>
      <c r="D29" s="19"/>
      <c r="E29" s="51" t="s">
        <v>63</v>
      </c>
      <c r="F29" s="52">
        <f t="array" ref="F29">INDEX(t!$AB$3:$AJ$10,MIN(ROWS(t!$AB$3:$AB$10),IF(F28&lt;=t!$AB$3,1,MATCH(F28-1,t!$AB$3:$AB$10,1)+1)),MATCH(F15,{"기본세율","기본세율+10%","기본세율+20%","기본세율+30%"},0)*2)</f>
        <v>0.24</v>
      </c>
      <c r="G29" s="52">
        <f t="array" ref="G29">INDEX(t!$AB$3:$AJ$10,MIN(ROWS(t!$AB$3:$AB$10),IF(G28&lt;=t!$AB$3,1,MATCH(G28-1,t!$AB$3:$AB$10,1)+1)),MATCH(G15,{"기본세율","기본세율+10%","기본세율+20%","기본세율+30%"},0)*2)</f>
        <v>0.15</v>
      </c>
      <c r="H29" s="19"/>
      <c r="I29" s="51" t="s">
        <v>63</v>
      </c>
      <c r="J29" s="52">
        <f t="array" ref="J29">INDEX(t!$AB$3:$AJ$10,MIN(ROWS(t!$AB$3:$AB$10),IF(J28&lt;=t!$AB$3,1,MATCH(J28-1,t!$AB$3:$AB$10,1)+1)),MATCH(J15,{"기본세율","기본세율+10%","기본세율+20%","기본세율+30%"},0)*2)</f>
        <v>0.24</v>
      </c>
      <c r="K29" s="52">
        <f t="array" ref="K29">INDEX(t!$AB$3:$AJ$10,MIN(ROWS(t!$AB$3:$AB$10),IF(K28&lt;=t!$AB$3,1,MATCH(K28-1,t!$AB$3:$AB$10,1)+1)),MATCH(K15,{"기본세율","기본세율+10%","기본세율+20%","기본세율+30%"},0)*2)</f>
        <v>0.6</v>
      </c>
      <c r="L29" s="19"/>
      <c r="M29" s="51" t="s">
        <v>63</v>
      </c>
      <c r="N29" s="52">
        <f t="array" ref="N29">INDEX(t!$AB$3:$AJ$10,MIN(ROWS(t!$AB$3:$AB$10),IF(N28&lt;=t!$AB$3,1,MATCH(N28-1,t!$AB$3:$AB$10,1)+1)),MATCH(N15,{"기본세율","기본세율+10%","기본세율+20%","기본세율+30%"},0)*2)</f>
        <v>0.24</v>
      </c>
      <c r="O29" s="52">
        <f t="array" ref="O29">INDEX(t!$AB$3:$AJ$10,MIN(ROWS(t!$AB$3:$AB$10),IF(O28&lt;=t!$AB$3,1,MATCH(O28-1,t!$AB$3:$AB$10,1)+1)),MATCH(O15,{"기본세율","기본세율+10%","기본세율+20%","기본세율+30%"},0)*2)</f>
        <v>0.5</v>
      </c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6.5" customHeight="1">
      <c r="A30" s="53" t="s">
        <v>64</v>
      </c>
      <c r="B30" s="54">
        <f t="array" ref="B30">B28*B29-INDEX(t!$AB$3:$AJ$10,MIN(ROWS(t!$AB$3:$AB$10),IF($B$28&lt;=t!$AB$3,1,MATCH($B$28-1,t!$AB$3:$AB$10,1)+1)),MATCH($B$15,{"기본세율","기본세율+10%","기본세율+20%","기본세율+30%"},0)*2+1)</f>
        <v>11958367.34693877</v>
      </c>
      <c r="C30" s="54">
        <f t="array" ref="C30">C28*C29-INDEX(t!$AB$3:$AJ$10,MIN(ROWS(t!$AB$3:$AB$10),IF($B$28&lt;=t!$AB$3,1,MATCH($B$28-1,t!$AB$3:$AB$10,1)+1)),MATCH($B$15,{"기본세율","기본세율+10%","기본세율+20%","기본세율+30%"},0)*2+1)</f>
        <v>171122.44897959102</v>
      </c>
      <c r="D30" s="19"/>
      <c r="E30" s="53" t="s">
        <v>64</v>
      </c>
      <c r="F30" s="54">
        <f t="array" ref="F30">F28*F29-INDEX(t!$AB$3:$AJ$10,MIN(ROWS(t!$AB$3:$AB$10),IF($B$28&lt;=t!$AB$3,1,MATCH($B$28-1,t!$AB$3:$AB$10,1)+1)),MATCH($B$15,{"기본세율","기본세율+10%","기본세율+20%","기본세율+30%"},0)*2+1)</f>
        <v>10126530.612244895</v>
      </c>
      <c r="G30" s="54">
        <f t="array" ref="G30">G28*G29-INDEX(t!$AB$3:$AJ$10,MIN(ROWS(t!$AB$3:$AB$10),IF($B$28&lt;=t!$AB$3,1,MATCH($B$28-1,t!$AB$3:$AB$10,1)+1)),MATCH($B$15,{"기본세율","기본세율+10%","기본세율+20%","기본세율+30%"},0)*2+1)</f>
        <v>-459489.7959183678</v>
      </c>
      <c r="H30" s="19"/>
      <c r="I30" s="53" t="s">
        <v>64</v>
      </c>
      <c r="J30" s="69">
        <f t="array" ref="J30">J28*J29-INDEX(t!$AB$3:$AJ$10,MIN(ROWS(t!$AB$3:$AB$10),IF($B$28&lt;=t!$AB$3,1,MATCH($B$28-1,t!$AB$3:$AB$10,1)+1)),MATCH($B$15,{"기본세율","기본세율+10%","기본세율+20%","기본세율+30%"},0)*2+1)</f>
        <v>7133877.5510204062</v>
      </c>
      <c r="K30" s="54">
        <f t="array" ref="K30">K28*K29-INDEX(t!$AB$3:$AJ$10,MIN(ROWS(t!$AB$3:$AB$10),IF($B$28&lt;=t!$AB$3,1,MATCH($B$28-1,t!$AB$3:$AB$10,1)+1)),MATCH($B$15,{"기본세율","기본세율+10%","기본세율+20%","기본세율+30%"},0)*2+1)</f>
        <v>246311428.57142857</v>
      </c>
      <c r="L30" s="19"/>
      <c r="M30" s="53" t="s">
        <v>64</v>
      </c>
      <c r="N30" s="69">
        <f t="array" ref="N30">N28*N29-INDEX(t!$AB$3:$AJ$10,MIN(ROWS(t!$AB$3:$AB$10),IF($B$28&lt;=t!$AB$3,1,MATCH($B$28-1,t!$AB$3:$AB$10,1)+1)),MATCH($B$15,{"기본세율","기본세율+10%","기본세율+20%","기본세율+30%"},0)*2+1)</f>
        <v>6423673.4693877511</v>
      </c>
      <c r="O30" s="54">
        <f t="array" ref="O30">O28*O29-INDEX(t!$AB$3:$AJ$10,MIN(ROWS(t!$AB$3:$AB$10),IF($B$28&lt;=t!$AB$3,1,MATCH($B$28-1,t!$AB$3:$AB$10,1)+1)),MATCH($B$15,{"기본세율","기본세율+10%","기본세율+20%","기본세율+30%"},0)*2+1)</f>
        <v>204299523.80952382</v>
      </c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6.5" customHeight="1">
      <c r="A31" s="19" t="s">
        <v>97</v>
      </c>
      <c r="B31" s="4">
        <f t="shared" ref="B31:C31" si="25">B30</f>
        <v>11958367.34693877</v>
      </c>
      <c r="C31" s="4">
        <f t="shared" si="25"/>
        <v>171122.44897959102</v>
      </c>
      <c r="D31" s="19"/>
      <c r="E31" s="19" t="s">
        <v>97</v>
      </c>
      <c r="F31" s="4">
        <f t="shared" ref="F31:G31" si="26">F30</f>
        <v>10126530.612244895</v>
      </c>
      <c r="G31" s="4">
        <f t="shared" si="26"/>
        <v>-459489.7959183678</v>
      </c>
      <c r="H31" s="19"/>
      <c r="I31" s="19" t="s">
        <v>97</v>
      </c>
      <c r="J31" s="4">
        <f t="shared" ref="J31:K31" si="27">J30</f>
        <v>7133877.5510204062</v>
      </c>
      <c r="K31" s="4">
        <f t="shared" si="27"/>
        <v>246311428.57142857</v>
      </c>
      <c r="L31" s="19"/>
      <c r="M31" s="19" t="s">
        <v>97</v>
      </c>
      <c r="N31" s="4">
        <f t="shared" ref="N31:O31" si="28">N30</f>
        <v>6423673.4693877511</v>
      </c>
      <c r="O31" s="4">
        <f t="shared" si="28"/>
        <v>204299523.80952382</v>
      </c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6.5" customHeight="1">
      <c r="A32" s="51" t="s">
        <v>99</v>
      </c>
      <c r="B32" s="73">
        <f t="shared" ref="B32:C32" si="29">B31*0.1</f>
        <v>1195836.7346938772</v>
      </c>
      <c r="C32" s="73">
        <f t="shared" si="29"/>
        <v>17112.244897959103</v>
      </c>
      <c r="E32" s="51" t="s">
        <v>99</v>
      </c>
      <c r="F32" s="73">
        <f t="shared" ref="F32:G32" si="30">F31*0.1</f>
        <v>1012653.0612244895</v>
      </c>
      <c r="G32" s="73">
        <f t="shared" si="30"/>
        <v>-45948.979591836782</v>
      </c>
      <c r="I32" s="51" t="s">
        <v>99</v>
      </c>
      <c r="J32" s="4">
        <f t="shared" ref="J32:K32" si="31">J31*0.1</f>
        <v>713387.75510204071</v>
      </c>
      <c r="K32" s="4">
        <f t="shared" si="31"/>
        <v>24631142.857142858</v>
      </c>
      <c r="M32" s="51" t="s">
        <v>99</v>
      </c>
      <c r="N32" s="4">
        <f t="shared" ref="N32:O32" si="32">N31*0.1</f>
        <v>642367.34693877515</v>
      </c>
      <c r="O32" s="4">
        <f t="shared" si="32"/>
        <v>20429952.380952384</v>
      </c>
    </row>
    <row r="33" spans="1:26" ht="16.5" customHeight="1">
      <c r="A33" s="74" t="s">
        <v>60</v>
      </c>
      <c r="B33" s="75">
        <f t="shared" ref="B33:C33" si="33">SUM(B31:B32)</f>
        <v>13154204.081632648</v>
      </c>
      <c r="C33" s="75">
        <f t="shared" si="33"/>
        <v>188234.69387755013</v>
      </c>
      <c r="E33" s="74" t="s">
        <v>60</v>
      </c>
      <c r="F33" s="75">
        <f t="shared" ref="F33:G33" si="34">SUM(F31:F32)</f>
        <v>11139183.673469383</v>
      </c>
      <c r="G33" s="75">
        <f t="shared" si="34"/>
        <v>-505438.77551020461</v>
      </c>
      <c r="I33" s="74" t="s">
        <v>60</v>
      </c>
      <c r="J33" s="75">
        <f t="shared" ref="J33:K33" si="35">SUM(J31:J32)</f>
        <v>7847265.3061224464</v>
      </c>
      <c r="K33" s="75">
        <f t="shared" si="35"/>
        <v>270942571.4285714</v>
      </c>
      <c r="M33" s="74" t="s">
        <v>60</v>
      </c>
      <c r="N33" s="75">
        <f t="shared" ref="N33:O33" si="36">SUM(N31:N32)</f>
        <v>7066040.816326526</v>
      </c>
      <c r="O33" s="75">
        <f t="shared" si="36"/>
        <v>224729476.19047621</v>
      </c>
    </row>
    <row r="34" spans="1:26" ht="16.5" customHeight="1"/>
    <row r="35" spans="1:26" ht="16.5" customHeight="1">
      <c r="B35" s="7"/>
      <c r="C35" s="7"/>
      <c r="F35" s="7"/>
      <c r="G35" s="7"/>
      <c r="J35" s="7"/>
      <c r="K35" s="7"/>
      <c r="N35" s="7"/>
      <c r="O35" s="7"/>
    </row>
    <row r="36" spans="1:26" ht="16.5" customHeight="1">
      <c r="A36" s="82" t="s">
        <v>107</v>
      </c>
      <c r="B36" s="60" t="e">
        <f ca="1">SUM(B53,B61,B65)</f>
        <v>#N/A</v>
      </c>
      <c r="C36" s="60" t="e">
        <f ca="1">SUM(C53,C61,C65)</f>
        <v>#N/A</v>
      </c>
      <c r="D36" s="60"/>
      <c r="E36" s="82" t="s">
        <v>107</v>
      </c>
      <c r="F36" s="60" t="e">
        <f ca="1">SUM(F53,F61,F65)</f>
        <v>#N/A</v>
      </c>
      <c r="G36" s="60" t="e">
        <f ca="1">SUM(G53,G61,G65)</f>
        <v>#N/A</v>
      </c>
      <c r="H36" s="5"/>
      <c r="I36" s="82" t="s">
        <v>107</v>
      </c>
      <c r="J36" s="60" t="e">
        <f ca="1">SUM(J53,J61,J65)</f>
        <v>#N/A</v>
      </c>
      <c r="K36" s="60" t="e">
        <f ca="1">SUM(K53,K61,K65)</f>
        <v>#N/A</v>
      </c>
      <c r="L36" s="60"/>
      <c r="M36" s="82" t="s">
        <v>107</v>
      </c>
      <c r="N36" s="60" t="e">
        <f ca="1">SUM(N53,N61,N65)</f>
        <v>#N/A</v>
      </c>
      <c r="O36" s="60" t="e">
        <f ca="1">SUM(O53,O61,O65)</f>
        <v>#N/A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6.5" customHeight="1">
      <c r="A37" s="82"/>
      <c r="B37" s="4"/>
      <c r="C37" s="4"/>
      <c r="E37" s="82"/>
      <c r="F37" s="4"/>
      <c r="G37" s="4"/>
      <c r="I37" s="7"/>
      <c r="J37" s="4"/>
      <c r="K37" s="4"/>
      <c r="M37" s="7"/>
      <c r="N37" s="4"/>
      <c r="O37" s="4"/>
    </row>
    <row r="38" spans="1:26" ht="16.5" customHeight="1">
      <c r="A38" s="3" t="s">
        <v>225</v>
      </c>
      <c r="B38" s="126" t="s">
        <v>284</v>
      </c>
      <c r="C38" s="126" t="s">
        <v>292</v>
      </c>
      <c r="E38" s="3" t="s">
        <v>225</v>
      </c>
      <c r="F38" s="4" t="str">
        <f>B38</f>
        <v>성춘향</v>
      </c>
      <c r="G38" s="4" t="str">
        <f>C38</f>
        <v>홍상수</v>
      </c>
      <c r="I38" s="3" t="s">
        <v>225</v>
      </c>
      <c r="J38" s="4" t="str">
        <f>F38</f>
        <v>성춘향</v>
      </c>
      <c r="K38" s="4" t="str">
        <f>G38</f>
        <v>홍상수</v>
      </c>
      <c r="M38" s="3" t="s">
        <v>225</v>
      </c>
      <c r="N38" s="4" t="str">
        <f>J38</f>
        <v>성춘향</v>
      </c>
      <c r="O38" s="4" t="str">
        <f>K38</f>
        <v>홍상수</v>
      </c>
    </row>
    <row r="39" spans="1:26" ht="16.5" customHeight="1">
      <c r="A39" s="3" t="s">
        <v>224</v>
      </c>
      <c r="B39" s="127" t="str" cm="1">
        <f t="array" aca="1" ref="B39" ca="1">INDIRECT("기초!B"&amp;(MATCH(B38,기초!$B:$B,0)+1))</f>
        <v>배우자</v>
      </c>
      <c r="C39" s="127" t="str" cm="1">
        <f t="array" aca="1" ref="C39" ca="1">INDIRECT("기초!B"&amp;(MATCH(C38,기초!$B:$B,0)+1))</f>
        <v>직계존비속</v>
      </c>
      <c r="E39" s="3" t="s">
        <v>224</v>
      </c>
      <c r="F39" s="4" t="str">
        <f t="shared" ref="F39:F40" ca="1" si="37">B39</f>
        <v>배우자</v>
      </c>
      <c r="G39" s="4" t="str">
        <f t="shared" ref="G39:G40" ca="1" si="38">C39</f>
        <v>직계존비속</v>
      </c>
      <c r="I39" s="3" t="s">
        <v>224</v>
      </c>
      <c r="J39" s="4" t="str">
        <f t="shared" ref="J39:J40" ca="1" si="39">F39</f>
        <v>배우자</v>
      </c>
      <c r="K39" s="4" t="str">
        <f t="shared" ref="K39:K40" ca="1" si="40">G39</f>
        <v>직계존비속</v>
      </c>
      <c r="M39" s="3" t="s">
        <v>224</v>
      </c>
      <c r="N39" s="4" t="str">
        <f t="shared" ref="N39:N40" ca="1" si="41">J39</f>
        <v>배우자</v>
      </c>
      <c r="O39" s="4" t="str">
        <f t="shared" ref="O39:O40" ca="1" si="42">K39</f>
        <v>직계존비속</v>
      </c>
    </row>
    <row r="40" spans="1:26" ht="16.5" customHeight="1">
      <c r="A40" s="3" t="s">
        <v>57</v>
      </c>
      <c r="B40" s="128">
        <v>1</v>
      </c>
      <c r="C40" s="128">
        <v>1</v>
      </c>
      <c r="E40" s="3" t="s">
        <v>57</v>
      </c>
      <c r="F40" s="149">
        <f t="shared" si="37"/>
        <v>1</v>
      </c>
      <c r="G40" s="149">
        <f t="shared" si="38"/>
        <v>1</v>
      </c>
      <c r="H40" s="150"/>
      <c r="I40" s="96" t="s">
        <v>57</v>
      </c>
      <c r="J40" s="149">
        <f t="shared" si="39"/>
        <v>1</v>
      </c>
      <c r="K40" s="149">
        <f t="shared" si="40"/>
        <v>1</v>
      </c>
      <c r="L40" s="150"/>
      <c r="M40" s="96" t="s">
        <v>57</v>
      </c>
      <c r="N40" s="149">
        <f t="shared" si="41"/>
        <v>1</v>
      </c>
      <c r="O40" s="149">
        <f t="shared" si="42"/>
        <v>1</v>
      </c>
    </row>
    <row r="42" spans="1:26" ht="16.5" customHeight="1">
      <c r="B42" s="3" t="s">
        <v>8</v>
      </c>
      <c r="C42" s="3" t="s">
        <v>9</v>
      </c>
      <c r="F42" s="3" t="s">
        <v>8</v>
      </c>
      <c r="G42" s="3" t="s">
        <v>9</v>
      </c>
      <c r="J42" s="3" t="s">
        <v>8</v>
      </c>
      <c r="K42" s="3" t="s">
        <v>9</v>
      </c>
      <c r="N42" s="3" t="s">
        <v>8</v>
      </c>
      <c r="O42" s="3" t="s">
        <v>9</v>
      </c>
    </row>
    <row r="43" spans="1:26" ht="16.5" customHeight="1">
      <c r="A43" s="3"/>
      <c r="B43" s="3"/>
      <c r="C43" s="3"/>
      <c r="E43" s="3"/>
      <c r="F43" s="3"/>
      <c r="G43" s="3"/>
      <c r="I43" s="3"/>
      <c r="J43" s="3"/>
      <c r="K43" s="3"/>
      <c r="M43" s="3"/>
      <c r="N43" s="3"/>
      <c r="O43" s="3"/>
    </row>
    <row r="44" spans="1:26" ht="16.5" customHeight="1">
      <c r="A44" s="99" t="s">
        <v>235</v>
      </c>
      <c r="B44" s="151">
        <f>B1*B$40</f>
        <v>8400000000</v>
      </c>
      <c r="C44" s="151">
        <f>C1*C$40</f>
        <v>8400000000</v>
      </c>
      <c r="E44" s="99" t="s">
        <v>235</v>
      </c>
      <c r="F44" s="151">
        <f>F1*F$40</f>
        <v>8400000000</v>
      </c>
      <c r="G44" s="151">
        <f>G1*G$40</f>
        <v>8400000000</v>
      </c>
      <c r="I44" s="99" t="s">
        <v>235</v>
      </c>
      <c r="J44" s="151">
        <f>J1*J$40</f>
        <v>8400000000</v>
      </c>
      <c r="K44" s="151">
        <f>K1*K$40</f>
        <v>8400000000</v>
      </c>
      <c r="M44" s="99" t="s">
        <v>235</v>
      </c>
      <c r="N44" s="151">
        <f>N1*N$40</f>
        <v>8400000000</v>
      </c>
      <c r="O44" s="151">
        <f>O1*O$40</f>
        <v>8400000000</v>
      </c>
    </row>
    <row r="45" spans="1:26" ht="16.5" customHeight="1">
      <c r="A45" s="99" t="s">
        <v>238</v>
      </c>
      <c r="B45" s="107">
        <f>SUMIF(기초!$A:$A,B$38,기초!$S:$S)</f>
        <v>0</v>
      </c>
      <c r="C45" s="107">
        <f>SUMIF(기초!$A:$A,C$38,기초!$S:$S)</f>
        <v>0</v>
      </c>
      <c r="E45" s="99" t="s">
        <v>238</v>
      </c>
      <c r="F45" s="107">
        <f>SUMIF(기초!$A:$A,F$38,기초!$S:$S)</f>
        <v>0</v>
      </c>
      <c r="G45" s="107">
        <f>SUMIF(기초!$A:$A,G$38,기초!$S:$S)</f>
        <v>0</v>
      </c>
      <c r="I45" s="99" t="s">
        <v>238</v>
      </c>
      <c r="J45" s="107">
        <f>SUMIF(기초!$A:$A,J$38,기초!$S:$S)</f>
        <v>0</v>
      </c>
      <c r="K45" s="107">
        <f>SUMIF(기초!$A:$A,K$38,기초!$S:$S)</f>
        <v>0</v>
      </c>
      <c r="M45" s="99" t="s">
        <v>238</v>
      </c>
      <c r="N45" s="107">
        <f>SUMIF(기초!$A:$A,N$38,기초!$S:$S)</f>
        <v>0</v>
      </c>
      <c r="O45" s="107">
        <f>SUMIF(기초!$A:$A,O$38,기초!$S:$S)</f>
        <v>0</v>
      </c>
    </row>
    <row r="46" spans="1:26" ht="16.5" customHeight="1">
      <c r="A46" s="152" t="s">
        <v>237</v>
      </c>
      <c r="B46" s="153">
        <f>B3*B$40</f>
        <v>7900000000</v>
      </c>
      <c r="C46" s="153">
        <f>C3*C$40</f>
        <v>7900000000</v>
      </c>
      <c r="E46" s="152" t="s">
        <v>237</v>
      </c>
      <c r="F46" s="153">
        <f>F3*F$40</f>
        <v>7900000000</v>
      </c>
      <c r="G46" s="153">
        <f>G3*G$40</f>
        <v>7900000000</v>
      </c>
      <c r="I46" s="152" t="s">
        <v>237</v>
      </c>
      <c r="J46" s="153">
        <f>J3*J$40</f>
        <v>7900000000</v>
      </c>
      <c r="K46" s="153">
        <f>K3*K$40</f>
        <v>7900000000</v>
      </c>
      <c r="M46" s="152" t="s">
        <v>237</v>
      </c>
      <c r="N46" s="153">
        <f>N3*N$40</f>
        <v>7900000000</v>
      </c>
      <c r="O46" s="153">
        <f>O3*O$40</f>
        <v>7900000000</v>
      </c>
    </row>
    <row r="47" spans="1:26" ht="16.5" customHeight="1" thickBot="1">
      <c r="A47" s="31" t="s">
        <v>60</v>
      </c>
      <c r="B47" s="32">
        <f>B44-B46</f>
        <v>500000000</v>
      </c>
      <c r="C47" s="32">
        <f>C44-C46</f>
        <v>500000000</v>
      </c>
      <c r="E47" s="31" t="s">
        <v>60</v>
      </c>
      <c r="F47" s="32">
        <f>F44-F46</f>
        <v>500000000</v>
      </c>
      <c r="G47" s="32">
        <f>G44-G46</f>
        <v>500000000</v>
      </c>
      <c r="I47" s="31" t="s">
        <v>60</v>
      </c>
      <c r="J47" s="32">
        <f>J44-J46</f>
        <v>500000000</v>
      </c>
      <c r="K47" s="32">
        <f>K44-K46</f>
        <v>500000000</v>
      </c>
      <c r="M47" s="31" t="s">
        <v>60</v>
      </c>
      <c r="N47" s="32">
        <f>N44-N46</f>
        <v>500000000</v>
      </c>
      <c r="O47" s="32">
        <f>O44-O46</f>
        <v>500000000</v>
      </c>
    </row>
    <row r="48" spans="1:26" ht="16.5" customHeight="1">
      <c r="A48" s="33" t="s">
        <v>61</v>
      </c>
      <c r="B48" s="34">
        <f ca="1">IFERROR(VLOOKUP(B39,t!$AR$2:$AS$5,2,0),0)</f>
        <v>600000000</v>
      </c>
      <c r="C48" s="34">
        <f ca="1">IFERROR(VLOOKUP(C39,t!$AR$2:$AS$5,2,0),0)</f>
        <v>50000000</v>
      </c>
      <c r="E48" s="33" t="s">
        <v>61</v>
      </c>
      <c r="F48" s="34">
        <f ca="1">IFERROR(VLOOKUP(F39,t!$AR$2:$AS$5,2,0),0)</f>
        <v>600000000</v>
      </c>
      <c r="G48" s="34">
        <f ca="1">IFERROR(VLOOKUP(G39,t!$AR$2:$AS$5,2,0),0)</f>
        <v>50000000</v>
      </c>
      <c r="I48" s="33" t="s">
        <v>61</v>
      </c>
      <c r="J48" s="34">
        <f ca="1">IFERROR(VLOOKUP(J39,t!$AR$2:$AS$5,2,0),0)</f>
        <v>600000000</v>
      </c>
      <c r="K48" s="34">
        <f ca="1">IFERROR(VLOOKUP(K39,t!$AR$2:$AS$5,2,0),0)</f>
        <v>50000000</v>
      </c>
      <c r="M48" s="33" t="s">
        <v>61</v>
      </c>
      <c r="N48" s="34">
        <f ca="1">IFERROR(VLOOKUP(N39,t!$AR$2:$AS$5,2,0),0)</f>
        <v>600000000</v>
      </c>
      <c r="O48" s="34">
        <f ca="1">IFERROR(VLOOKUP(O39,t!$AR$2:$AS$5,2,0),0)</f>
        <v>50000000</v>
      </c>
    </row>
    <row r="49" spans="1:15" ht="16.5" customHeight="1" thickBot="1">
      <c r="A49" s="35" t="s">
        <v>62</v>
      </c>
      <c r="B49" s="36">
        <f t="shared" ref="B49" ca="1" si="43">B47-B48</f>
        <v>-100000000</v>
      </c>
      <c r="C49" s="36">
        <f t="shared" ref="C49" ca="1" si="44">C47-C48</f>
        <v>450000000</v>
      </c>
      <c r="E49" s="35" t="s">
        <v>62</v>
      </c>
      <c r="F49" s="36">
        <f t="shared" ref="F49:G49" ca="1" si="45">F47-F48</f>
        <v>-100000000</v>
      </c>
      <c r="G49" s="36">
        <f t="shared" ca="1" si="45"/>
        <v>450000000</v>
      </c>
      <c r="I49" s="35" t="s">
        <v>62</v>
      </c>
      <c r="J49" s="36">
        <f t="shared" ref="J49:K49" ca="1" si="46">J47-J48</f>
        <v>-100000000</v>
      </c>
      <c r="K49" s="36">
        <f t="shared" ca="1" si="46"/>
        <v>450000000</v>
      </c>
      <c r="M49" s="35" t="s">
        <v>62</v>
      </c>
      <c r="N49" s="36">
        <f t="shared" ref="N49:O49" ca="1" si="47">N47-N48</f>
        <v>-100000000</v>
      </c>
      <c r="O49" s="36">
        <f t="shared" ca="1" si="47"/>
        <v>450000000</v>
      </c>
    </row>
    <row r="50" spans="1:15" ht="16.5" customHeight="1">
      <c r="A50" s="3" t="s">
        <v>63</v>
      </c>
      <c r="B50" s="17">
        <f t="array" aca="1" ref="B50" ca="1">INDEX(t!$AW$3:$AW$7,MATCH(TRUE,B49&lt;=t!$AV$3:$AV$7,0))</f>
        <v>0.1</v>
      </c>
      <c r="C50" s="17">
        <f t="array" aca="1" ref="C50" ca="1">INDEX(t!$AW$3:$AW$7,MATCH(TRUE,C49&lt;=t!$AV$3:$AV$7,0))</f>
        <v>0.2</v>
      </c>
      <c r="E50" s="3" t="s">
        <v>63</v>
      </c>
      <c r="F50" s="17">
        <f t="array" aca="1" ref="F50" ca="1">INDEX(t!$AW$3:$AW$7,MATCH(TRUE,F49&lt;=t!$AV$3:$AV$7,0))</f>
        <v>0.1</v>
      </c>
      <c r="G50" s="17">
        <f t="array" aca="1" ref="G50" ca="1">INDEX(t!$AW$3:$AW$7,MATCH(TRUE,G49&lt;=t!$AV$3:$AV$7,0))</f>
        <v>0.2</v>
      </c>
      <c r="I50" s="3" t="s">
        <v>63</v>
      </c>
      <c r="J50" s="17">
        <f t="array" aca="1" ref="J50" ca="1">INDEX(t!$AW$3:$AW$7,MATCH(TRUE,J49&lt;=t!$AV$3:$AV$7,0))</f>
        <v>0.1</v>
      </c>
      <c r="K50" s="17">
        <f t="array" aca="1" ref="K50" ca="1">INDEX(t!$AW$3:$AW$7,MATCH(TRUE,K49&lt;=t!$AV$3:$AV$7,0))</f>
        <v>0.2</v>
      </c>
      <c r="M50" s="3" t="s">
        <v>63</v>
      </c>
      <c r="N50" s="17">
        <f t="array" aca="1" ref="N50" ca="1">INDEX(t!$AW$3:$AW$7,MATCH(TRUE,N49&lt;=t!$AV$3:$AV$7,0))</f>
        <v>0.1</v>
      </c>
      <c r="O50" s="17">
        <f t="array" aca="1" ref="O50" ca="1">INDEX(t!$AW$3:$AW$7,MATCH(TRUE,O49&lt;=t!$AV$3:$AV$7,0))</f>
        <v>0.2</v>
      </c>
    </row>
    <row r="51" spans="1:15" ht="16.5" customHeight="1">
      <c r="A51" s="3" t="s">
        <v>64</v>
      </c>
      <c r="B51" s="15">
        <f ca="1">B49*B50-VLOOKUP(B50,t!$AW$3:$AX$7,2,0)</f>
        <v>-10000000</v>
      </c>
      <c r="C51" s="15">
        <f ca="1">C49*C50-VLOOKUP(C50,t!$AW$3:$AX$7,2,0)</f>
        <v>80000000</v>
      </c>
      <c r="E51" s="3" t="s">
        <v>64</v>
      </c>
      <c r="F51" s="15">
        <f ca="1">F49*F50-VLOOKUP(F50,t!$AW$3:$AX$7,2,0)</f>
        <v>-10000000</v>
      </c>
      <c r="G51" s="15">
        <f ca="1">G49*G50-VLOOKUP(G50,t!$AW$3:$AX$7,2,0)</f>
        <v>80000000</v>
      </c>
      <c r="I51" s="3" t="s">
        <v>64</v>
      </c>
      <c r="J51" s="15">
        <f ca="1">J49*J50-VLOOKUP(J50,t!$AW$3:$AX$7,2,0)</f>
        <v>-10000000</v>
      </c>
      <c r="K51" s="15">
        <f ca="1">K49*K50-VLOOKUP(K50,t!$AW$3:$AX$7,2,0)</f>
        <v>80000000</v>
      </c>
      <c r="M51" s="3" t="s">
        <v>64</v>
      </c>
      <c r="N51" s="15">
        <f ca="1">N49*N50-VLOOKUP(N50,t!$AW$3:$AX$7,2,0)</f>
        <v>-10000000</v>
      </c>
      <c r="O51" s="15">
        <f ca="1">O49*O50-VLOOKUP(O50,t!$AW$3:$AX$7,2,0)</f>
        <v>80000000</v>
      </c>
    </row>
    <row r="52" spans="1:15" ht="16.5" customHeight="1">
      <c r="A52" s="30" t="s">
        <v>65</v>
      </c>
      <c r="B52" s="107">
        <f>SUMIF(기초!$A:$A,B$38,기초!$T:$T)</f>
        <v>0</v>
      </c>
      <c r="C52" s="107">
        <f>SUMIF(기초!$A:$A,C$38,기초!$T:$T)</f>
        <v>0</v>
      </c>
      <c r="E52" s="30" t="s">
        <v>65</v>
      </c>
      <c r="F52" s="107">
        <f>SUMIF(기초!$A:$A,F$38,기초!$T:$T)</f>
        <v>0</v>
      </c>
      <c r="G52" s="107">
        <f>SUMIF(기초!$A:$A,G$38,기초!$T:$T)</f>
        <v>0</v>
      </c>
      <c r="I52" s="30" t="s">
        <v>65</v>
      </c>
      <c r="J52" s="107">
        <f>SUMIF(기초!$A:$A,J$38,기초!$T:$T)</f>
        <v>0</v>
      </c>
      <c r="K52" s="107">
        <f>SUMIF(기초!$A:$A,K$38,기초!$T:$T)</f>
        <v>0</v>
      </c>
      <c r="M52" s="30" t="s">
        <v>65</v>
      </c>
      <c r="N52" s="107">
        <f>SUMIF(기초!$A:$A,N$38,기초!$T:$T)</f>
        <v>0</v>
      </c>
      <c r="O52" s="107">
        <f>SUMIF(기초!$A:$A,O$38,기초!$T:$T)</f>
        <v>0</v>
      </c>
    </row>
    <row r="53" spans="1:15" ht="16.5" customHeight="1">
      <c r="A53" s="37" t="s">
        <v>46</v>
      </c>
      <c r="B53" s="38">
        <f t="shared" ref="B53" ca="1" si="48">B51-B52</f>
        <v>-10000000</v>
      </c>
      <c r="C53" s="38">
        <f t="shared" ref="C53" ca="1" si="49">C51-C52</f>
        <v>80000000</v>
      </c>
      <c r="E53" s="37" t="s">
        <v>46</v>
      </c>
      <c r="F53" s="38">
        <f t="shared" ref="F53:G53" ca="1" si="50">F51-F52</f>
        <v>-10000000</v>
      </c>
      <c r="G53" s="38">
        <f t="shared" ca="1" si="50"/>
        <v>80000000</v>
      </c>
      <c r="I53" s="37" t="s">
        <v>46</v>
      </c>
      <c r="J53" s="38">
        <f t="shared" ref="J53:K53" ca="1" si="51">J51-J52</f>
        <v>-10000000</v>
      </c>
      <c r="K53" s="38">
        <f t="shared" ca="1" si="51"/>
        <v>80000000</v>
      </c>
      <c r="M53" s="37" t="s">
        <v>46</v>
      </c>
      <c r="N53" s="38">
        <f t="shared" ref="N53:O53" ca="1" si="52">N51-N52</f>
        <v>-10000000</v>
      </c>
      <c r="O53" s="38">
        <f t="shared" ca="1" si="52"/>
        <v>80000000</v>
      </c>
    </row>
    <row r="54" spans="1:15" ht="16.5" customHeight="1">
      <c r="A54" s="3"/>
      <c r="B54" s="17"/>
      <c r="C54" s="3"/>
      <c r="E54" s="3"/>
      <c r="F54" s="17"/>
      <c r="G54" s="3"/>
    </row>
    <row r="55" spans="1:15" ht="16.5" customHeight="1">
      <c r="A55" s="89" t="s">
        <v>166</v>
      </c>
      <c r="B55" s="15"/>
      <c r="C55" s="3"/>
      <c r="E55" s="39"/>
      <c r="F55" s="15"/>
      <c r="G55" s="3"/>
    </row>
    <row r="56" spans="1:15" ht="16.5" customHeight="1">
      <c r="A56" s="89"/>
      <c r="B56" s="3" t="str">
        <f>B38</f>
        <v>성춘향</v>
      </c>
      <c r="C56" s="3" t="str">
        <f>C38</f>
        <v>홍상수</v>
      </c>
      <c r="E56" s="89"/>
      <c r="F56" s="3" t="str">
        <f>F38</f>
        <v>성춘향</v>
      </c>
      <c r="G56" s="3" t="str">
        <f>G38</f>
        <v>홍상수</v>
      </c>
      <c r="I56" s="89"/>
      <c r="J56" s="3" t="str">
        <f>J38</f>
        <v>성춘향</v>
      </c>
      <c r="K56" s="3" t="str">
        <f>K38</f>
        <v>홍상수</v>
      </c>
      <c r="M56" s="89"/>
      <c r="N56" s="3" t="str">
        <f>N38</f>
        <v>성춘향</v>
      </c>
      <c r="O56" s="3" t="str">
        <f>O38</f>
        <v>홍상수</v>
      </c>
    </row>
    <row r="57" spans="1:15" ht="16.5" customHeight="1">
      <c r="A57" s="155" t="s">
        <v>216</v>
      </c>
      <c r="B57" s="39" cm="1">
        <f t="array" aca="1" ref="B57" ca="1">INDIRECT("기초!B"&amp;(MATCH(B56,기초!$B:$B,0)+3))</f>
        <v>1</v>
      </c>
      <c r="C57" s="39" cm="1">
        <f t="array" aca="1" ref="C57" ca="1">INDIRECT("기초!B"&amp;(MATCH(C56,기초!$B:$B,0)+3))</f>
        <v>0</v>
      </c>
      <c r="E57" s="155" t="s">
        <v>216</v>
      </c>
      <c r="F57" s="39" cm="1">
        <f t="array" aca="1" ref="F57" ca="1">INDIRECT("기초!B"&amp;(MATCH(F56,기초!$B:$B,0)+3))</f>
        <v>1</v>
      </c>
      <c r="G57" s="39" cm="1">
        <f t="array" aca="1" ref="G57" ca="1">INDIRECT("기초!B"&amp;(MATCH(G56,기초!$B:$B,0)+3))</f>
        <v>0</v>
      </c>
      <c r="I57" s="155" t="s">
        <v>216</v>
      </c>
      <c r="J57" s="39" cm="1">
        <f t="array" aca="1" ref="J57" ca="1">INDIRECT("기초!B"&amp;(MATCH(J56,기초!$B:$B,0)+3))</f>
        <v>1</v>
      </c>
      <c r="K57" s="39" cm="1">
        <f t="array" aca="1" ref="K57" ca="1">INDIRECT("기초!B"&amp;(MATCH(K56,기초!$B:$B,0)+3))</f>
        <v>0</v>
      </c>
      <c r="M57" s="155" t="s">
        <v>216</v>
      </c>
      <c r="N57" s="39" cm="1">
        <f t="array" aca="1" ref="N57" ca="1">INDIRECT("기초!B"&amp;(MATCH(N56,기초!$B:$B,0)+3))</f>
        <v>1</v>
      </c>
      <c r="O57" s="39" cm="1">
        <f t="array" aca="1" ref="O57" ca="1">INDIRECT("기초!B"&amp;(MATCH(O56,기초!$B:$B,0)+3))</f>
        <v>0</v>
      </c>
    </row>
    <row r="58" spans="1:15" ht="16.5" customHeight="1">
      <c r="A58" s="89"/>
      <c r="B58" s="15"/>
      <c r="C58" s="39"/>
      <c r="E58" s="39"/>
      <c r="F58" s="15"/>
      <c r="G58" s="39"/>
      <c r="J58" s="15"/>
      <c r="K58" s="39"/>
      <c r="N58" s="15"/>
      <c r="O58" s="39"/>
    </row>
    <row r="59" spans="1:15" ht="16.5" customHeight="1">
      <c r="A59" s="3" t="s">
        <v>240</v>
      </c>
      <c r="B59" s="20" t="e" cm="1">
        <f t="array" aca="1" ref="B59" ca="1">INDEX(취득!$K$1:$K$8,MATCH(1,(취득!$I$1:$I$8=B$11)*(취득!$J$1:$J$8=B$57),0))</f>
        <v>#N/A</v>
      </c>
      <c r="C59" s="20" t="e" cm="1">
        <f t="array" aca="1" ref="C59" ca="1">INDEX(취득!$K$1:$K$8,MATCH(1,(취득!$I$1:$I$8=C$11)*(취득!$J$1:$J$8=C$57),0))</f>
        <v>#N/A</v>
      </c>
      <c r="E59" s="3" t="s">
        <v>240</v>
      </c>
      <c r="F59" s="20" t="e" cm="1">
        <f t="array" aca="1" ref="F59" ca="1">INDEX(취득!$K$1:$K$8,MATCH(1,(취득!$I$1:$I$8=F$11)*(취득!$J$1:$J$8=F$57),0))</f>
        <v>#N/A</v>
      </c>
      <c r="G59" s="20" t="e" cm="1">
        <f t="array" aca="1" ref="G59" ca="1">INDEX(취득!$K$1:$K$8,MATCH(1,(취득!$I$1:$I$8=G$11)*(취득!$J$1:$J$8=G$57),0))</f>
        <v>#N/A</v>
      </c>
      <c r="I59" s="3" t="s">
        <v>240</v>
      </c>
      <c r="J59" s="20" t="e" cm="1">
        <f t="array" aca="1" ref="J59" ca="1">INDEX(취득!$K$1:$K$8,MATCH(1,(취득!$I$1:$I$8=J$11)*(취득!$J$1:$J$8=J$57),0))</f>
        <v>#N/A</v>
      </c>
      <c r="K59" s="20" t="e" cm="1">
        <f t="array" aca="1" ref="K59" ca="1">INDEX(취득!$K$1:$K$8,MATCH(1,(취득!$I$1:$I$8=K$11)*(취득!$J$1:$J$8=K$57),0))</f>
        <v>#N/A</v>
      </c>
      <c r="M59" s="3" t="s">
        <v>240</v>
      </c>
      <c r="N59" s="20" t="e" cm="1">
        <f t="array" aca="1" ref="N59" ca="1">INDEX(취득!$K$1:$K$8,MATCH(1,(취득!$I$1:$I$8=N$11)*(취득!$J$1:$J$8=N$57),0))</f>
        <v>#N/A</v>
      </c>
      <c r="O59" s="20" t="e" cm="1">
        <f t="array" aca="1" ref="O59" ca="1">INDEX(취득!$K$1:$K$8,MATCH(1,(취득!$I$1:$I$8=O$11)*(취득!$J$1:$J$8=O$57),0))</f>
        <v>#N/A</v>
      </c>
    </row>
    <row r="60" spans="1:15" ht="16.5" customHeight="1">
      <c r="A60" s="3" t="s">
        <v>35</v>
      </c>
      <c r="B60" s="20" t="e" cm="1">
        <f t="array" aca="1" ref="B60" ca="1">IF($B12="85 초과",INDEX(취득!$L$1:$L$8,MATCH(1,(취득!$I$1:$I$8=B$11)*(취득!$J$1:$J$8=B$57),0)),0)</f>
        <v>#N/A</v>
      </c>
      <c r="C60" s="20" t="e" cm="1">
        <f t="array" aca="1" ref="C60" ca="1">IF($B12="85 초과",INDEX(취득!$L$1:$L$8,MATCH(1,(취득!$I$1:$I$8=C$11)*(취득!$J$1:$J$8=C$57),0)),0)</f>
        <v>#N/A</v>
      </c>
      <c r="E60" s="3" t="s">
        <v>35</v>
      </c>
      <c r="F60" s="20" t="e" cm="1">
        <f t="array" aca="1" ref="F60" ca="1">IF($B12="85 초과",INDEX(취득!$L$1:$L$8,MATCH(1,(취득!$I$1:$I$8=F$11)*(취득!$J$1:$J$8=F$57),0)),0)</f>
        <v>#N/A</v>
      </c>
      <c r="G60" s="20" t="e" cm="1">
        <f t="array" aca="1" ref="G60" ca="1">IF($B12="85 초과",INDEX(취득!$L$1:$L$8,MATCH(1,(취득!$I$1:$I$8=G$11)*(취득!$J$1:$J$8=G$57),0)),0)</f>
        <v>#N/A</v>
      </c>
      <c r="I60" s="3" t="s">
        <v>35</v>
      </c>
      <c r="J60" s="20" t="e" cm="1">
        <f t="array" aca="1" ref="J60" ca="1">IF($B12="85 초과",INDEX(취득!$L$1:$L$8,MATCH(1,(취득!$I$1:$I$8=J$11)*(취득!$J$1:$J$8=J$57),0)),0)</f>
        <v>#N/A</v>
      </c>
      <c r="K60" s="20" t="e" cm="1">
        <f t="array" aca="1" ref="K60" ca="1">IF($B12="85 초과",INDEX(취득!$L$1:$L$8,MATCH(1,(취득!$I$1:$I$8=K$11)*(취득!$J$1:$J$8=K$57),0)),0)</f>
        <v>#N/A</v>
      </c>
      <c r="M60" s="3" t="s">
        <v>35</v>
      </c>
      <c r="N60" s="20" t="e" cm="1">
        <f t="array" aca="1" ref="N60" ca="1">IF($B12="85 초과",INDEX(취득!$L$1:$L$8,MATCH(1,(취득!$I$1:$I$8=N$11)*(취득!$J$1:$J$8=N$57),0)),0)</f>
        <v>#N/A</v>
      </c>
      <c r="O60" s="20" t="e" cm="1">
        <f t="array" aca="1" ref="O60" ca="1">IF($B12="85 초과",INDEX(취득!$L$1:$L$8,MATCH(1,(취득!$I$1:$I$8=O$11)*(취득!$J$1:$J$8=O$57),0)),0)</f>
        <v>#N/A</v>
      </c>
    </row>
    <row r="61" spans="1:15" ht="16.5" customHeight="1" thickBot="1">
      <c r="A61" s="158" t="s">
        <v>46</v>
      </c>
      <c r="B61" s="156" t="e">
        <f ca="1">(IF(B59="1.1~3.3%",(IF(B20&lt;=6*10^8,1%,IF(B20&gt;9*10^8,3%,ROUND((B20*2/300000000-3)/100,5)))*1.1),B59)+B60)*B21</f>
        <v>#N/A</v>
      </c>
      <c r="C61" s="156" t="e">
        <f ca="1">(IF(C59="1.1~3.3%",(IF(C20&lt;=6*10^8,1%,IF(C20&gt;9*10^8,3%,ROUND((C20*2/300000000-3)/100,5)))*1.1),C59)+C60)*C21</f>
        <v>#N/A</v>
      </c>
      <c r="E61" s="158" t="s">
        <v>46</v>
      </c>
      <c r="F61" s="156" t="e">
        <f ca="1">(IF(F59="1.1~3.3%",(IF(F20&lt;=6*10^8,1%,IF(F20&gt;9*10^8,3%,ROUND((F20*2/300000000-3)/100,5)))*1.1),F59)+F60)*F21</f>
        <v>#N/A</v>
      </c>
      <c r="G61" s="156" t="e">
        <f ca="1">(IF(G59="1.1~3.3%",(IF(G20&lt;=6*10^8,1%,IF(G20&gt;9*10^8,3%,ROUND((G20*2/300000000-3)/100,5)))*1.1),G59)+G60)*G21</f>
        <v>#N/A</v>
      </c>
      <c r="I61" s="37" t="s">
        <v>46</v>
      </c>
      <c r="J61" s="156" t="e">
        <f ca="1">(IF(J59="1.1~3.3%",(IF(J20&lt;=6*10^8,1%,IF(J20&gt;9*10^8,3%,ROUND((J20*2/300000000-3)/100,5)))*1.1),J59)+J60)*J21</f>
        <v>#N/A</v>
      </c>
      <c r="K61" s="156" t="e">
        <f ca="1">(IF(K59="1.1~3.3%",(IF(K20&lt;=6*10^8,1%,IF(K20&gt;9*10^8,3%,ROUND((K20*2/300000000-3)/100,5)))*1.1),K59)+K60)*K21</f>
        <v>#N/A</v>
      </c>
      <c r="M61" s="37" t="s">
        <v>46</v>
      </c>
      <c r="N61" s="156" t="e">
        <f ca="1">(IF(N59="1.1~3.3%",(IF(N20&lt;=6*10^8,1%,IF(N20&gt;9*10^8,3%,ROUND((N20*2/300000000-3)/100,5)))*1.1),N59)+N60)*N21</f>
        <v>#N/A</v>
      </c>
      <c r="O61" s="156" t="e">
        <f ca="1">(IF(O59="1.1~3.3%",(IF(O20&lt;=6*10^8,1%,IF(O20&gt;9*10^8,3%,ROUND((O20*2/300000000-3)/100,5)))*1.1),O59)+O60)*O21</f>
        <v>#N/A</v>
      </c>
    </row>
    <row r="62" spans="1:15" ht="16.5" customHeight="1">
      <c r="A62" s="39"/>
      <c r="B62" s="15"/>
      <c r="C62" s="3"/>
      <c r="E62" s="39"/>
      <c r="F62" s="15"/>
      <c r="G62" s="3"/>
      <c r="J62" s="15"/>
      <c r="K62" s="3"/>
      <c r="N62" s="15"/>
      <c r="O62" s="3"/>
    </row>
    <row r="63" spans="1:15" ht="16.5" customHeight="1">
      <c r="A63" s="89" t="s">
        <v>170</v>
      </c>
      <c r="B63" s="15"/>
      <c r="C63" s="157"/>
      <c r="E63" s="39"/>
      <c r="F63" s="15"/>
      <c r="G63" s="157"/>
      <c r="J63" s="15"/>
      <c r="K63" s="157"/>
      <c r="N63" s="15"/>
      <c r="O63" s="157"/>
    </row>
    <row r="64" spans="1:15" ht="16.5" customHeight="1">
      <c r="A64" s="3" t="s">
        <v>230</v>
      </c>
      <c r="B64" s="154">
        <f ca="1">OFFSET(취득!$J$15,MATCH($B11,취득!$J$16:$J$17,0),MATCH(B12,취득!$K$15:$L$15,0))</f>
        <v>0.13400000000000001</v>
      </c>
      <c r="C64" s="154">
        <f ca="1">OFFSET(취득!$J$15,MATCH($B11,취득!$J$16:$J$17,0),MATCH(C12,취득!$K$15:$L$15,0))</f>
        <v>0.13400000000000001</v>
      </c>
      <c r="E64" s="3" t="s">
        <v>230</v>
      </c>
      <c r="F64" s="154">
        <f ca="1">OFFSET(취득!$J$15,MATCH($B11,취득!$J$16:$J$17,0),MATCH(F12,취득!$K$15:$L$15,0))</f>
        <v>0.13400000000000001</v>
      </c>
      <c r="G64" s="154">
        <f ca="1">OFFSET(취득!$J$15,MATCH($B11,취득!$J$16:$J$17,0),MATCH(G12,취득!$K$15:$L$15,0))</f>
        <v>0.13400000000000001</v>
      </c>
      <c r="I64" s="3" t="s">
        <v>230</v>
      </c>
      <c r="J64" s="154">
        <f ca="1">OFFSET(취득!$J$15,MATCH($B11,취득!$J$16:$J$17,0),MATCH(J12,취득!$K$15:$L$15,0))</f>
        <v>0.13400000000000001</v>
      </c>
      <c r="K64" s="154">
        <f ca="1">OFFSET(취득!$J$15,MATCH($B11,취득!$J$16:$J$17,0),MATCH(K12,취득!$K$15:$L$15,0))</f>
        <v>0.124</v>
      </c>
      <c r="M64" s="3" t="s">
        <v>230</v>
      </c>
      <c r="N64" s="154">
        <f ca="1">OFFSET(취득!$J$15,MATCH($B11,취득!$J$16:$J$17,0),MATCH(N12,취득!$K$15:$L$15,0))</f>
        <v>0.13400000000000001</v>
      </c>
      <c r="O64" s="154">
        <f ca="1">OFFSET(취득!$J$15,MATCH($B11,취득!$J$16:$J$17,0),MATCH(O12,취득!$K$15:$L$15,0))</f>
        <v>0.124</v>
      </c>
    </row>
    <row r="65" spans="1:26" ht="16.5" customHeight="1" thickBot="1">
      <c r="A65" s="37" t="s">
        <v>46</v>
      </c>
      <c r="B65" s="38">
        <f ca="1">B44*B64</f>
        <v>1125600000</v>
      </c>
      <c r="C65" s="38">
        <f ca="1">C44*C64</f>
        <v>1125600000</v>
      </c>
      <c r="E65" s="37" t="s">
        <v>46</v>
      </c>
      <c r="F65" s="38">
        <f ca="1">F44*F64</f>
        <v>1125600000</v>
      </c>
      <c r="G65" s="38">
        <f ca="1">G44*G64</f>
        <v>1125600000</v>
      </c>
      <c r="I65" s="37" t="s">
        <v>46</v>
      </c>
      <c r="J65" s="38">
        <f ca="1">J44*J64</f>
        <v>1125600000</v>
      </c>
      <c r="K65" s="38">
        <f ca="1">K44*K64</f>
        <v>1041600000</v>
      </c>
      <c r="M65" s="37" t="s">
        <v>46</v>
      </c>
      <c r="N65" s="38">
        <f ca="1">N44*N64</f>
        <v>1125600000</v>
      </c>
      <c r="O65" s="38">
        <f ca="1">O44*O64</f>
        <v>1041600000</v>
      </c>
    </row>
    <row r="66" spans="1:26" ht="16.5" customHeight="1" thickTop="1">
      <c r="A66" s="3"/>
      <c r="B66" s="3"/>
      <c r="C66" s="3"/>
      <c r="E66" s="3"/>
      <c r="F66" s="3"/>
      <c r="G66" s="3"/>
      <c r="I66" s="3"/>
      <c r="J66" s="3"/>
      <c r="K66" s="3"/>
      <c r="M66" s="3"/>
      <c r="N66" s="3"/>
      <c r="O66" s="3"/>
    </row>
    <row r="67" spans="1:26" ht="16.5" customHeight="1"/>
    <row r="68" spans="1:26" ht="16.5" customHeight="1"/>
    <row r="69" spans="1:26" ht="16.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6.5" customHeight="1"/>
    <row r="71" spans="1:26" ht="16.5" customHeight="1"/>
    <row r="72" spans="1:26" ht="16.5" customHeight="1"/>
    <row r="73" spans="1:26" ht="16.5" customHeight="1"/>
    <row r="74" spans="1:26" ht="16.5" customHeight="1"/>
    <row r="75" spans="1:26" ht="16.5" customHeight="1"/>
    <row r="76" spans="1:26" ht="16.5" customHeight="1"/>
    <row r="77" spans="1:26" ht="16.5" customHeight="1"/>
    <row r="78" spans="1:26" ht="16.5" customHeight="1"/>
    <row r="79" spans="1:26" ht="16.5" customHeight="1"/>
    <row r="80" spans="1:26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</sheetData>
  <phoneticPr fontId="15" type="noConversion"/>
  <conditionalFormatting sqref="B13:C14">
    <cfRule type="cellIs" dxfId="31" priority="29" operator="lessThan">
      <formula>1</formula>
    </cfRule>
    <cfRule type="cellIs" dxfId="30" priority="30" operator="lessThan">
      <formula>2</formula>
    </cfRule>
  </conditionalFormatting>
  <conditionalFormatting sqref="B20:C20">
    <cfRule type="cellIs" dxfId="29" priority="33" operator="lessThan">
      <formula>1</formula>
    </cfRule>
    <cfRule type="cellIs" dxfId="28" priority="34" operator="lessThan">
      <formula>2</formula>
    </cfRule>
  </conditionalFormatting>
  <conditionalFormatting sqref="B46:C46">
    <cfRule type="cellIs" dxfId="27" priority="17" operator="lessThan">
      <formula>1</formula>
    </cfRule>
    <cfRule type="cellIs" dxfId="26" priority="18" operator="lessThan">
      <formula>2</formula>
    </cfRule>
  </conditionalFormatting>
  <conditionalFormatting sqref="F13:G14 B44:C44">
    <cfRule type="cellIs" dxfId="25" priority="41" operator="lessThan">
      <formula>1</formula>
    </cfRule>
    <cfRule type="cellIs" dxfId="24" priority="42" operator="lessThan">
      <formula>2</formula>
    </cfRule>
  </conditionalFormatting>
  <conditionalFormatting sqref="F44:G44">
    <cfRule type="cellIs" dxfId="23" priority="15" operator="lessThan">
      <formula>1</formula>
    </cfRule>
    <cfRule type="cellIs" dxfId="22" priority="16" operator="lessThan">
      <formula>2</formula>
    </cfRule>
  </conditionalFormatting>
  <conditionalFormatting sqref="F46:G46">
    <cfRule type="cellIs" dxfId="21" priority="13" operator="lessThan">
      <formula>1</formula>
    </cfRule>
    <cfRule type="cellIs" dxfId="20" priority="14" operator="lessThan">
      <formula>2</formula>
    </cfRule>
  </conditionalFormatting>
  <conditionalFormatting sqref="J13:K14">
    <cfRule type="cellIs" dxfId="19" priority="3" operator="lessThan">
      <formula>1</formula>
    </cfRule>
    <cfRule type="cellIs" dxfId="18" priority="4" operator="lessThan">
      <formula>2</formula>
    </cfRule>
  </conditionalFormatting>
  <conditionalFormatting sqref="J44:K44">
    <cfRule type="cellIs" dxfId="17" priority="11" operator="lessThan">
      <formula>1</formula>
    </cfRule>
    <cfRule type="cellIs" dxfId="16" priority="12" operator="lessThan">
      <formula>2</formula>
    </cfRule>
  </conditionalFormatting>
  <conditionalFormatting sqref="J46:K46">
    <cfRule type="cellIs" dxfId="15" priority="9" operator="lessThan">
      <formula>1</formula>
    </cfRule>
    <cfRule type="cellIs" dxfId="14" priority="10" operator="lessThan">
      <formula>2</formula>
    </cfRule>
  </conditionalFormatting>
  <conditionalFormatting sqref="N13:O14">
    <cfRule type="cellIs" dxfId="13" priority="1" operator="lessThan">
      <formula>1</formula>
    </cfRule>
    <cfRule type="cellIs" dxfId="12" priority="2" operator="lessThan">
      <formula>2</formula>
    </cfRule>
  </conditionalFormatting>
  <conditionalFormatting sqref="N44:O44">
    <cfRule type="cellIs" dxfId="11" priority="7" operator="lessThan">
      <formula>1</formula>
    </cfRule>
    <cfRule type="cellIs" dxfId="10" priority="8" operator="lessThan">
      <formula>2</formula>
    </cfRule>
  </conditionalFormatting>
  <conditionalFormatting sqref="N46:O46">
    <cfRule type="cellIs" dxfId="9" priority="5" operator="lessThan">
      <formula>1</formula>
    </cfRule>
    <cfRule type="cellIs" dxfId="8" priority="6" operator="lessThan">
      <formula>2</formula>
    </cfRule>
  </conditionalFormatting>
  <dataValidations count="6">
    <dataValidation type="list" allowBlank="1" showErrorMessage="1" sqref="B10:C10 F10:G10 J10:K10 N10:O10" xr:uid="{00000000-0002-0000-0700-000004000000}">
      <formula1>"1세대1주택,주택,2주택,3주택,토지,비사토"</formula1>
    </dataValidation>
    <dataValidation type="list" allowBlank="1" showErrorMessage="1" sqref="E10 I10 M10" xr:uid="{00000000-0002-0000-0700-000005000000}">
      <formula1>"부부"</formula1>
    </dataValidation>
    <dataValidation type="list" allowBlank="1" showErrorMessage="1" sqref="B17:C17 F17:G17 J17:K17 N17:O17" xr:uid="{00000000-0002-0000-0700-000007000000}">
      <formula1>"다주택자,1세대1주택"</formula1>
    </dataValidation>
    <dataValidation type="list" allowBlank="1" showErrorMessage="1" sqref="B18:C18 J18:K18 N18:O18 F18:G18" xr:uid="{00000000-0002-0000-0700-000001000000}">
      <formula1>"85 초과"</formula1>
    </dataValidation>
    <dataValidation type="list" allowBlank="1" showErrorMessage="1" sqref="N17:O18 J17:K18 F17:G18" xr:uid="{00000000-0002-0000-0700-000003000000}">
      <formula1>"TRUE"</formula1>
    </dataValidation>
    <dataValidation allowBlank="1" showErrorMessage="1" sqref="B12:C12 F12:G12 J12:K12 N12:O12 B40:C40" xr:uid="{4B698E7E-B4A7-4028-AD34-97B710596DC6}"/>
  </dataValidations>
  <pageMargins left="0.25" right="0.25" top="0.75" bottom="0.75" header="0" footer="0"/>
  <pageSetup paperSize="9" orientation="landscape"/>
  <headerFooter>
    <oddFooter>&amp;C&amp;P/</oddFooter>
  </headerFooter>
  <rowBreaks count="2" manualBreakCount="2">
    <brk id="16" man="1"/>
    <brk id="68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700-000000000000}">
          <x14:formula1>
            <xm:f>t!$AR$2:$AR$5</xm:f>
          </x14:formula1>
          <xm:sqref>B39:C39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6E66E-0B10-4168-A419-3354D9935CBD}">
  <sheetPr>
    <tabColor theme="5" tint="-0.249977111117893"/>
  </sheetPr>
  <dimension ref="A1:AD973"/>
  <sheetViews>
    <sheetView workbookViewId="0"/>
  </sheetViews>
  <sheetFormatPr defaultColWidth="14.42578125" defaultRowHeight="15" customHeight="1"/>
  <cols>
    <col min="1" max="1" width="24.28515625" customWidth="1"/>
    <col min="2" max="2" width="19.28515625" bestFit="1" customWidth="1"/>
    <col min="3" max="4" width="17.140625" bestFit="1" customWidth="1"/>
    <col min="5" max="5" width="8.7109375" customWidth="1"/>
    <col min="6" max="6" width="28.140625" bestFit="1" customWidth="1"/>
    <col min="7" max="7" width="17.85546875" bestFit="1" customWidth="1"/>
    <col min="8" max="9" width="17.140625" bestFit="1" customWidth="1"/>
    <col min="10" max="10" width="8.7109375" customWidth="1"/>
    <col min="11" max="12" width="17.85546875" customWidth="1"/>
    <col min="13" max="14" width="19.140625" customWidth="1"/>
    <col min="15" max="15" width="8.7109375" customWidth="1"/>
    <col min="16" max="17" width="17.85546875" customWidth="1"/>
    <col min="18" max="19" width="19.140625" customWidth="1"/>
    <col min="20" max="20" width="8.7109375" customWidth="1"/>
    <col min="21" max="21" width="15.42578125" customWidth="1"/>
    <col min="22" max="22" width="15.42578125" bestFit="1" customWidth="1"/>
    <col min="23" max="30" width="8.7109375" customWidth="1"/>
  </cols>
  <sheetData>
    <row r="1" spans="1:30" ht="16.5" customHeight="1">
      <c r="A1" s="100" t="s">
        <v>16</v>
      </c>
      <c r="B1" s="148">
        <f>HLOOKUP(B$9,기초!$C$5:$I$16,MATCH($A1,기초!$A$5:$A$16,0),0)</f>
        <v>8400000000</v>
      </c>
      <c r="C1" s="107">
        <f>$B1*C16</f>
        <v>8400000000</v>
      </c>
      <c r="D1" s="107">
        <f>$B1*D16</f>
        <v>0</v>
      </c>
      <c r="F1" s="100" t="s">
        <v>16</v>
      </c>
      <c r="G1" s="107">
        <f t="shared" ref="G1:I2" si="0">B1</f>
        <v>8400000000</v>
      </c>
      <c r="H1" s="107">
        <f t="shared" si="0"/>
        <v>8400000000</v>
      </c>
      <c r="I1" s="107">
        <f t="shared" si="0"/>
        <v>0</v>
      </c>
      <c r="K1" s="100" t="s">
        <v>16</v>
      </c>
      <c r="L1" s="107">
        <f>G1</f>
        <v>8400000000</v>
      </c>
      <c r="M1" s="15">
        <f>H1</f>
        <v>8400000000</v>
      </c>
      <c r="N1" s="15">
        <f>I1</f>
        <v>0</v>
      </c>
      <c r="P1" s="100" t="s">
        <v>16</v>
      </c>
      <c r="Q1" s="107">
        <f t="shared" ref="Q1:S4" si="1">L1</f>
        <v>8400000000</v>
      </c>
      <c r="R1" s="107">
        <f t="shared" si="1"/>
        <v>8400000000</v>
      </c>
      <c r="S1" s="107">
        <f t="shared" si="1"/>
        <v>0</v>
      </c>
      <c r="U1" s="97"/>
      <c r="V1" s="98"/>
    </row>
    <row r="2" spans="1:30" ht="16.5" customHeight="1">
      <c r="A2" s="97" t="s">
        <v>181</v>
      </c>
      <c r="B2" s="101">
        <f ca="1">SUM(C2:D2)+1000000</f>
        <v>7801000000</v>
      </c>
      <c r="C2" s="101">
        <f ca="1">C$1-IF(C$10="특수관계",MIN(C$1*5%,3*10^8),3*10^8)</f>
        <v>8100000000</v>
      </c>
      <c r="D2" s="101">
        <f ca="1">D$1-IF(D$10="특수관계",MIN(D$1*5%,3*10^8),3*10^8)</f>
        <v>-300000000</v>
      </c>
      <c r="F2" s="97" t="s">
        <v>181</v>
      </c>
      <c r="G2" s="107">
        <f t="shared" ca="1" si="0"/>
        <v>7801000000</v>
      </c>
      <c r="H2" s="107">
        <f t="shared" ca="1" si="0"/>
        <v>8100000000</v>
      </c>
      <c r="I2" s="107">
        <f t="shared" ca="1" si="0"/>
        <v>-300000000</v>
      </c>
      <c r="K2" s="97" t="s">
        <v>181</v>
      </c>
      <c r="L2" s="101">
        <f ca="1">SUM(M2:N2)+1000000</f>
        <v>7801000000</v>
      </c>
      <c r="M2" s="4">
        <f ca="1">H2</f>
        <v>8100000000</v>
      </c>
      <c r="N2" s="4">
        <f ca="1">I2</f>
        <v>-300000000</v>
      </c>
      <c r="P2" s="161" t="s">
        <v>181</v>
      </c>
      <c r="Q2" s="162">
        <f t="shared" ca="1" si="1"/>
        <v>7801000000</v>
      </c>
      <c r="R2" s="162">
        <f t="shared" ca="1" si="1"/>
        <v>8100000000</v>
      </c>
      <c r="S2" s="162">
        <f t="shared" ca="1" si="1"/>
        <v>-300000000</v>
      </c>
      <c r="U2" s="97"/>
      <c r="V2" s="98"/>
    </row>
    <row r="3" spans="1:30" ht="16.5" customHeight="1" thickBot="1">
      <c r="A3" s="109" t="s">
        <v>180</v>
      </c>
      <c r="B3" s="110">
        <f ca="1">SUM(C3:D3)</f>
        <v>7800000000</v>
      </c>
      <c r="C3" s="110">
        <f ca="1">C$1*C$16-IF(C$10="특수관계",MIN(C$1*$C16*30%,3*10^8),3*10^8)</f>
        <v>8100000000</v>
      </c>
      <c r="D3" s="110">
        <f ca="1">D$1*D$16-IF(D$10="특수관계",MIN(D$1*$C16*30%,3*10^8),3*10^8)</f>
        <v>-300000000</v>
      </c>
      <c r="F3" s="109" t="s">
        <v>180</v>
      </c>
      <c r="G3" s="110">
        <f>SUM(H3:I3)</f>
        <v>8100000000</v>
      </c>
      <c r="H3" s="110">
        <f>H$1*H$16-IF(H$10="특수관계",MIN(H$1*$C16*30%,3*10^8),3*10^8)</f>
        <v>8100000000</v>
      </c>
      <c r="I3" s="110">
        <f>I$1*I$16-IF(I$10="특수관계",MIN(I$1*$C16*30%,3*10^8),3*10^8)</f>
        <v>0</v>
      </c>
      <c r="K3" s="109" t="s">
        <v>180</v>
      </c>
      <c r="L3" s="110">
        <f ca="1">SUM(M3:N3)</f>
        <v>600000000</v>
      </c>
      <c r="M3" s="54">
        <f t="shared" ref="M3:N3" ca="1" si="2">M1-M2</f>
        <v>300000000</v>
      </c>
      <c r="N3" s="54">
        <f t="shared" ca="1" si="2"/>
        <v>300000000</v>
      </c>
      <c r="P3" s="160" t="s">
        <v>180</v>
      </c>
      <c r="Q3" s="159">
        <f t="shared" ca="1" si="1"/>
        <v>600000000</v>
      </c>
      <c r="R3" s="159">
        <f t="shared" ca="1" si="1"/>
        <v>300000000</v>
      </c>
      <c r="S3" s="159">
        <f t="shared" ca="1" si="1"/>
        <v>300000000</v>
      </c>
      <c r="U3" s="97"/>
      <c r="V3" s="98"/>
    </row>
    <row r="4" spans="1:30" ht="16.5" customHeight="1">
      <c r="A4" s="1" t="s">
        <v>41</v>
      </c>
      <c r="B4" s="148">
        <f>HLOOKUP(B$9,기초!$C$5:$I$16,MATCH($A4,기초!$A$5:$A$16,0),0)</f>
        <v>1300000000</v>
      </c>
      <c r="C4" s="60"/>
      <c r="D4" s="60"/>
      <c r="F4" s="1" t="s">
        <v>41</v>
      </c>
      <c r="G4" s="112">
        <f>B4</f>
        <v>1300000000</v>
      </c>
      <c r="H4" s="60"/>
      <c r="I4" s="60"/>
      <c r="K4" s="1" t="s">
        <v>41</v>
      </c>
      <c r="L4" s="112">
        <f>G4</f>
        <v>1300000000</v>
      </c>
      <c r="M4" s="15"/>
      <c r="N4" s="15"/>
      <c r="P4" s="1" t="s">
        <v>41</v>
      </c>
      <c r="Q4" s="112">
        <f t="shared" si="1"/>
        <v>1300000000</v>
      </c>
      <c r="R4" s="15">
        <f t="shared" si="1"/>
        <v>0</v>
      </c>
      <c r="S4" s="15">
        <f t="shared" si="1"/>
        <v>0</v>
      </c>
    </row>
    <row r="5" spans="1:30" ht="16.5" customHeight="1">
      <c r="A5" s="19"/>
      <c r="C5" s="163"/>
    </row>
    <row r="6" spans="1:30" ht="16.5" customHeight="1" thickBot="1">
      <c r="A6" s="59" t="s">
        <v>183</v>
      </c>
      <c r="B6" s="111">
        <f ca="1">B34</f>
        <v>1015421423.7277268</v>
      </c>
      <c r="C6" s="60"/>
      <c r="D6" s="60"/>
      <c r="E6" s="60"/>
      <c r="F6" s="59" t="s">
        <v>183</v>
      </c>
      <c r="G6" s="111">
        <f ca="1">G34</f>
        <v>1010702785.7142859</v>
      </c>
      <c r="H6" s="60"/>
      <c r="I6" s="60"/>
      <c r="J6" s="5"/>
      <c r="K6" s="59" t="s">
        <v>183</v>
      </c>
      <c r="L6" s="111">
        <f ca="1">L34</f>
        <v>1948657071.4285717</v>
      </c>
      <c r="M6" s="60"/>
      <c r="N6" s="60"/>
      <c r="O6" s="60"/>
      <c r="P6" s="59" t="s">
        <v>183</v>
      </c>
      <c r="Q6" s="111">
        <f ca="1">Q34</f>
        <v>2443657071.4285717</v>
      </c>
      <c r="R6" s="60"/>
      <c r="S6" s="60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16.5" customHeight="1">
      <c r="A7" s="59"/>
    </row>
    <row r="8" spans="1:30" ht="16.5" customHeight="1">
      <c r="A8" s="46" t="s">
        <v>67</v>
      </c>
      <c r="B8" s="3"/>
      <c r="C8" s="3"/>
      <c r="D8" s="3"/>
      <c r="F8" s="46" t="s">
        <v>68</v>
      </c>
      <c r="G8" s="46"/>
      <c r="H8" s="3"/>
      <c r="I8" s="3"/>
      <c r="K8" s="46" t="s">
        <v>70</v>
      </c>
      <c r="L8" s="15">
        <v>2000000000</v>
      </c>
      <c r="M8" s="15"/>
      <c r="N8" s="15"/>
      <c r="P8" s="46" t="s">
        <v>70</v>
      </c>
      <c r="Q8" s="15">
        <v>1000000000</v>
      </c>
      <c r="R8" s="15"/>
      <c r="S8" s="15"/>
    </row>
    <row r="9" spans="1:30" ht="16.5" customHeight="1">
      <c r="A9" s="3"/>
      <c r="B9" s="3" t="s">
        <v>8</v>
      </c>
      <c r="C9" s="126" t="s">
        <v>292</v>
      </c>
      <c r="D9" s="126" t="s">
        <v>291</v>
      </c>
      <c r="F9" s="47">
        <v>2027</v>
      </c>
      <c r="G9" s="3" t="s">
        <v>8</v>
      </c>
      <c r="H9" s="3" t="s">
        <v>175</v>
      </c>
      <c r="I9" s="3" t="s">
        <v>176</v>
      </c>
      <c r="K9" s="47">
        <v>2028</v>
      </c>
      <c r="L9" s="3" t="s">
        <v>8</v>
      </c>
      <c r="M9" s="3" t="s">
        <v>175</v>
      </c>
      <c r="N9" s="3" t="s">
        <v>176</v>
      </c>
      <c r="P9" s="47">
        <v>2029</v>
      </c>
      <c r="Q9" s="3" t="s">
        <v>8</v>
      </c>
      <c r="R9" s="3" t="s">
        <v>175</v>
      </c>
      <c r="S9" s="3" t="s">
        <v>176</v>
      </c>
      <c r="V9" s="97"/>
    </row>
    <row r="10" spans="1:30" ht="16.5" customHeight="1">
      <c r="A10" s="3" t="s">
        <v>224</v>
      </c>
      <c r="B10" s="256" t="s">
        <v>0</v>
      </c>
      <c r="C10" s="127" t="str" cm="1">
        <f t="array" aca="1" ref="C10" ca="1">INDIRECT("기초!B"&amp;(MATCH(C9,기초!$B:$B,0)+1))</f>
        <v>직계존비속</v>
      </c>
      <c r="D10" s="127" t="str" cm="1">
        <f t="array" aca="1" ref="D10" ca="1">INDIRECT("기초!B"&amp;(MATCH(D9,기초!$B:$B,0)+1))</f>
        <v>직계존비속</v>
      </c>
      <c r="F10" s="48" t="s">
        <v>72</v>
      </c>
      <c r="G10" s="256" t="s">
        <v>0</v>
      </c>
      <c r="H10" s="17" t="s">
        <v>174</v>
      </c>
      <c r="I10" s="17" t="s">
        <v>173</v>
      </c>
      <c r="K10" s="48" t="s">
        <v>72</v>
      </c>
      <c r="L10" s="256" t="s">
        <v>0</v>
      </c>
      <c r="M10" s="17" t="s">
        <v>174</v>
      </c>
      <c r="N10" s="17" t="s">
        <v>173</v>
      </c>
      <c r="P10" s="48" t="s">
        <v>72</v>
      </c>
      <c r="Q10" s="256" t="s">
        <v>0</v>
      </c>
      <c r="R10" s="17" t="s">
        <v>174</v>
      </c>
      <c r="S10" s="17" t="s">
        <v>173</v>
      </c>
    </row>
    <row r="11" spans="1:30" ht="16.5" customHeight="1">
      <c r="A11" s="130" t="s">
        <v>226</v>
      </c>
      <c r="B11" s="132" t="str">
        <f>HLOOKUP(B$9,기초!$C$5:$I$16,MATCH($A11,기초!$A$5:$A$16,0),0)</f>
        <v>조정대상지역</v>
      </c>
      <c r="C11" s="17"/>
      <c r="D11" s="17"/>
      <c r="F11" s="130" t="s">
        <v>226</v>
      </c>
      <c r="G11" s="127" t="str">
        <f>HLOOKUP(G$9,기초!$C$5:$I$7,3,0)</f>
        <v>조정대상지역</v>
      </c>
      <c r="H11" s="127"/>
      <c r="I11" s="17"/>
      <c r="K11" s="130" t="s">
        <v>226</v>
      </c>
      <c r="L11" s="127" t="str">
        <f>HLOOKUP(L$9,기초!$C$5:$I$7,3,0)</f>
        <v>조정대상지역</v>
      </c>
      <c r="M11" s="127"/>
      <c r="N11" s="17"/>
      <c r="P11" s="130" t="s">
        <v>226</v>
      </c>
      <c r="Q11" s="127" t="str">
        <f>HLOOKUP(Q$9,기초!$C$5:$I$7,3,0)</f>
        <v>조정대상지역</v>
      </c>
      <c r="R11" s="127"/>
      <c r="S11" s="17"/>
    </row>
    <row r="12" spans="1:30" ht="16.5" customHeight="1">
      <c r="A12" s="3" t="s">
        <v>184</v>
      </c>
      <c r="B12" s="132" t="str">
        <f>HLOOKUP(B$9,기초!$C$5:$I$16,MATCH($A12,기초!$A$5:$A$16,0),0)</f>
        <v>85 초과</v>
      </c>
      <c r="C12" s="17"/>
      <c r="D12" s="17"/>
      <c r="F12" s="3" t="s">
        <v>184</v>
      </c>
      <c r="G12" s="17" t="str">
        <f>HLOOKUP(G$9,기초!$C$5:$I$7,2,0)</f>
        <v>85 초과</v>
      </c>
      <c r="H12" s="17"/>
      <c r="I12" s="17"/>
      <c r="K12" s="3" t="s">
        <v>184</v>
      </c>
      <c r="L12" s="17" t="str">
        <f>HLOOKUP(L$9,기초!$C$5:$I$7,2,0)</f>
        <v>85 초과</v>
      </c>
      <c r="M12" s="17"/>
      <c r="N12" s="17"/>
      <c r="P12" s="3" t="s">
        <v>184</v>
      </c>
      <c r="Q12" s="17" t="str">
        <f>HLOOKUP(Q$9,기초!$C$5:$I$7,2,0)</f>
        <v>85 초과</v>
      </c>
      <c r="R12" s="17"/>
      <c r="S12" s="17"/>
    </row>
    <row r="13" spans="1:30" ht="16.5" customHeight="1">
      <c r="A13" s="3" t="s">
        <v>233</v>
      </c>
      <c r="B13" s="132">
        <f>HLOOKUP(B$9,기초!$C$5:$I$16,MATCH($A13,기초!$A$5:$A$16,0),0)</f>
        <v>10</v>
      </c>
      <c r="C13" s="17"/>
      <c r="D13" s="17"/>
      <c r="F13" s="3" t="s">
        <v>75</v>
      </c>
      <c r="G13" s="147">
        <f>B13+1</f>
        <v>11</v>
      </c>
      <c r="H13" s="17"/>
      <c r="I13" s="17"/>
      <c r="K13" s="3" t="s">
        <v>75</v>
      </c>
      <c r="L13" s="147">
        <f>G13+1</f>
        <v>12</v>
      </c>
      <c r="M13" s="17"/>
      <c r="N13" s="17"/>
      <c r="P13" s="3" t="s">
        <v>75</v>
      </c>
      <c r="Q13" s="147">
        <f>L13+1</f>
        <v>13</v>
      </c>
      <c r="R13" s="17"/>
      <c r="S13" s="17"/>
    </row>
    <row r="14" spans="1:30" ht="16.5" customHeight="1">
      <c r="A14" s="3" t="s">
        <v>234</v>
      </c>
      <c r="B14" s="132">
        <f>HLOOKUP(B$9,기초!$C$5:$I$16,MATCH($A14,기초!$A$5:$A$16,0),0)</f>
        <v>5</v>
      </c>
      <c r="C14" s="17"/>
      <c r="D14" s="17"/>
      <c r="F14" s="3" t="s">
        <v>2</v>
      </c>
      <c r="G14" s="147">
        <f>B14+1</f>
        <v>6</v>
      </c>
      <c r="H14" s="17"/>
      <c r="I14" s="17"/>
      <c r="K14" s="3" t="s">
        <v>2</v>
      </c>
      <c r="L14" s="147">
        <f>G14+1</f>
        <v>7</v>
      </c>
      <c r="M14" s="17"/>
      <c r="N14" s="17"/>
      <c r="P14" s="3" t="s">
        <v>2</v>
      </c>
      <c r="Q14" s="147">
        <f>L14+1</f>
        <v>8</v>
      </c>
      <c r="R14" s="17"/>
      <c r="S14" s="17"/>
    </row>
    <row r="15" spans="1:30" ht="16.5" customHeight="1">
      <c r="A15" s="3" t="s">
        <v>77</v>
      </c>
      <c r="B15" s="3" t="str">
        <f t="shared" ref="B15" si="3">IF(AND(B10="3주택",B11="조정대상지역"),"기본세율+30%",IF(B10="비사토","기본세율+10%",IF(AND(B10="2주택",B11="조정대상지역"),"기본세율+20%","기본세율")))</f>
        <v>기본세율</v>
      </c>
      <c r="C15" s="17"/>
      <c r="D15" s="17"/>
      <c r="F15" s="3" t="s">
        <v>77</v>
      </c>
      <c r="G15" s="3" t="str">
        <f t="shared" ref="G15" si="4">IF(AND(G10="3주택",G11="조정대상지역"),"기본세율+30%",IF(G10="비사토","기본세율+10%",IF(AND(G10="2주택",G11="조정대상지역"),"기본세율+20%","기본세율")))</f>
        <v>기본세율</v>
      </c>
      <c r="H15" s="17"/>
      <c r="I15" s="17"/>
      <c r="K15" s="3" t="s">
        <v>77</v>
      </c>
      <c r="L15" s="3" t="str">
        <f t="shared" ref="L15" si="5">IF(AND(L10="3주택",L11="조정대상지역"),"기본세율+30%",IF(L10="비사토","기본세율+10%",IF(AND(L10="2주택",L11="조정대상지역"),"기본세율+20%","기본세율")))</f>
        <v>기본세율</v>
      </c>
      <c r="M15" s="17"/>
      <c r="N15" s="17"/>
      <c r="P15" s="3" t="s">
        <v>77</v>
      </c>
      <c r="Q15" s="3" t="str">
        <f t="shared" ref="Q15" si="6">IF(AND(Q10="3주택",Q11="조정대상지역"),"기본세율+30%",IF(Q10="비사토","기본세율+10%",IF(AND(Q10="2주택",Q11="조정대상지역"),"기본세율+20%","기본세율")))</f>
        <v>기본세율</v>
      </c>
      <c r="R15" s="17"/>
      <c r="S15" s="17"/>
    </row>
    <row r="16" spans="1:30" ht="16.5" customHeight="1">
      <c r="A16" s="3" t="s">
        <v>79</v>
      </c>
      <c r="B16" s="17">
        <v>1</v>
      </c>
      <c r="C16" s="17">
        <v>1</v>
      </c>
      <c r="D16" s="17">
        <v>0</v>
      </c>
      <c r="F16" s="3" t="s">
        <v>79</v>
      </c>
      <c r="G16" s="17">
        <v>1</v>
      </c>
      <c r="H16" s="17">
        <f>C16</f>
        <v>1</v>
      </c>
      <c r="I16" s="17">
        <f>D16</f>
        <v>0</v>
      </c>
      <c r="K16" s="3" t="s">
        <v>79</v>
      </c>
      <c r="L16" s="17">
        <v>1</v>
      </c>
      <c r="M16" s="17">
        <f>H16</f>
        <v>1</v>
      </c>
      <c r="N16" s="17">
        <f>I16</f>
        <v>0</v>
      </c>
      <c r="P16" s="3" t="s">
        <v>79</v>
      </c>
      <c r="Q16" s="17">
        <v>1</v>
      </c>
      <c r="R16" s="17">
        <f>M16</f>
        <v>1</v>
      </c>
      <c r="S16" s="17">
        <f>N16</f>
        <v>0</v>
      </c>
    </row>
    <row r="17" spans="1:30" ht="16.5" customHeight="1">
      <c r="A17" s="17" t="s">
        <v>216</v>
      </c>
      <c r="B17" s="17"/>
      <c r="C17" s="137" t="str" cm="1">
        <f t="array" aca="1" ref="C17" ca="1">IF(INDIRECT("기초!B"&amp;(MATCH(C$9,기초!$B:$B,0)+3))=0,"1주택",INDIRECT("기초!B"&amp;(MATCH(C$9,기초!$B:$B,0)+3)))</f>
        <v>1주택</v>
      </c>
      <c r="D17" s="137" t="str" cm="1">
        <f t="array" aca="1" ref="D17" ca="1">IF(INDIRECT("기초!B"&amp;(MATCH(D$9,기초!$B:$B,0)+3))=0,"1주택",INDIRECT("기초!B"&amp;(MATCH(D$9,기초!$B:$B,0)+3)))</f>
        <v>1주택</v>
      </c>
      <c r="F17" s="17" t="s">
        <v>216</v>
      </c>
      <c r="G17" s="17"/>
      <c r="H17" s="17" t="str">
        <f ca="1">C17</f>
        <v>1주택</v>
      </c>
      <c r="I17" s="17" t="str">
        <f ca="1">D17</f>
        <v>1주택</v>
      </c>
      <c r="K17" s="17" t="s">
        <v>216</v>
      </c>
      <c r="L17" s="17"/>
      <c r="M17" s="17" t="str">
        <f ca="1">H17</f>
        <v>1주택</v>
      </c>
      <c r="N17" s="17" t="str">
        <f ca="1">I17</f>
        <v>1주택</v>
      </c>
      <c r="P17" s="17" t="s">
        <v>216</v>
      </c>
      <c r="Q17" s="17"/>
      <c r="R17" s="17" t="str">
        <f ca="1">M17</f>
        <v>1주택</v>
      </c>
      <c r="S17" s="17" t="str">
        <f ca="1">N17</f>
        <v>1주택</v>
      </c>
    </row>
    <row r="18" spans="1:30" ht="16.5" customHeight="1">
      <c r="F18" s="3" t="s">
        <v>80</v>
      </c>
      <c r="G18" s="48"/>
      <c r="H18" s="99"/>
      <c r="I18" s="99"/>
      <c r="K18" s="3" t="s">
        <v>80</v>
      </c>
      <c r="L18" s="48"/>
      <c r="M18" s="17"/>
      <c r="N18" s="17"/>
      <c r="P18" s="3" t="s">
        <v>80</v>
      </c>
      <c r="Q18" s="48"/>
      <c r="R18" s="17"/>
      <c r="S18" s="17"/>
    </row>
    <row r="19" spans="1:30" ht="16.5" customHeight="1">
      <c r="B19" s="17"/>
      <c r="C19" s="17"/>
      <c r="D19" s="17"/>
      <c r="F19" s="3"/>
      <c r="G19" s="3"/>
      <c r="H19" s="99"/>
      <c r="I19" s="99"/>
      <c r="K19" s="3"/>
      <c r="L19" s="3"/>
      <c r="M19" s="17"/>
      <c r="N19" s="17"/>
      <c r="P19" s="3"/>
      <c r="Q19" s="3"/>
      <c r="R19" s="17"/>
      <c r="S19" s="17"/>
    </row>
    <row r="20" spans="1:30" ht="16.5" customHeight="1">
      <c r="A20" s="50" t="s">
        <v>177</v>
      </c>
      <c r="B20" s="15">
        <f ca="1">B2</f>
        <v>7801000000</v>
      </c>
      <c r="C20" s="106">
        <f ca="1">B20*C16</f>
        <v>7801000000</v>
      </c>
      <c r="D20" s="106">
        <f ca="1">B20*D16</f>
        <v>0</v>
      </c>
      <c r="F20" s="50" t="s">
        <v>177</v>
      </c>
      <c r="G20" s="105">
        <v>900000000</v>
      </c>
      <c r="H20" s="106">
        <f>$G$20*H16</f>
        <v>900000000</v>
      </c>
      <c r="I20" s="106">
        <f>$G$20*I16</f>
        <v>0</v>
      </c>
      <c r="K20" s="50" t="s">
        <v>177</v>
      </c>
      <c r="L20" s="105">
        <v>900000000</v>
      </c>
      <c r="M20" s="106">
        <f>$G$20*M16</f>
        <v>900000000</v>
      </c>
      <c r="N20" s="106">
        <f>$G$20*N16</f>
        <v>0</v>
      </c>
      <c r="P20" s="50" t="s">
        <v>177</v>
      </c>
      <c r="Q20" s="105">
        <v>900000000</v>
      </c>
      <c r="R20" s="106">
        <f>$G$20*R16</f>
        <v>900000000</v>
      </c>
      <c r="S20" s="106">
        <f>$G$20*S16</f>
        <v>0</v>
      </c>
    </row>
    <row r="21" spans="1:30" ht="16.5" customHeight="1">
      <c r="C21" s="15"/>
      <c r="D21" s="15"/>
      <c r="E21" s="19"/>
      <c r="F21" s="50"/>
      <c r="G21" s="50"/>
      <c r="H21" s="15"/>
      <c r="I21" s="15"/>
      <c r="J21" s="19"/>
      <c r="K21" s="50"/>
      <c r="L21" s="50"/>
      <c r="M21" s="15"/>
      <c r="N21" s="15"/>
      <c r="O21" s="19"/>
      <c r="P21" s="50"/>
      <c r="Q21" s="50"/>
      <c r="R21" s="15"/>
      <c r="S21" s="15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</row>
    <row r="22" spans="1:30" ht="16.5" customHeight="1">
      <c r="A22" s="104" t="s">
        <v>182</v>
      </c>
      <c r="B22" s="63">
        <f ca="1">B2</f>
        <v>7801000000</v>
      </c>
      <c r="C22" s="106"/>
      <c r="D22" s="106"/>
      <c r="E22" s="19"/>
      <c r="F22" s="104" t="s">
        <v>182</v>
      </c>
      <c r="G22" s="63">
        <f ca="1">IF(G20&gt;=G2,G20,G1)</f>
        <v>8400000000</v>
      </c>
      <c r="H22" s="106"/>
      <c r="I22" s="106"/>
      <c r="J22" s="19"/>
      <c r="K22" s="50" t="s">
        <v>81</v>
      </c>
      <c r="L22" s="63">
        <f ca="1">IF(L20&gt;=L2,L20,L1)</f>
        <v>8400000000</v>
      </c>
      <c r="M22" s="4"/>
      <c r="N22" s="4"/>
      <c r="O22" s="19"/>
      <c r="P22" s="50" t="s">
        <v>81</v>
      </c>
      <c r="Q22" s="63">
        <f ca="1">IF(Q20&gt;=Q2,Q20,Q1)</f>
        <v>8400000000</v>
      </c>
      <c r="R22" s="4">
        <f ca="1">R16*R21*R2/R1</f>
        <v>0</v>
      </c>
      <c r="S22" s="4" t="e">
        <f ca="1">S16*S21*S2/S1</f>
        <v>#DIV/0!</v>
      </c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</row>
    <row r="23" spans="1:30" s="114" customFormat="1" ht="16.5" customHeight="1">
      <c r="A23" s="102" t="s">
        <v>82</v>
      </c>
      <c r="B23" s="103">
        <f>B4</f>
        <v>1300000000</v>
      </c>
      <c r="C23" s="103"/>
      <c r="D23" s="103"/>
      <c r="E23" s="102"/>
      <c r="F23" s="102" t="s">
        <v>82</v>
      </c>
      <c r="G23" s="103">
        <f>G4</f>
        <v>1300000000</v>
      </c>
      <c r="H23" s="103"/>
      <c r="I23" s="103"/>
      <c r="J23" s="102"/>
      <c r="K23" s="102" t="s">
        <v>82</v>
      </c>
      <c r="L23" s="103">
        <f>L4</f>
        <v>1300000000</v>
      </c>
      <c r="M23" s="103"/>
      <c r="N23" s="103"/>
      <c r="O23" s="102"/>
      <c r="P23" s="102" t="s">
        <v>82</v>
      </c>
      <c r="Q23" s="103">
        <f>Q4</f>
        <v>1300000000</v>
      </c>
      <c r="R23" s="103">
        <f ca="1">R4*R2/R1</f>
        <v>0</v>
      </c>
      <c r="S23" s="103" t="e">
        <f ca="1">S4*S2/S1</f>
        <v>#DIV/0!</v>
      </c>
      <c r="T23" s="102"/>
      <c r="U23" s="113"/>
      <c r="V23" s="102"/>
      <c r="W23" s="102"/>
      <c r="X23" s="102"/>
      <c r="Y23" s="102"/>
      <c r="Z23" s="102"/>
      <c r="AA23" s="102"/>
      <c r="AB23" s="102"/>
      <c r="AC23" s="102"/>
      <c r="AD23" s="102"/>
    </row>
    <row r="24" spans="1:30" ht="16.5" customHeight="1">
      <c r="A24" s="19" t="s">
        <v>83</v>
      </c>
      <c r="B24" s="4">
        <f t="shared" ref="B24" ca="1" si="7">B22-B23</f>
        <v>6501000000</v>
      </c>
      <c r="C24" s="4"/>
      <c r="D24" s="4"/>
      <c r="E24" s="19"/>
      <c r="F24" s="19" t="s">
        <v>83</v>
      </c>
      <c r="G24" s="4">
        <f t="shared" ref="G24" ca="1" si="8">G22-G23</f>
        <v>7100000000</v>
      </c>
      <c r="H24" s="4"/>
      <c r="I24" s="4"/>
      <c r="J24" s="19"/>
      <c r="K24" s="19" t="s">
        <v>83</v>
      </c>
      <c r="L24" s="4">
        <f t="shared" ref="L24" ca="1" si="9">L22-L23</f>
        <v>7100000000</v>
      </c>
      <c r="M24" s="4"/>
      <c r="N24" s="4"/>
      <c r="O24" s="19"/>
      <c r="P24" s="19" t="s">
        <v>83</v>
      </c>
      <c r="Q24" s="4">
        <f t="shared" ref="Q24" ca="1" si="10">Q22-Q23</f>
        <v>7100000000</v>
      </c>
      <c r="R24" s="4">
        <f t="shared" ref="R24:S24" ca="1" si="11">R22-R23</f>
        <v>0</v>
      </c>
      <c r="S24" s="4" t="e">
        <f t="shared" ca="1" si="11"/>
        <v>#DIV/0!</v>
      </c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</row>
    <row r="25" spans="1:30" ht="16.5" customHeight="1">
      <c r="A25" s="26" t="s">
        <v>84</v>
      </c>
      <c r="B25" s="63">
        <f ca="1">IF(B10="1세대1주택",MAX(0,B24*(B22-1200000000)/B22),B24)</f>
        <v>5500974362.2612476</v>
      </c>
      <c r="C25" s="63"/>
      <c r="D25" s="63"/>
      <c r="E25" s="26"/>
      <c r="F25" s="26" t="s">
        <v>84</v>
      </c>
      <c r="G25" s="63">
        <f ca="1">IF(G10="1세대1주택",MAX(0,G24*(G22-1200000000)/G22),G24)</f>
        <v>6085714285.7142859</v>
      </c>
      <c r="H25" s="63"/>
      <c r="I25" s="63"/>
      <c r="J25" s="26"/>
      <c r="K25" s="26" t="s">
        <v>84</v>
      </c>
      <c r="L25" s="63">
        <f ca="1">IF(L10="1세대1주택",MAX(0,L24*(L22-1200000000)/L22),L24)</f>
        <v>6085714285.7142859</v>
      </c>
      <c r="M25" s="63"/>
      <c r="N25" s="63"/>
      <c r="O25" s="26"/>
      <c r="P25" s="26" t="s">
        <v>84</v>
      </c>
      <c r="Q25" s="63">
        <f ca="1">IF(Q10="1세대1주택",MAX(0,Q24*(Q22-1200000000)/Q22),Q24)</f>
        <v>6085714285.7142859</v>
      </c>
      <c r="R25" s="63">
        <f ca="1">IF(R10="1세대1주택",MAX(0,R24*(R21-1200000000)/R21),R24)</f>
        <v>0</v>
      </c>
      <c r="S25" s="63" t="e">
        <f ca="1">IF(S10="1세대1주택",MAX(0,S24*(S21-1200000000)/S21),S24)</f>
        <v>#DIV/0!</v>
      </c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</row>
    <row r="26" spans="1:30" ht="16.5" customHeight="1">
      <c r="A26" s="51" t="s">
        <v>85</v>
      </c>
      <c r="B26" s="52">
        <f>IF(B13&gt;=3,IF(AND(B10="1세대1주택",B14&gt;=2),MIN(40%,B13*4%)+MIN(40%,B14*4%),IF(B15="기본세율",MIN(30%,B13*2%),0)))</f>
        <v>0.60000000000000009</v>
      </c>
      <c r="C26" s="52"/>
      <c r="D26" s="52"/>
      <c r="E26" s="19"/>
      <c r="F26" s="51" t="s">
        <v>85</v>
      </c>
      <c r="G26" s="52">
        <f>IF(G13&gt;=3,IF(AND(G10="1세대1주택",G14&gt;=2),MIN(40%,G13*4%)+MIN(40%,G14*4%),IF(G15="기본세율",MIN(30%,G13*2%),0)))</f>
        <v>0.64</v>
      </c>
      <c r="H26" s="52"/>
      <c r="I26" s="52"/>
      <c r="J26" s="19"/>
      <c r="K26" s="51" t="s">
        <v>85</v>
      </c>
      <c r="L26" s="52">
        <f>IF(L13&gt;=3,IF(AND(L10="1세대1주택",L14&gt;=2),MIN(20%,L13*2%)+MIN(60%,L14*6%),IF(L15="기본세율",MIN(15%,L13*1%)+MIN(30%,L14*2%),0)))</f>
        <v>0.62</v>
      </c>
      <c r="M26" s="52"/>
      <c r="N26" s="52"/>
      <c r="O26" s="19"/>
      <c r="P26" s="51" t="s">
        <v>85</v>
      </c>
      <c r="Q26" s="52">
        <f>IF(Q13&gt;=3,IF(AND(Q10="1세대1주택",Q14&gt;=2),MIN(80%,Q14*8%),IF(Q15="기본세율",MIN(30%,Q14*2%),0)))</f>
        <v>0.64</v>
      </c>
      <c r="R26" s="52"/>
      <c r="S26" s="52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</row>
    <row r="27" spans="1:30" ht="16.5" customHeight="1" thickBot="1">
      <c r="A27" s="53" t="s">
        <v>87</v>
      </c>
      <c r="B27" s="54">
        <f t="shared" ref="B27" ca="1" si="12">B25*(1-B26)</f>
        <v>2200389744.9044986</v>
      </c>
      <c r="C27" s="54"/>
      <c r="D27" s="54"/>
      <c r="E27" s="19"/>
      <c r="F27" s="53" t="s">
        <v>87</v>
      </c>
      <c r="G27" s="54">
        <f t="shared" ref="G27" ca="1" si="13">G25*(1-G26)</f>
        <v>2190857142.8571429</v>
      </c>
      <c r="H27" s="54"/>
      <c r="I27" s="54"/>
      <c r="J27" s="19"/>
      <c r="K27" s="53" t="s">
        <v>87</v>
      </c>
      <c r="L27" s="54">
        <f ca="1">L25-MIN(L25*L26,L8)</f>
        <v>4085714285.7142859</v>
      </c>
      <c r="M27" s="54"/>
      <c r="N27" s="54"/>
      <c r="O27" s="19"/>
      <c r="P27" s="53" t="s">
        <v>87</v>
      </c>
      <c r="Q27" s="54">
        <f ca="1">Q25-MIN(Q25*Q26,Q8)</f>
        <v>5085714285.7142859</v>
      </c>
      <c r="R27" s="54"/>
      <c r="S27" s="54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</row>
    <row r="28" spans="1:30" ht="16.5" customHeight="1">
      <c r="A28" s="55" t="s">
        <v>89</v>
      </c>
      <c r="B28" s="56">
        <v>2500000</v>
      </c>
      <c r="C28" s="56"/>
      <c r="D28" s="56"/>
      <c r="E28" s="19"/>
      <c r="F28" s="55" t="s">
        <v>89</v>
      </c>
      <c r="G28" s="56">
        <f ca="1">IF(AND(G10="1세대1주택",G14&gt;=10,G22&lt;=3*10^9),25*10^6*IF($F$10="부부",IF(G18=TRUE,G16,1),G16),2500000)</f>
        <v>2500000</v>
      </c>
      <c r="H28" s="56"/>
      <c r="I28" s="56"/>
      <c r="J28" s="19"/>
      <c r="K28" s="55" t="s">
        <v>89</v>
      </c>
      <c r="L28" s="56">
        <f ca="1">IF(AND(L10="1세대1주택",L14&gt;=10,L22&lt;=3*10^9),25*10^6*IF($F$10="부부",IF(L18=TRUE,L16,1),L16),2500000)</f>
        <v>2500000</v>
      </c>
      <c r="M28" s="56"/>
      <c r="N28" s="56"/>
      <c r="O28" s="19"/>
      <c r="P28" s="55" t="s">
        <v>89</v>
      </c>
      <c r="Q28" s="56">
        <f ca="1">IF(AND(Q10="1세대1주택",Q14&gt;=10,Q22&lt;=3*10^9),25*10^6*IF($F$10="부부",IF(Q18=TRUE,Q16,1),Q16),2500000)</f>
        <v>2500000</v>
      </c>
      <c r="R28" s="56"/>
      <c r="S28" s="56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</row>
    <row r="29" spans="1:30" ht="16.5" customHeight="1" thickBot="1">
      <c r="A29" s="57" t="s">
        <v>62</v>
      </c>
      <c r="B29" s="58">
        <f t="shared" ref="B29" ca="1" si="14">B27-B28</f>
        <v>2197889744.9044986</v>
      </c>
      <c r="C29" s="58"/>
      <c r="D29" s="58"/>
      <c r="E29" s="19"/>
      <c r="F29" s="57" t="s">
        <v>62</v>
      </c>
      <c r="G29" s="58">
        <f t="shared" ref="G29" ca="1" si="15">G27-G28</f>
        <v>2188357142.8571429</v>
      </c>
      <c r="H29" s="58"/>
      <c r="I29" s="58"/>
      <c r="J29" s="19"/>
      <c r="K29" s="57" t="s">
        <v>62</v>
      </c>
      <c r="L29" s="58">
        <f t="shared" ref="L29" ca="1" si="16">L27-L28</f>
        <v>4083214285.7142859</v>
      </c>
      <c r="M29" s="36"/>
      <c r="N29" s="36"/>
      <c r="O29" s="19"/>
      <c r="P29" s="57" t="s">
        <v>62</v>
      </c>
      <c r="Q29" s="58">
        <f t="shared" ref="Q29" ca="1" si="17">Q27-Q28</f>
        <v>5083214285.7142859</v>
      </c>
      <c r="R29" s="36"/>
      <c r="S29" s="36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</row>
    <row r="30" spans="1:30" ht="16.5" customHeight="1">
      <c r="A30" s="51" t="s">
        <v>63</v>
      </c>
      <c r="B30" s="52">
        <f t="array" aca="1" ref="B30" ca="1">INDEX(t!$AB$3:$AJ$10,MIN(ROWS(t!$AB$3:$AB$10),IF(B29&lt;=t!$AB$3,1,MATCH(B29-1,t!$AB$3:$AB$10,1)+1)),MATCH(B15,{"기본세율","기본세율+10%","기본세율+20%","기본세율+30%"},0)*2)</f>
        <v>0.45</v>
      </c>
      <c r="C30" s="52"/>
      <c r="D30" s="52"/>
      <c r="E30" s="19"/>
      <c r="F30" s="51" t="s">
        <v>63</v>
      </c>
      <c r="G30" s="52">
        <f t="array" aca="1" ref="G30" ca="1">INDEX(t!$AB$3:$AJ$10,MIN(ROWS(t!$AB$3:$AB$10),IF(G29&lt;=t!$AB$3,1,MATCH(G29-1,t!$AB$3:$AB$10,1)+1)),MATCH(G15,{"기본세율","기본세율+10%","기본세율+20%","기본세율+30%"},0)*2)</f>
        <v>0.45</v>
      </c>
      <c r="H30" s="52"/>
      <c r="I30" s="52"/>
      <c r="J30" s="19"/>
      <c r="K30" s="51" t="s">
        <v>63</v>
      </c>
      <c r="L30" s="52">
        <f t="array" aca="1" ref="L30" ca="1">INDEX(t!$AB$3:$AJ$10,MIN(ROWS(t!$AB$3:$AB$10),IF(L29&lt;=t!$AB$3,1,MATCH(L29-1,t!$AB$3:$AB$10,1)+1)),MATCH(L15,{"기본세율","기본세율+10%","기본세율+20%","기본세율+30%"},0)*2)</f>
        <v>0.45</v>
      </c>
      <c r="M30" s="52"/>
      <c r="N30" s="52"/>
      <c r="O30" s="19"/>
      <c r="P30" s="51" t="s">
        <v>63</v>
      </c>
      <c r="Q30" s="52">
        <f t="array" aca="1" ref="Q30" ca="1">INDEX(t!$AB$3:$AJ$10,MIN(ROWS(t!$AB$3:$AB$10),IF(Q29&lt;=t!$AB$3,1,MATCH(Q29-1,t!$AB$3:$AB$10,1)+1)),MATCH(Q15,{"기본세율","기본세율+10%","기본세율+20%","기본세율+30%"},0)*2)</f>
        <v>0.45</v>
      </c>
      <c r="R30" s="52"/>
      <c r="S30" s="52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</row>
    <row r="31" spans="1:30" ht="16.5" customHeight="1" thickBot="1">
      <c r="A31" s="53" t="s">
        <v>64</v>
      </c>
      <c r="B31" s="54">
        <f ca="1">B29*B30-INDEX(t!$AB$3:$AJ$10,MIN(ROWS(t!$AB$3:$AB$10),IF(B29&lt;=t!$AB$3,1,MATCH(B29-1,t!$AB$3:$AB$10,1)+1)),MATCH(B$15,{"기본세율","기본세율+10%","기본세율+20%","기본세율+30%"},0)*2+1)</f>
        <v>923110385.20702434</v>
      </c>
      <c r="C31" s="54"/>
      <c r="D31" s="54"/>
      <c r="E31" s="19"/>
      <c r="F31" s="53" t="s">
        <v>64</v>
      </c>
      <c r="G31" s="54">
        <f ca="1">G29*G30-INDEX(t!$AB$3:$AJ$10,MIN(ROWS(t!$AB$3:$AB$10),IF(G29&lt;=t!$AB$3,1,MATCH(G29-1,t!$AB$3:$AB$10,1)+1)),MATCH(G$15,{"기본세율","기본세율+10%","기본세율+20%","기본세율+30%"},0)*2+1)</f>
        <v>918820714.28571439</v>
      </c>
      <c r="H31" s="54"/>
      <c r="I31" s="54"/>
      <c r="J31" s="19"/>
      <c r="K31" s="53" t="s">
        <v>64</v>
      </c>
      <c r="L31" s="54">
        <f ca="1">L29*L30-INDEX(t!$AB$3:$AJ$10,MIN(ROWS(t!$AB$3:$AB$10),IF(L29&lt;=t!$AB$3,1,MATCH(L29-1,t!$AB$3:$AB$10,1)+1)),MATCH(L$15,{"기본세율","기본세율+10%","기본세율+20%","기본세율+30%"},0)*2+1)</f>
        <v>1771506428.5714288</v>
      </c>
      <c r="M31" s="54"/>
      <c r="N31" s="54"/>
      <c r="O31" s="19"/>
      <c r="P31" s="53" t="s">
        <v>64</v>
      </c>
      <c r="Q31" s="54">
        <f ca="1">Q29*Q30-INDEX(t!$AB$3:$AJ$10,MIN(ROWS(t!$AB$3:$AB$10),IF(Q29&lt;=t!$AB$3,1,MATCH(Q29-1,t!$AB$3:$AB$10,1)+1)),MATCH(Q$15,{"기본세율","기본세율+10%","기본세율+20%","기본세율+30%"},0)*2+1)</f>
        <v>2221506428.5714288</v>
      </c>
      <c r="R31" s="54"/>
      <c r="S31" s="54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</row>
    <row r="32" spans="1:30" ht="16.5" customHeight="1">
      <c r="A32" s="19" t="s">
        <v>97</v>
      </c>
      <c r="B32" s="4">
        <f t="shared" ref="B32" ca="1" si="18">B31</f>
        <v>923110385.20702434</v>
      </c>
      <c r="C32" s="4"/>
      <c r="D32" s="4"/>
      <c r="E32" s="19"/>
      <c r="F32" s="19" t="s">
        <v>97</v>
      </c>
      <c r="G32" s="4">
        <f t="shared" ref="G32" ca="1" si="19">G31</f>
        <v>918820714.28571439</v>
      </c>
      <c r="H32" s="4"/>
      <c r="I32" s="4"/>
      <c r="J32" s="19"/>
      <c r="K32" s="19" t="s">
        <v>97</v>
      </c>
      <c r="L32" s="4">
        <f t="shared" ref="L32" ca="1" si="20">L31</f>
        <v>1771506428.5714288</v>
      </c>
      <c r="M32" s="4"/>
      <c r="N32" s="4"/>
      <c r="O32" s="19"/>
      <c r="P32" s="19" t="s">
        <v>97</v>
      </c>
      <c r="Q32" s="4">
        <f t="shared" ref="Q32" ca="1" si="21">Q31</f>
        <v>2221506428.5714288</v>
      </c>
      <c r="R32" s="4"/>
      <c r="S32" s="4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</row>
    <row r="33" spans="1:30" ht="16.5" customHeight="1">
      <c r="A33" s="51" t="s">
        <v>99</v>
      </c>
      <c r="B33" s="73">
        <f t="shared" ref="B33" ca="1" si="22">B32*0.1</f>
        <v>92311038.520702437</v>
      </c>
      <c r="C33" s="73"/>
      <c r="D33" s="73"/>
      <c r="F33" s="51" t="s">
        <v>99</v>
      </c>
      <c r="G33" s="73">
        <f t="shared" ref="G33" ca="1" si="23">G32*0.1</f>
        <v>91882071.428571448</v>
      </c>
      <c r="H33" s="73"/>
      <c r="I33" s="73"/>
      <c r="K33" s="51" t="s">
        <v>99</v>
      </c>
      <c r="L33" s="73">
        <f t="shared" ref="L33" ca="1" si="24">L32*0.1</f>
        <v>177150642.8571429</v>
      </c>
      <c r="M33" s="4"/>
      <c r="N33" s="4"/>
      <c r="P33" s="51" t="s">
        <v>99</v>
      </c>
      <c r="Q33" s="73">
        <f t="shared" ref="Q33" ca="1" si="25">Q32*0.1</f>
        <v>222150642.8571429</v>
      </c>
      <c r="R33" s="4"/>
      <c r="S33" s="4"/>
    </row>
    <row r="34" spans="1:30" ht="16.5" customHeight="1" thickBot="1">
      <c r="A34" s="74" t="s">
        <v>60</v>
      </c>
      <c r="B34" s="75">
        <f t="shared" ref="B34" ca="1" si="26">SUM(B32:B33)</f>
        <v>1015421423.7277268</v>
      </c>
      <c r="C34" s="75"/>
      <c r="D34" s="75"/>
      <c r="F34" s="74" t="s">
        <v>60</v>
      </c>
      <c r="G34" s="75">
        <f t="shared" ref="G34" ca="1" si="27">SUM(G32:G33)</f>
        <v>1010702785.7142859</v>
      </c>
      <c r="H34" s="75"/>
      <c r="I34" s="75"/>
      <c r="K34" s="74" t="s">
        <v>60</v>
      </c>
      <c r="L34" s="75">
        <f t="shared" ref="L34" ca="1" si="28">SUM(L32:L33)</f>
        <v>1948657071.4285717</v>
      </c>
      <c r="M34" s="75"/>
      <c r="N34" s="75"/>
      <c r="P34" s="74" t="s">
        <v>60</v>
      </c>
      <c r="Q34" s="75">
        <f t="shared" ref="Q34" ca="1" si="29">SUM(Q32:Q33)</f>
        <v>2443657071.4285717</v>
      </c>
      <c r="R34" s="75"/>
      <c r="S34" s="75"/>
    </row>
    <row r="35" spans="1:30" ht="16.5" customHeight="1" thickTop="1"/>
    <row r="36" spans="1:30" ht="16.5" customHeight="1">
      <c r="B36" s="7"/>
      <c r="C36" s="7"/>
      <c r="D36" s="7"/>
      <c r="H36" s="7"/>
      <c r="I36" s="7"/>
      <c r="M36" s="7"/>
      <c r="N36" s="7"/>
      <c r="R36" s="7"/>
      <c r="S36" s="7"/>
    </row>
    <row r="37" spans="1:30" ht="16.5" customHeight="1">
      <c r="A37" s="82" t="s">
        <v>185</v>
      </c>
      <c r="B37" s="108">
        <f ca="1">B41</f>
        <v>294000000</v>
      </c>
      <c r="C37" s="7"/>
      <c r="D37" s="7"/>
      <c r="E37" s="60"/>
      <c r="F37" s="82" t="s">
        <v>185</v>
      </c>
      <c r="G37" s="108">
        <f ca="1">G41</f>
        <v>294000000</v>
      </c>
      <c r="H37" s="7"/>
      <c r="I37" s="7"/>
      <c r="J37" s="5"/>
      <c r="K37" s="82" t="s">
        <v>185</v>
      </c>
      <c r="L37" s="108">
        <f ca="1">L41</f>
        <v>294000000</v>
      </c>
      <c r="M37" s="7"/>
      <c r="N37" s="7"/>
      <c r="O37" s="60"/>
      <c r="P37" s="82" t="s">
        <v>185</v>
      </c>
      <c r="Q37" s="108">
        <f ca="1">Q41</f>
        <v>294000000</v>
      </c>
      <c r="R37" s="7"/>
      <c r="S37" s="7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 ht="16.5" customHeight="1">
      <c r="A38" s="82"/>
      <c r="B38" s="4"/>
      <c r="C38" s="4"/>
      <c r="D38" s="4"/>
      <c r="F38" s="82"/>
      <c r="G38" s="4"/>
      <c r="H38" s="4"/>
      <c r="I38" s="4"/>
      <c r="K38" s="7"/>
      <c r="L38" s="7"/>
      <c r="M38" s="4"/>
      <c r="N38" s="4"/>
      <c r="P38" s="7"/>
      <c r="Q38" s="7"/>
      <c r="R38" s="4"/>
      <c r="S38" s="4"/>
    </row>
    <row r="39" spans="1:30" ht="16.5" customHeight="1">
      <c r="A39" s="3" t="s">
        <v>240</v>
      </c>
      <c r="B39" s="20"/>
      <c r="C39" s="20" t="str">
        <f t="array" aca="1" ref="C39" ca="1">INDEX(취득!$K$1:$K$8,MATCH(1,(취득!$I$1:$I$8=$B$11)*(취득!$J$1:$J$8=C$17),0))</f>
        <v>1.1~3.3%</v>
      </c>
      <c r="D39" s="20" t="str" cm="1">
        <f t="array" aca="1" ref="D39" ca="1">INDEX(취득!$K$1:$K$8,MATCH(1,(취득!$I$1:$I$8=$B$11)*(취득!$J$1:$J$8=D$17),0))</f>
        <v>1.1~3.3%</v>
      </c>
      <c r="F39" s="3" t="s">
        <v>32</v>
      </c>
      <c r="G39" s="20"/>
      <c r="H39" s="20" t="str" cm="1">
        <f t="array" aca="1" ref="H39" ca="1">INDEX(취득!$K$1:$K$8,MATCH(1,(취득!$I$1:$I$8=$G$11)*(취득!$J$1:$J$8=H$17),0))</f>
        <v>1.1~3.3%</v>
      </c>
      <c r="I39" s="20" t="str" cm="1">
        <f t="array" aca="1" ref="I39" ca="1">INDEX(취득!$K$1:$K$8,MATCH(1,(취득!$I$1:$I$8=$G$11)*(취득!$J$1:$J$8=I$17),0))</f>
        <v>1.1~3.3%</v>
      </c>
      <c r="K39" s="3" t="s">
        <v>32</v>
      </c>
      <c r="L39" s="3"/>
      <c r="M39" s="20" t="str" cm="1">
        <f t="array" aca="1" ref="M39" ca="1">INDEX(취득!$K$1:$K$8,MATCH(1,(취득!$I$1:$I$8=$L$11)*(취득!$J$1:$J$8=M$17),0))</f>
        <v>1.1~3.3%</v>
      </c>
      <c r="N39" s="20" t="str" cm="1">
        <f t="array" aca="1" ref="N39" ca="1">INDEX(취득!$K$1:$K$8,MATCH(1,(취득!$I$1:$I$8=$L$11)*(취득!$J$1:$J$8=N$17),0))</f>
        <v>1.1~3.3%</v>
      </c>
      <c r="P39" s="3" t="s">
        <v>32</v>
      </c>
      <c r="Q39" s="3"/>
      <c r="R39" s="20" t="str" cm="1">
        <f t="array" aca="1" ref="R39" ca="1">INDEX(취득!$K$1:$K$8,MATCH(1,(취득!$I$1:$I$8=$Q$11)*(취득!$J$1:$J$8=R$17),0))</f>
        <v>1.1~3.3%</v>
      </c>
      <c r="S39" s="20" t="str" cm="1">
        <f t="array" aca="1" ref="S39" ca="1">INDEX(취득!$K$1:$K$8,MATCH(1,(취득!$I$1:$I$8=$Q$11)*(취득!$J$1:$J$8=S$17),0))</f>
        <v>1.1~3.3%</v>
      </c>
    </row>
    <row r="40" spans="1:30" ht="16.5" customHeight="1">
      <c r="A40" s="3" t="s">
        <v>35</v>
      </c>
      <c r="B40" s="20"/>
      <c r="C40" s="20" cm="1">
        <f t="array" aca="1" ref="C40" ca="1">IF($B$12="85 초과",INDEX(취득!$L$1:$L$8,MATCH(1,(취득!$I$1:$I$8=$B$11)*(취득!$J$1:$J$8=C$17),0)),0)</f>
        <v>2E-3</v>
      </c>
      <c r="D40" s="20" cm="1">
        <f t="array" aca="1" ref="D40" ca="1">IF($B$12="85 초과",INDEX(취득!$L$1:$L$8,MATCH(1,(취득!$I$1:$I$8=$B$11)*(취득!$J$1:$J$8=D$17),0)),0)</f>
        <v>2E-3</v>
      </c>
      <c r="F40" s="3" t="s">
        <v>35</v>
      </c>
      <c r="G40" s="20"/>
      <c r="H40" s="20" cm="1">
        <f t="array" aca="1" ref="H40" ca="1">IF($B$12="85 초과",INDEX(취득!$L$1:$L$8,MATCH(1,(취득!$I$1:$I$8=$B$11)*(취득!$J$1:$J$8=H$17),0)),0)</f>
        <v>2E-3</v>
      </c>
      <c r="I40" s="20" cm="1">
        <f t="array" aca="1" ref="I40" ca="1">IF($B$12="85 초과",INDEX(취득!$L$1:$L$8,MATCH(1,(취득!$I$1:$I$8=$B$11)*(취득!$J$1:$J$8=I$17),0)),0)</f>
        <v>2E-3</v>
      </c>
      <c r="K40" s="3" t="s">
        <v>35</v>
      </c>
      <c r="L40" s="3"/>
      <c r="M40" s="20" cm="1">
        <f t="array" aca="1" ref="M40" ca="1">IF($L$12="85 초과",INDEX(취득!$L$1:$L$8,MATCH(1,(취득!$I$1:$I$8=$L$11)*(취득!$J$1:$J$8=M$17),0)),0)</f>
        <v>2E-3</v>
      </c>
      <c r="N40" s="20" cm="1">
        <f t="array" aca="1" ref="N40" ca="1">IF($L$12="85 초과",INDEX(취득!$L$1:$L$8,MATCH(1,(취득!$I$1:$I$8=$L$11)*(취득!$J$1:$J$8=N$17),0)),0)</f>
        <v>2E-3</v>
      </c>
      <c r="P40" s="3" t="s">
        <v>35</v>
      </c>
      <c r="Q40" s="3"/>
      <c r="R40" s="20" cm="1">
        <f t="array" aca="1" ref="R40" ca="1">IF($Q$12="85 초과",INDEX(취득!$L$1:$L$8,MATCH(1,(취득!$I$1:$I$8=$Q$11)*(취득!$J$1:$J$8=R$17),0)),0)</f>
        <v>2E-3</v>
      </c>
      <c r="S40" s="20" cm="1">
        <f t="array" aca="1" ref="S40" ca="1">IF($Q$12="85 초과",INDEX(취득!$L$1:$L$8,MATCH(1,(취득!$I$1:$I$8=$Q$11)*(취득!$J$1:$J$8=S$17),0)),0)</f>
        <v>2E-3</v>
      </c>
    </row>
    <row r="41" spans="1:30" ht="16.5" customHeight="1" thickBot="1">
      <c r="A41" s="37" t="s">
        <v>46</v>
      </c>
      <c r="B41" s="38">
        <f ca="1">SUM(C41:D41)</f>
        <v>294000000</v>
      </c>
      <c r="C41" s="156">
        <f ca="1">(IF(C39="1.1~3.3%",(IF(C$1&lt;=6*10^8,1%,IF(C$1&gt;9*10^8,3%,ROUND((C$1*2/300000000-3)/100,5)))*1.1),C39)+C40)*C$1</f>
        <v>294000000</v>
      </c>
      <c r="D41" s="156">
        <f ca="1">(IF(D39="1.1~3.3%",(IF(D$1&lt;=6*10^8,1%,IF(D$1&gt;9*10^8,3%,ROUND((D$1*2/300000000-3)/100,5)))*1.1),D39)+D40)*D$1</f>
        <v>0</v>
      </c>
      <c r="F41" s="37" t="s">
        <v>46</v>
      </c>
      <c r="G41" s="38">
        <f ca="1">SUM(H41:I41)</f>
        <v>294000000</v>
      </c>
      <c r="H41" s="156">
        <f ca="1">(IF(H39="1.1~3.3%",(IF(H$1&lt;=6*10^8,1%,IF(H$1&gt;9*10^8,3%,ROUND((H$1*2/300000000-3)/100,5)))*1.1),H39)+H40)*H$1</f>
        <v>294000000</v>
      </c>
      <c r="I41" s="156">
        <f ca="1">(IF(I39="1.1~3.3%",(IF(I$1&lt;=6*10^8,1%,IF(I$1&gt;9*10^8,3%,ROUND((I$1*2/300000000-3)/100,5)))*1.1),I39)+I40)*I$1</f>
        <v>0</v>
      </c>
      <c r="K41" s="37" t="s">
        <v>46</v>
      </c>
      <c r="L41" s="38">
        <f ca="1">SUM(M41:N41)</f>
        <v>294000000</v>
      </c>
      <c r="M41" s="156">
        <f ca="1">(IF(M39="1.1~3.3%",(IF(M$1&lt;=6*10^8,1%,IF(M$1&gt;9*10^8,3%,ROUND((M$1*2/300000000-3)/100,5)))*1.1),M39)+M40)*M$1</f>
        <v>294000000</v>
      </c>
      <c r="N41" s="156">
        <f ca="1">(IF(N39="1.1~3.3%",(IF(N$1&lt;=6*10^8,1%,IF(N$1&gt;9*10^8,3%,ROUND((N$1*2/300000000-3)/100,5)))*1.1),N39)+N40)*N$1</f>
        <v>0</v>
      </c>
      <c r="P41" s="37" t="s">
        <v>46</v>
      </c>
      <c r="Q41" s="38">
        <f ca="1">SUM(R41:S41)</f>
        <v>294000000</v>
      </c>
      <c r="R41" s="156">
        <f ca="1">(IF(R39="1.1~3.3%",(IF(R$1&lt;=6*10^8,1%,IF(R$1&gt;9*10^8,3%,ROUND((R$1*2/300000000-3)/100,5)))*1.1),R39)+R40)*R$1</f>
        <v>294000000</v>
      </c>
      <c r="S41" s="156">
        <f ca="1">(IF(S39="1.1~3.3%",(IF(S$1&lt;=6*10^8,1%,IF(S$1&gt;9*10^8,3%,ROUND((S$1*2/300000000-3)/100,5)))*1.1),S39)+S40)*S$1</f>
        <v>0</v>
      </c>
    </row>
    <row r="42" spans="1:30" ht="16.5" customHeight="1" thickTop="1">
      <c r="A42" s="39"/>
      <c r="B42" s="3"/>
      <c r="C42" s="15"/>
      <c r="D42" s="3"/>
      <c r="F42" s="39"/>
      <c r="G42" s="39"/>
      <c r="H42" s="15"/>
      <c r="I42" s="3"/>
      <c r="M42" s="15"/>
      <c r="N42" s="3"/>
      <c r="R42" s="15"/>
      <c r="S42" s="3"/>
    </row>
    <row r="43" spans="1:30" ht="16.5" customHeight="1">
      <c r="A43" s="3"/>
      <c r="B43" s="3"/>
      <c r="C43" s="3"/>
      <c r="D43" s="3"/>
      <c r="F43" s="3"/>
      <c r="G43" s="3"/>
      <c r="H43" s="3"/>
      <c r="I43" s="3"/>
      <c r="K43" s="3"/>
      <c r="L43" s="3"/>
      <c r="M43" s="3"/>
      <c r="N43" s="3"/>
      <c r="P43" s="3"/>
      <c r="Q43" s="3"/>
      <c r="R43" s="3"/>
      <c r="S43" s="3"/>
    </row>
    <row r="44" spans="1:30" ht="16.5" customHeight="1"/>
    <row r="45" spans="1:30" ht="16.5" customHeight="1"/>
    <row r="46" spans="1:30" ht="16.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</row>
    <row r="47" spans="1:30" ht="16.5" customHeight="1"/>
    <row r="48" spans="1:30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</sheetData>
  <phoneticPr fontId="15" type="noConversion"/>
  <conditionalFormatting sqref="B11:B14">
    <cfRule type="cellIs" dxfId="7" priority="5" operator="lessThan">
      <formula>1</formula>
    </cfRule>
    <cfRule type="cellIs" dxfId="6" priority="6" operator="lessThan">
      <formula>2</formula>
    </cfRule>
  </conditionalFormatting>
  <conditionalFormatting sqref="G13:G14">
    <cfRule type="cellIs" dxfId="5" priority="11" operator="lessThan">
      <formula>1</formula>
    </cfRule>
    <cfRule type="cellIs" dxfId="4" priority="12" operator="lessThan">
      <formula>2</formula>
    </cfRule>
  </conditionalFormatting>
  <conditionalFormatting sqref="L13:L14">
    <cfRule type="cellIs" dxfId="3" priority="3" operator="lessThan">
      <formula>1</formula>
    </cfRule>
    <cfRule type="cellIs" dxfId="2" priority="4" operator="lessThan">
      <formula>2</formula>
    </cfRule>
  </conditionalFormatting>
  <conditionalFormatting sqref="Q13:Q14">
    <cfRule type="cellIs" dxfId="1" priority="1" operator="lessThan">
      <formula>1</formula>
    </cfRule>
    <cfRule type="cellIs" dxfId="0" priority="2" operator="lessThan">
      <formula>2</formula>
    </cfRule>
  </conditionalFormatting>
  <dataValidations disablePrompts="1" count="5">
    <dataValidation type="list" allowBlank="1" showErrorMessage="1" sqref="K10 F10 P10" xr:uid="{238BF137-E61E-42F0-9069-A5A2712A4D0A}">
      <formula1>"부부"</formula1>
    </dataValidation>
    <dataValidation type="list" allowBlank="1" showErrorMessage="1" sqref="G10 B10 L10 Q10" xr:uid="{660B1BA2-164B-4EBF-A08A-C8750EEBD411}">
      <formula1>"1세대1주택,주택,2주택,3주택,토지,비사토"</formula1>
    </dataValidation>
    <dataValidation type="list" allowBlank="1" showErrorMessage="1" sqref="G18:I18 Q18 L18" xr:uid="{831F688E-68B4-4416-9593-7A8481D58B36}">
      <formula1>"TRUE"</formula1>
    </dataValidation>
    <dataValidation type="list" allowBlank="1" showInputMessage="1" showErrorMessage="1" sqref="M10:N10 R10:S10 H10:I10" xr:uid="{720178E2-F4F3-483D-9F62-D6FB36B2C69F}">
      <formula1>"특수관계"</formula1>
    </dataValidation>
    <dataValidation allowBlank="1" showErrorMessage="1" sqref="Q12:R12 G12:H12 L12:M12" xr:uid="{80FA308E-3CC2-4527-8C53-ABBB6138E2A6}"/>
  </dataValidations>
  <pageMargins left="0.25" right="0.25" top="0.75" bottom="0.75" header="0" footer="0"/>
  <pageSetup paperSize="9" orientation="landscape"/>
  <headerFooter>
    <oddFooter>&amp;C&amp;P/</oddFooter>
  </headerFooter>
  <rowBreaks count="1" manualBreakCount="1">
    <brk id="45" man="1"/>
  </rowBreak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ErrorMessage="1" xr:uid="{D1B2785B-15DA-404E-BE1C-EE510B867F5C}">
          <x14:formula1>
            <xm:f>t!$AR$2:$AR$5</xm:f>
          </x14:formula1>
          <xm:sqref>C10:D10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-0.499984740745262"/>
  </sheetPr>
  <dimension ref="A1:Z998"/>
  <sheetViews>
    <sheetView workbookViewId="0"/>
  </sheetViews>
  <sheetFormatPr defaultColWidth="14.42578125" defaultRowHeight="15" customHeight="1"/>
  <cols>
    <col min="1" max="1" width="15.42578125" customWidth="1"/>
    <col min="2" max="2" width="18.140625" style="127" bestFit="1" customWidth="1"/>
    <col min="3" max="3" width="16.7109375" style="127" bestFit="1" customWidth="1"/>
    <col min="4" max="4" width="13.85546875" style="127" bestFit="1" customWidth="1"/>
    <col min="5" max="5" width="16.7109375" style="127" bestFit="1" customWidth="1"/>
    <col min="6" max="7" width="13.85546875" style="127" bestFit="1" customWidth="1"/>
    <col min="8" max="8" width="12.5703125" style="127" bestFit="1" customWidth="1"/>
    <col min="9" max="9" width="13.7109375" style="127" bestFit="1" customWidth="1"/>
    <col min="10" max="10" width="35.7109375" bestFit="1" customWidth="1"/>
    <col min="11" max="26" width="8.7109375" customWidth="1"/>
  </cols>
  <sheetData>
    <row r="1" spans="1:3" ht="16.5" customHeight="1">
      <c r="A1" s="3"/>
      <c r="B1" s="3"/>
    </row>
    <row r="2" spans="1:3" ht="16.5" customHeight="1">
      <c r="A2" s="3"/>
      <c r="B2" s="3"/>
    </row>
    <row r="3" spans="1:3" ht="16.5" customHeight="1">
      <c r="A3" s="3" t="s">
        <v>109</v>
      </c>
      <c r="B3" s="15">
        <f>기초!B17</f>
        <v>14850000000</v>
      </c>
    </row>
    <row r="4" spans="1:3" ht="16.5" customHeight="1">
      <c r="A4" s="3" t="s">
        <v>30</v>
      </c>
      <c r="B4" s="15">
        <f>SUM(기초!S:S)</f>
        <v>3000000000</v>
      </c>
      <c r="C4" s="15"/>
    </row>
    <row r="5" spans="1:3" ht="16.5" customHeight="1">
      <c r="A5" s="30" t="s">
        <v>112</v>
      </c>
      <c r="B5" s="23">
        <f>기초!J17</f>
        <v>900000000</v>
      </c>
    </row>
    <row r="6" spans="1:3" ht="16.5" customHeight="1">
      <c r="A6" s="31" t="s">
        <v>60</v>
      </c>
      <c r="B6" s="172">
        <f>B3+B4-B5</f>
        <v>16950000000</v>
      </c>
    </row>
    <row r="7" spans="1:3" ht="16.5" customHeight="1">
      <c r="A7" s="19" t="s">
        <v>122</v>
      </c>
      <c r="B7" s="15">
        <f>IF(COUNTIF(기초!$B:$B, "배우자")=0, 0, MAX(500000000, MIN(B6 * 기초!$B$25/ SUMIFS(기초!$B:$B,기초!$A:$A,"상속지분"), 3000000000)))</f>
        <v>3000000000</v>
      </c>
    </row>
    <row r="8" spans="1:3" ht="16.5" customHeight="1">
      <c r="A8" s="19" t="s">
        <v>133</v>
      </c>
      <c r="B8" s="15">
        <f>IF(COUNTIF(기초!$B:$B,"직계존비속")&gt;0,500000000)</f>
        <v>500000000</v>
      </c>
    </row>
    <row r="9" spans="1:3" ht="16.5" customHeight="1">
      <c r="A9" s="19" t="s">
        <v>126</v>
      </c>
      <c r="B9" s="15">
        <f>IF(기초!J17&lt;=20000000,기초!J17,IF(기초!J17&lt;=100000000,20000000,IF(기초!J17&lt;=10^9,기초!J17*20%,2*10^8)))</f>
        <v>180000000</v>
      </c>
    </row>
    <row r="10" spans="1:3" ht="16.5" customHeight="1">
      <c r="A10" s="51" t="s">
        <v>139</v>
      </c>
      <c r="B10" s="15">
        <f>IF(COUNTIF(기초!$B:$B,"동거")&gt;0,600000000)</f>
        <v>600000000</v>
      </c>
    </row>
    <row r="11" spans="1:3" ht="16.5" customHeight="1">
      <c r="A11" s="35" t="s">
        <v>62</v>
      </c>
      <c r="B11" s="36">
        <f>B6-SUM(B7:B10)</f>
        <v>12670000000</v>
      </c>
    </row>
    <row r="12" spans="1:3" ht="16.5" customHeight="1">
      <c r="A12" s="3" t="s">
        <v>63</v>
      </c>
      <c r="B12" s="17">
        <f t="array" ref="B12">INDEX(t!$AW$3:$AW$7,MATCH(TRUE,B11&lt;=t!$AV$3:$AV$7,0))</f>
        <v>0.5</v>
      </c>
    </row>
    <row r="13" spans="1:3" ht="16.5" customHeight="1">
      <c r="A13" s="3" t="s">
        <v>64</v>
      </c>
      <c r="B13" s="15">
        <f>B11*B12-VLOOKUP(B12,t!$AW$3:$AX$7,2,0)</f>
        <v>5875000000</v>
      </c>
    </row>
    <row r="14" spans="1:3" ht="16.5" customHeight="1">
      <c r="A14" s="30" t="s">
        <v>65</v>
      </c>
      <c r="B14" s="23">
        <f>SUM(기초!T:T)</f>
        <v>0</v>
      </c>
    </row>
    <row r="15" spans="1:3" ht="16.5" customHeight="1">
      <c r="A15" s="37" t="s">
        <v>46</v>
      </c>
      <c r="B15" s="38">
        <f>B13-B14</f>
        <v>5875000000</v>
      </c>
    </row>
    <row r="16" spans="1:3" ht="16.5" customHeight="1">
      <c r="A16" s="3"/>
      <c r="B16" s="17"/>
    </row>
    <row r="17" spans="1:26" ht="16.5" customHeight="1">
      <c r="A17" s="39"/>
      <c r="B17" s="15"/>
    </row>
    <row r="18" spans="1:26" ht="16.5" customHeight="1">
      <c r="A18" s="3"/>
    </row>
    <row r="19" spans="1:26" ht="16.5" customHeight="1">
      <c r="A19" s="119"/>
      <c r="B19" s="146" t="s">
        <v>296</v>
      </c>
      <c r="C19" s="119" t="s">
        <v>8</v>
      </c>
      <c r="D19" s="119" t="s">
        <v>9</v>
      </c>
      <c r="E19" s="119" t="s">
        <v>11</v>
      </c>
      <c r="F19" s="119" t="s">
        <v>12</v>
      </c>
      <c r="G19" s="119" t="s">
        <v>13</v>
      </c>
      <c r="H19" s="119" t="s">
        <v>15</v>
      </c>
      <c r="I19" s="119" t="s">
        <v>17</v>
      </c>
      <c r="J19" s="173" t="s">
        <v>10</v>
      </c>
    </row>
    <row r="20" spans="1:26" ht="16.5" customHeight="1">
      <c r="A20" s="146" t="s">
        <v>226</v>
      </c>
      <c r="B20" s="166"/>
      <c r="C20" s="132" t="str">
        <f>HLOOKUP(C$19,기초!$C$5:$I$16,MATCH($A20,기초!$A$5:$A$16,0),0)</f>
        <v>조정대상지역</v>
      </c>
      <c r="D20" s="132" t="str">
        <f>HLOOKUP(D$19,기초!$C$5:$I$16,MATCH($A20,기초!$A$5:$A$16,0),0)</f>
        <v>조정대상지역</v>
      </c>
      <c r="E20" s="132" t="str">
        <f>HLOOKUP(E$19,기초!$C$5:$I$16,MATCH($A20,기초!$A$5:$A$16,0),0)</f>
        <v>일반지역</v>
      </c>
      <c r="F20" s="132" t="str">
        <f>HLOOKUP(F$19,기초!$C$5:$I$16,MATCH($A20,기초!$A$5:$A$16,0),0)</f>
        <v>일반지역</v>
      </c>
      <c r="G20" s="132">
        <f>HLOOKUP(G$19,기초!$C$5:$I$16,MATCH($A20,기초!$A$5:$A$16,0),0)</f>
        <v>0</v>
      </c>
      <c r="H20" s="132">
        <f>HLOOKUP(H$19,기초!$C$5:$I$16,MATCH($A20,기초!$A$5:$A$16,0),0)</f>
        <v>0</v>
      </c>
      <c r="I20" s="132">
        <f>HLOOKUP(I$19,기초!$C$5:$I$16,MATCH($A20,기초!$A$5:$A$16,0),0)</f>
        <v>0</v>
      </c>
    </row>
    <row r="21" spans="1:26" ht="16.5" customHeight="1">
      <c r="A21" s="119" t="s">
        <v>39</v>
      </c>
      <c r="B21" s="166"/>
      <c r="C21" s="132">
        <f>HLOOKUP(C$19,기초!$C$5:$I$16,MATCH($A21,기초!$A$5:$A$16,0),0)</f>
        <v>4632000000</v>
      </c>
      <c r="D21" s="132">
        <f>HLOOKUP(D$19,기초!$C$5:$I$16,MATCH($A21,기초!$A$5:$A$16,0),0)</f>
        <v>2000000000</v>
      </c>
      <c r="E21" s="132">
        <f>HLOOKUP(E$19,기초!$C$5:$I$16,MATCH($A21,기초!$A$5:$A$16,0),0)</f>
        <v>700000000</v>
      </c>
      <c r="F21" s="132">
        <f>HLOOKUP(F$19,기초!$C$5:$I$16,MATCH($A21,기초!$A$5:$A$16,0),0)</f>
        <v>400000000</v>
      </c>
      <c r="G21" s="132">
        <f>HLOOKUP(G$19,기초!$C$5:$I$16,MATCH($A21,기초!$A$5:$A$16,0),0)</f>
        <v>300000000</v>
      </c>
      <c r="H21" s="132">
        <f>HLOOKUP(H$19,기초!$C$5:$I$16,MATCH($A21,기초!$A$5:$A$16,0),0)</f>
        <v>0</v>
      </c>
      <c r="I21" s="132">
        <f>HLOOKUP(I$19,기초!$C$5:$I$16,MATCH($A21,기초!$A$5:$A$16,0),0)</f>
        <v>0</v>
      </c>
    </row>
    <row r="22" spans="1:26" ht="16.5" customHeight="1">
      <c r="A22" s="119" t="s">
        <v>184</v>
      </c>
      <c r="B22" s="166"/>
      <c r="C22" s="132" t="str">
        <f>HLOOKUP(C$19,기초!$C$5:$I$16,MATCH($A22,기초!$A$5:$A$16,0),0)</f>
        <v>85 초과</v>
      </c>
      <c r="D22" s="132" t="str">
        <f>HLOOKUP(D$19,기초!$C$5:$I$16,MATCH($A22,기초!$A$5:$A$16,0),0)</f>
        <v>국평</v>
      </c>
      <c r="E22" s="132" t="str">
        <f>HLOOKUP(E$19,기초!$C$5:$I$16,MATCH($A22,기초!$A$5:$A$16,0),0)</f>
        <v>국평</v>
      </c>
      <c r="F22" s="132" t="str">
        <f>HLOOKUP(F$19,기초!$C$5:$I$16,MATCH($A22,기초!$A$5:$A$16,0),0)</f>
        <v>국평</v>
      </c>
      <c r="G22" s="132">
        <f>HLOOKUP(G$19,기초!$C$5:$I$16,MATCH($A22,기초!$A$5:$A$16,0),0)</f>
        <v>0</v>
      </c>
      <c r="H22" s="132">
        <f>HLOOKUP(H$19,기초!$C$5:$I$16,MATCH($A22,기초!$A$5:$A$16,0),0)</f>
        <v>0</v>
      </c>
      <c r="I22" s="132">
        <f>HLOOKUP(I$19,기초!$C$5:$I$16,MATCH($A22,기초!$A$5:$A$16,0),0)</f>
        <v>0</v>
      </c>
    </row>
    <row r="23" spans="1:26" ht="16.5" customHeight="1" thickBot="1">
      <c r="A23" s="168" t="s">
        <v>230</v>
      </c>
      <c r="B23" s="168"/>
      <c r="C23" s="171">
        <f t="shared" ref="C23:I23" si="0">IF(C22="85 초과",3.16%,IF(C22="농지",2.56%,2.96%))</f>
        <v>3.1600000000000003E-2</v>
      </c>
      <c r="D23" s="171">
        <f t="shared" si="0"/>
        <v>2.9600000000000001E-2</v>
      </c>
      <c r="E23" s="171">
        <f t="shared" si="0"/>
        <v>2.9600000000000001E-2</v>
      </c>
      <c r="F23" s="171">
        <f t="shared" si="0"/>
        <v>2.9600000000000001E-2</v>
      </c>
      <c r="G23" s="171">
        <f t="shared" si="0"/>
        <v>2.9600000000000001E-2</v>
      </c>
      <c r="H23" s="171">
        <f t="shared" si="0"/>
        <v>2.9600000000000001E-2</v>
      </c>
      <c r="I23" s="171">
        <f t="shared" si="0"/>
        <v>2.9600000000000001E-2</v>
      </c>
      <c r="J23" s="174" t="s">
        <v>244</v>
      </c>
    </row>
    <row r="24" spans="1:26" ht="16.5" customHeight="1" thickTop="1">
      <c r="A24" s="169" t="s">
        <v>46</v>
      </c>
      <c r="B24" s="170">
        <f>SUM(C24:I24)</f>
        <v>247011200</v>
      </c>
      <c r="C24" s="170">
        <f t="shared" ref="C24:I24" si="1">C21*C23</f>
        <v>146371200</v>
      </c>
      <c r="D24" s="170">
        <f t="shared" si="1"/>
        <v>59200000</v>
      </c>
      <c r="E24" s="170">
        <f t="shared" si="1"/>
        <v>20720000</v>
      </c>
      <c r="F24" s="170">
        <f t="shared" si="1"/>
        <v>11840000</v>
      </c>
      <c r="G24" s="170">
        <f t="shared" si="1"/>
        <v>8880000</v>
      </c>
      <c r="H24" s="170">
        <f t="shared" si="1"/>
        <v>0</v>
      </c>
      <c r="I24" s="170">
        <f t="shared" si="1"/>
        <v>0</v>
      </c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6.5" customHeight="1">
      <c r="A25" s="3"/>
      <c r="B25" s="3"/>
      <c r="C25" s="3"/>
      <c r="D25" s="3"/>
      <c r="E25" s="3"/>
      <c r="F25" s="3"/>
      <c r="G25" s="3"/>
      <c r="H25" s="3"/>
      <c r="I25" s="3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6.5" customHeight="1">
      <c r="A26" s="40" t="s">
        <v>60</v>
      </c>
      <c r="B26" s="41">
        <f>B15+B24</f>
        <v>6122011200</v>
      </c>
    </row>
    <row r="27" spans="1:26" ht="16.5" customHeight="1">
      <c r="A27" s="3"/>
      <c r="B27" s="3"/>
    </row>
    <row r="28" spans="1:26" ht="16.5" customHeight="1">
      <c r="A28" s="3"/>
      <c r="B28" s="3"/>
    </row>
    <row r="29" spans="1:26" ht="16.5" customHeight="1">
      <c r="A29" s="3"/>
      <c r="B29" s="3"/>
      <c r="C29" s="42"/>
      <c r="D29" s="42"/>
      <c r="E29" s="42"/>
      <c r="F29" s="42"/>
      <c r="G29" s="42"/>
      <c r="H29" s="42"/>
      <c r="I29" s="42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6.5" customHeight="1">
      <c r="A30" s="3"/>
      <c r="B30" s="3"/>
    </row>
    <row r="31" spans="1:26" ht="16.5" customHeight="1">
      <c r="A31" s="3"/>
      <c r="B31" s="3"/>
    </row>
    <row r="32" spans="1:26" ht="16.5" customHeight="1">
      <c r="A32" s="3"/>
      <c r="B32" s="3"/>
    </row>
    <row r="33" spans="1:26" ht="16.5" customHeight="1">
      <c r="A33" s="42"/>
      <c r="B33" s="42"/>
    </row>
    <row r="34" spans="1:26" ht="16.5" customHeight="1">
      <c r="A34" s="3"/>
      <c r="B34" s="3"/>
    </row>
    <row r="35" spans="1:26" ht="16.5" customHeight="1">
      <c r="A35" s="3"/>
      <c r="B35" s="3"/>
    </row>
    <row r="36" spans="1:26" ht="16.5" customHeight="1">
      <c r="A36" s="3"/>
      <c r="B36" s="3"/>
    </row>
    <row r="37" spans="1:26" ht="16.5" customHeight="1">
      <c r="A37" s="3"/>
      <c r="B37" s="3"/>
      <c r="C37" s="3"/>
      <c r="D37" s="3"/>
      <c r="E37" s="3"/>
      <c r="F37" s="3"/>
      <c r="G37" s="3"/>
      <c r="H37" s="3"/>
      <c r="I37" s="3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6.5" customHeight="1">
      <c r="A38" s="3"/>
      <c r="B38" s="3"/>
    </row>
    <row r="39" spans="1:26" ht="16.5" customHeight="1">
      <c r="A39" s="3"/>
      <c r="B39" s="3"/>
    </row>
    <row r="40" spans="1:26" ht="16.5" customHeight="1">
      <c r="A40" s="3"/>
      <c r="B40" s="3"/>
    </row>
    <row r="41" spans="1:26" ht="16.5" customHeight="1">
      <c r="A41" s="3"/>
      <c r="B41" s="3"/>
    </row>
    <row r="42" spans="1:26" ht="16.5" customHeight="1">
      <c r="A42" s="3"/>
      <c r="B42" s="3"/>
    </row>
    <row r="43" spans="1:26" ht="16.5" customHeight="1">
      <c r="A43" s="3"/>
      <c r="B43" s="3"/>
    </row>
    <row r="44" spans="1:26" ht="16.5" customHeight="1">
      <c r="A44" s="3"/>
      <c r="B44" s="3"/>
    </row>
    <row r="45" spans="1:26" ht="16.5" customHeight="1">
      <c r="A45" s="3"/>
      <c r="B45" s="3"/>
    </row>
    <row r="46" spans="1:26" ht="16.5" customHeight="1">
      <c r="A46" s="3"/>
      <c r="B46" s="3"/>
    </row>
    <row r="47" spans="1:26" ht="16.5" customHeight="1">
      <c r="A47" s="3"/>
      <c r="B47" s="3"/>
    </row>
    <row r="48" spans="1:26" ht="16.5" customHeight="1">
      <c r="A48" s="3"/>
      <c r="B48" s="3"/>
    </row>
    <row r="49" spans="1:2" ht="16.5" customHeight="1">
      <c r="A49" s="3"/>
      <c r="B49" s="3"/>
    </row>
    <row r="50" spans="1:2" ht="16.5" customHeight="1">
      <c r="A50" s="3"/>
      <c r="B50" s="3"/>
    </row>
    <row r="51" spans="1:2" ht="16.5" customHeight="1">
      <c r="A51" s="3"/>
      <c r="B51" s="3"/>
    </row>
    <row r="52" spans="1:2" ht="16.5" customHeight="1">
      <c r="A52" s="3"/>
      <c r="B52" s="3"/>
    </row>
    <row r="53" spans="1:2" ht="16.5" customHeight="1">
      <c r="A53" s="3"/>
      <c r="B53" s="3"/>
    </row>
    <row r="54" spans="1:2" ht="16.5" customHeight="1">
      <c r="A54" s="3"/>
      <c r="B54" s="3"/>
    </row>
    <row r="55" spans="1:2" ht="16.5" customHeight="1">
      <c r="A55" s="3"/>
      <c r="B55" s="3"/>
    </row>
    <row r="56" spans="1:2" ht="16.5" customHeight="1">
      <c r="A56" s="3"/>
      <c r="B56" s="3"/>
    </row>
    <row r="57" spans="1:2" ht="16.5" customHeight="1">
      <c r="A57" s="3"/>
      <c r="B57" s="3"/>
    </row>
    <row r="58" spans="1:2" ht="16.5" customHeight="1">
      <c r="A58" s="3"/>
      <c r="B58" s="3"/>
    </row>
    <row r="59" spans="1:2" ht="16.5" customHeight="1">
      <c r="A59" s="3"/>
      <c r="B59" s="3"/>
    </row>
    <row r="60" spans="1:2" ht="16.5" customHeight="1">
      <c r="A60" s="3"/>
      <c r="B60" s="3"/>
    </row>
    <row r="61" spans="1:2" ht="16.5" customHeight="1">
      <c r="A61" s="3"/>
      <c r="B61" s="3"/>
    </row>
    <row r="62" spans="1:2" ht="16.5" customHeight="1">
      <c r="A62" s="3"/>
      <c r="B62" s="3"/>
    </row>
    <row r="63" spans="1:2" ht="16.5" customHeight="1">
      <c r="A63" s="3"/>
      <c r="B63" s="3"/>
    </row>
    <row r="64" spans="1:2" ht="16.5" customHeight="1">
      <c r="A64" s="3"/>
      <c r="B64" s="3"/>
    </row>
    <row r="65" spans="1:2" ht="16.5" customHeight="1">
      <c r="A65" s="3"/>
      <c r="B65" s="3"/>
    </row>
    <row r="66" spans="1:2" ht="16.5" customHeight="1">
      <c r="A66" s="3"/>
      <c r="B66" s="3"/>
    </row>
    <row r="67" spans="1:2" ht="16.5" customHeight="1">
      <c r="A67" s="3"/>
      <c r="B67" s="3"/>
    </row>
    <row r="68" spans="1:2" ht="16.5" customHeight="1">
      <c r="A68" s="3"/>
      <c r="B68" s="3"/>
    </row>
    <row r="69" spans="1:2" ht="16.5" customHeight="1">
      <c r="A69" s="3"/>
      <c r="B69" s="3"/>
    </row>
    <row r="70" spans="1:2" ht="16.5" customHeight="1">
      <c r="A70" s="3"/>
      <c r="B70" s="3"/>
    </row>
    <row r="71" spans="1:2" ht="16.5" customHeight="1">
      <c r="A71" s="3"/>
      <c r="B71" s="3"/>
    </row>
    <row r="72" spans="1:2" ht="16.5" customHeight="1">
      <c r="A72" s="3"/>
      <c r="B72" s="3"/>
    </row>
    <row r="73" spans="1:2" ht="16.5" customHeight="1">
      <c r="A73" s="3"/>
      <c r="B73" s="3"/>
    </row>
    <row r="74" spans="1:2" ht="16.5" customHeight="1">
      <c r="A74" s="3"/>
      <c r="B74" s="3"/>
    </row>
    <row r="75" spans="1:2" ht="16.5" customHeight="1">
      <c r="A75" s="3"/>
      <c r="B75" s="3"/>
    </row>
    <row r="76" spans="1:2" ht="16.5" customHeight="1">
      <c r="A76" s="3"/>
      <c r="B76" s="3"/>
    </row>
    <row r="77" spans="1:2" ht="16.5" customHeight="1">
      <c r="A77" s="3"/>
      <c r="B77" s="3"/>
    </row>
    <row r="78" spans="1:2" ht="16.5" customHeight="1">
      <c r="A78" s="3"/>
      <c r="B78" s="3"/>
    </row>
    <row r="79" spans="1:2" ht="16.5" customHeight="1">
      <c r="A79" s="3"/>
      <c r="B79" s="3"/>
    </row>
    <row r="80" spans="1:2" ht="16.5" customHeight="1">
      <c r="A80" s="3"/>
      <c r="B80" s="3"/>
    </row>
    <row r="81" spans="1:2" ht="16.5" customHeight="1">
      <c r="A81" s="3"/>
      <c r="B81" s="3"/>
    </row>
    <row r="82" spans="1:2" ht="16.5" customHeight="1">
      <c r="A82" s="3"/>
      <c r="B82" s="3"/>
    </row>
    <row r="83" spans="1:2" ht="16.5" customHeight="1">
      <c r="A83" s="3"/>
      <c r="B83" s="3"/>
    </row>
    <row r="84" spans="1:2" ht="16.5" customHeight="1">
      <c r="A84" s="3"/>
      <c r="B84" s="3"/>
    </row>
    <row r="85" spans="1:2" ht="16.5" customHeight="1">
      <c r="A85" s="3"/>
      <c r="B85" s="3"/>
    </row>
    <row r="86" spans="1:2" ht="16.5" customHeight="1">
      <c r="A86" s="3"/>
      <c r="B86" s="3"/>
    </row>
    <row r="87" spans="1:2" ht="16.5" customHeight="1">
      <c r="A87" s="3"/>
      <c r="B87" s="3"/>
    </row>
    <row r="88" spans="1:2" ht="16.5" customHeight="1">
      <c r="A88" s="3"/>
      <c r="B88" s="3"/>
    </row>
    <row r="89" spans="1:2" ht="16.5" customHeight="1">
      <c r="A89" s="3"/>
      <c r="B89" s="3"/>
    </row>
    <row r="90" spans="1:2" ht="16.5" customHeight="1">
      <c r="A90" s="3"/>
      <c r="B90" s="3"/>
    </row>
    <row r="91" spans="1:2" ht="16.5" customHeight="1">
      <c r="A91" s="3"/>
      <c r="B91" s="3"/>
    </row>
    <row r="92" spans="1:2" ht="16.5" customHeight="1">
      <c r="A92" s="3"/>
      <c r="B92" s="3"/>
    </row>
    <row r="93" spans="1:2" ht="16.5" customHeight="1">
      <c r="A93" s="3"/>
      <c r="B93" s="3"/>
    </row>
    <row r="94" spans="1:2" ht="16.5" customHeight="1">
      <c r="A94" s="3"/>
      <c r="B94" s="3"/>
    </row>
    <row r="95" spans="1:2" ht="16.5" customHeight="1">
      <c r="A95" s="3"/>
      <c r="B95" s="3"/>
    </row>
    <row r="96" spans="1:2" ht="16.5" customHeight="1">
      <c r="A96" s="3"/>
      <c r="B96" s="3"/>
    </row>
    <row r="97" spans="1:2" ht="16.5" customHeight="1">
      <c r="A97" s="3"/>
      <c r="B97" s="3"/>
    </row>
    <row r="98" spans="1:2" ht="16.5" customHeight="1">
      <c r="A98" s="3"/>
      <c r="B98" s="3"/>
    </row>
    <row r="99" spans="1:2" ht="16.5" customHeight="1">
      <c r="A99" s="3"/>
      <c r="B99" s="3"/>
    </row>
    <row r="100" spans="1:2" ht="16.5" customHeight="1">
      <c r="A100" s="3"/>
      <c r="B100" s="3"/>
    </row>
    <row r="101" spans="1:2" ht="16.5" customHeight="1">
      <c r="A101" s="3"/>
      <c r="B101" s="3"/>
    </row>
    <row r="102" spans="1:2" ht="16.5" customHeight="1">
      <c r="A102" s="3"/>
      <c r="B102" s="3"/>
    </row>
    <row r="103" spans="1:2" ht="16.5" customHeight="1">
      <c r="A103" s="3"/>
      <c r="B103" s="3"/>
    </row>
    <row r="104" spans="1:2" ht="16.5" customHeight="1">
      <c r="A104" s="3"/>
      <c r="B104" s="3"/>
    </row>
    <row r="105" spans="1:2" ht="16.5" customHeight="1">
      <c r="A105" s="3"/>
      <c r="B105" s="3"/>
    </row>
    <row r="106" spans="1:2" ht="16.5" customHeight="1">
      <c r="A106" s="3"/>
      <c r="B106" s="3"/>
    </row>
    <row r="107" spans="1:2" ht="16.5" customHeight="1">
      <c r="A107" s="3"/>
      <c r="B107" s="3"/>
    </row>
    <row r="108" spans="1:2" ht="16.5" customHeight="1">
      <c r="A108" s="3"/>
      <c r="B108" s="3"/>
    </row>
    <row r="109" spans="1:2" ht="16.5" customHeight="1">
      <c r="A109" s="3"/>
      <c r="B109" s="3"/>
    </row>
    <row r="110" spans="1:2" ht="16.5" customHeight="1">
      <c r="A110" s="3"/>
      <c r="B110" s="3"/>
    </row>
    <row r="111" spans="1:2" ht="16.5" customHeight="1">
      <c r="A111" s="3"/>
      <c r="B111" s="3"/>
    </row>
    <row r="112" spans="1:2" ht="16.5" customHeight="1">
      <c r="A112" s="3"/>
      <c r="B112" s="3"/>
    </row>
    <row r="113" spans="1:2" ht="16.5" customHeight="1">
      <c r="A113" s="3"/>
      <c r="B113" s="3"/>
    </row>
    <row r="114" spans="1:2" ht="16.5" customHeight="1">
      <c r="A114" s="3"/>
      <c r="B114" s="3"/>
    </row>
    <row r="115" spans="1:2" ht="16.5" customHeight="1">
      <c r="A115" s="3"/>
      <c r="B115" s="3"/>
    </row>
    <row r="116" spans="1:2" ht="16.5" customHeight="1">
      <c r="A116" s="3"/>
      <c r="B116" s="3"/>
    </row>
    <row r="117" spans="1:2" ht="16.5" customHeight="1">
      <c r="A117" s="3"/>
      <c r="B117" s="3"/>
    </row>
    <row r="118" spans="1:2" ht="16.5" customHeight="1">
      <c r="A118" s="3"/>
      <c r="B118" s="3"/>
    </row>
    <row r="119" spans="1:2" ht="16.5" customHeight="1">
      <c r="A119" s="3"/>
      <c r="B119" s="3"/>
    </row>
    <row r="120" spans="1:2" ht="16.5" customHeight="1">
      <c r="A120" s="3"/>
      <c r="B120" s="3"/>
    </row>
    <row r="121" spans="1:2" ht="16.5" customHeight="1">
      <c r="A121" s="3"/>
      <c r="B121" s="3"/>
    </row>
    <row r="122" spans="1:2" ht="16.5" customHeight="1">
      <c r="A122" s="3"/>
      <c r="B122" s="3"/>
    </row>
    <row r="123" spans="1:2" ht="16.5" customHeight="1">
      <c r="A123" s="3"/>
      <c r="B123" s="3"/>
    </row>
    <row r="124" spans="1:2" ht="16.5" customHeight="1">
      <c r="A124" s="3"/>
      <c r="B124" s="3"/>
    </row>
    <row r="125" spans="1:2" ht="16.5" customHeight="1">
      <c r="A125" s="3"/>
      <c r="B125" s="3"/>
    </row>
    <row r="126" spans="1:2" ht="16.5" customHeight="1">
      <c r="A126" s="3"/>
      <c r="B126" s="3"/>
    </row>
    <row r="127" spans="1:2" ht="16.5" customHeight="1">
      <c r="A127" s="3"/>
      <c r="B127" s="3"/>
    </row>
    <row r="128" spans="1:2" ht="16.5" customHeight="1">
      <c r="A128" s="3"/>
      <c r="B128" s="3"/>
    </row>
    <row r="129" spans="1:2" ht="16.5" customHeight="1">
      <c r="A129" s="3"/>
      <c r="B129" s="3"/>
    </row>
    <row r="130" spans="1:2" ht="16.5" customHeight="1">
      <c r="A130" s="3"/>
      <c r="B130" s="3"/>
    </row>
    <row r="131" spans="1:2" ht="16.5" customHeight="1">
      <c r="A131" s="3"/>
      <c r="B131" s="3"/>
    </row>
    <row r="132" spans="1:2" ht="16.5" customHeight="1">
      <c r="A132" s="3"/>
      <c r="B132" s="3"/>
    </row>
    <row r="133" spans="1:2" ht="16.5" customHeight="1">
      <c r="A133" s="3"/>
      <c r="B133" s="3"/>
    </row>
    <row r="134" spans="1:2" ht="16.5" customHeight="1">
      <c r="A134" s="3"/>
      <c r="B134" s="3"/>
    </row>
    <row r="135" spans="1:2" ht="16.5" customHeight="1">
      <c r="A135" s="3"/>
      <c r="B135" s="3"/>
    </row>
    <row r="136" spans="1:2" ht="16.5" customHeight="1">
      <c r="A136" s="3"/>
      <c r="B136" s="3"/>
    </row>
    <row r="137" spans="1:2" ht="16.5" customHeight="1">
      <c r="A137" s="3"/>
      <c r="B137" s="3"/>
    </row>
    <row r="138" spans="1:2" ht="16.5" customHeight="1">
      <c r="A138" s="3"/>
      <c r="B138" s="3"/>
    </row>
    <row r="139" spans="1:2" ht="16.5" customHeight="1">
      <c r="A139" s="3"/>
      <c r="B139" s="3"/>
    </row>
    <row r="140" spans="1:2" ht="16.5" customHeight="1">
      <c r="A140" s="3"/>
      <c r="B140" s="3"/>
    </row>
    <row r="141" spans="1:2" ht="16.5" customHeight="1">
      <c r="A141" s="3"/>
      <c r="B141" s="3"/>
    </row>
    <row r="142" spans="1:2" ht="16.5" customHeight="1">
      <c r="A142" s="3"/>
      <c r="B142" s="3"/>
    </row>
    <row r="143" spans="1:2" ht="16.5" customHeight="1">
      <c r="A143" s="3"/>
      <c r="B143" s="3"/>
    </row>
    <row r="144" spans="1:2" ht="16.5" customHeight="1">
      <c r="A144" s="3"/>
      <c r="B144" s="3"/>
    </row>
    <row r="145" spans="1:2" ht="16.5" customHeight="1">
      <c r="A145" s="3"/>
      <c r="B145" s="3"/>
    </row>
    <row r="146" spans="1:2" ht="16.5" customHeight="1">
      <c r="A146" s="3"/>
      <c r="B146" s="3"/>
    </row>
    <row r="147" spans="1:2" ht="16.5" customHeight="1">
      <c r="A147" s="3"/>
      <c r="B147" s="3"/>
    </row>
    <row r="148" spans="1:2" ht="16.5" customHeight="1">
      <c r="A148" s="3"/>
      <c r="B148" s="3"/>
    </row>
    <row r="149" spans="1:2" ht="16.5" customHeight="1">
      <c r="A149" s="3"/>
      <c r="B149" s="3"/>
    </row>
    <row r="150" spans="1:2" ht="16.5" customHeight="1">
      <c r="A150" s="3"/>
      <c r="B150" s="3"/>
    </row>
    <row r="151" spans="1:2" ht="16.5" customHeight="1">
      <c r="A151" s="3"/>
      <c r="B151" s="3"/>
    </row>
    <row r="152" spans="1:2" ht="16.5" customHeight="1">
      <c r="A152" s="3"/>
      <c r="B152" s="3"/>
    </row>
    <row r="153" spans="1:2" ht="16.5" customHeight="1">
      <c r="A153" s="3"/>
      <c r="B153" s="3"/>
    </row>
    <row r="154" spans="1:2" ht="16.5" customHeight="1">
      <c r="A154" s="3"/>
      <c r="B154" s="3"/>
    </row>
    <row r="155" spans="1:2" ht="16.5" customHeight="1">
      <c r="A155" s="3"/>
      <c r="B155" s="3"/>
    </row>
    <row r="156" spans="1:2" ht="16.5" customHeight="1">
      <c r="A156" s="3"/>
      <c r="B156" s="3"/>
    </row>
    <row r="157" spans="1:2" ht="16.5" customHeight="1">
      <c r="A157" s="3"/>
      <c r="B157" s="3"/>
    </row>
    <row r="158" spans="1:2" ht="16.5" customHeight="1">
      <c r="A158" s="3"/>
      <c r="B158" s="3"/>
    </row>
    <row r="159" spans="1:2" ht="16.5" customHeight="1">
      <c r="A159" s="3"/>
      <c r="B159" s="3"/>
    </row>
    <row r="160" spans="1:2" ht="16.5" customHeight="1">
      <c r="A160" s="3"/>
      <c r="B160" s="3"/>
    </row>
    <row r="161" spans="1:2" ht="16.5" customHeight="1">
      <c r="A161" s="3"/>
      <c r="B161" s="3"/>
    </row>
    <row r="162" spans="1:2" ht="16.5" customHeight="1">
      <c r="A162" s="3"/>
      <c r="B162" s="3"/>
    </row>
    <row r="163" spans="1:2" ht="16.5" customHeight="1">
      <c r="A163" s="3"/>
      <c r="B163" s="3"/>
    </row>
    <row r="164" spans="1:2" ht="16.5" customHeight="1">
      <c r="A164" s="3"/>
      <c r="B164" s="3"/>
    </row>
    <row r="165" spans="1:2" ht="16.5" customHeight="1">
      <c r="A165" s="3"/>
      <c r="B165" s="3"/>
    </row>
    <row r="166" spans="1:2" ht="16.5" customHeight="1">
      <c r="A166" s="3"/>
      <c r="B166" s="3"/>
    </row>
    <row r="167" spans="1:2" ht="16.5" customHeight="1">
      <c r="A167" s="3"/>
      <c r="B167" s="3"/>
    </row>
    <row r="168" spans="1:2" ht="16.5" customHeight="1">
      <c r="A168" s="3"/>
      <c r="B168" s="3"/>
    </row>
    <row r="169" spans="1:2" ht="16.5" customHeight="1">
      <c r="A169" s="3"/>
      <c r="B169" s="3"/>
    </row>
    <row r="170" spans="1:2" ht="16.5" customHeight="1">
      <c r="A170" s="3"/>
      <c r="B170" s="3"/>
    </row>
    <row r="171" spans="1:2" ht="16.5" customHeight="1">
      <c r="A171" s="3"/>
      <c r="B171" s="3"/>
    </row>
    <row r="172" spans="1:2" ht="16.5" customHeight="1">
      <c r="A172" s="3"/>
      <c r="B172" s="3"/>
    </row>
    <row r="173" spans="1:2" ht="16.5" customHeight="1">
      <c r="A173" s="3"/>
      <c r="B173" s="3"/>
    </row>
    <row r="174" spans="1:2" ht="16.5" customHeight="1">
      <c r="A174" s="3"/>
      <c r="B174" s="3"/>
    </row>
    <row r="175" spans="1:2" ht="16.5" customHeight="1">
      <c r="A175" s="3"/>
      <c r="B175" s="3"/>
    </row>
    <row r="176" spans="1:2" ht="16.5" customHeight="1">
      <c r="A176" s="3"/>
      <c r="B176" s="3"/>
    </row>
    <row r="177" spans="1:2" ht="16.5" customHeight="1">
      <c r="A177" s="3"/>
      <c r="B177" s="3"/>
    </row>
    <row r="178" spans="1:2" ht="16.5" customHeight="1">
      <c r="A178" s="3"/>
      <c r="B178" s="3"/>
    </row>
    <row r="179" spans="1:2" ht="16.5" customHeight="1">
      <c r="A179" s="3"/>
      <c r="B179" s="3"/>
    </row>
    <row r="180" spans="1:2" ht="16.5" customHeight="1">
      <c r="A180" s="3"/>
      <c r="B180" s="3"/>
    </row>
    <row r="181" spans="1:2" ht="16.5" customHeight="1">
      <c r="A181" s="3"/>
      <c r="B181" s="3"/>
    </row>
    <row r="182" spans="1:2" ht="16.5" customHeight="1">
      <c r="A182" s="3"/>
      <c r="B182" s="3"/>
    </row>
    <row r="183" spans="1:2" ht="16.5" customHeight="1">
      <c r="A183" s="3"/>
      <c r="B183" s="3"/>
    </row>
    <row r="184" spans="1:2" ht="16.5" customHeight="1">
      <c r="A184" s="3"/>
      <c r="B184" s="3"/>
    </row>
    <row r="185" spans="1:2" ht="16.5" customHeight="1">
      <c r="A185" s="3"/>
      <c r="B185" s="3"/>
    </row>
    <row r="186" spans="1:2" ht="16.5" customHeight="1">
      <c r="A186" s="3"/>
      <c r="B186" s="3"/>
    </row>
    <row r="187" spans="1:2" ht="16.5" customHeight="1">
      <c r="A187" s="3"/>
      <c r="B187" s="3"/>
    </row>
    <row r="188" spans="1:2" ht="16.5" customHeight="1">
      <c r="A188" s="3"/>
      <c r="B188" s="3"/>
    </row>
    <row r="189" spans="1:2" ht="16.5" customHeight="1">
      <c r="A189" s="3"/>
      <c r="B189" s="3"/>
    </row>
    <row r="190" spans="1:2" ht="16.5" customHeight="1">
      <c r="A190" s="3"/>
      <c r="B190" s="3"/>
    </row>
    <row r="191" spans="1:2" ht="16.5" customHeight="1">
      <c r="A191" s="3"/>
      <c r="B191" s="3"/>
    </row>
    <row r="192" spans="1:2" ht="16.5" customHeight="1">
      <c r="A192" s="3"/>
      <c r="B192" s="3"/>
    </row>
    <row r="193" spans="1:2" ht="16.5" customHeight="1">
      <c r="A193" s="3"/>
      <c r="B193" s="3"/>
    </row>
    <row r="194" spans="1:2" ht="16.5" customHeight="1">
      <c r="A194" s="3"/>
      <c r="B194" s="3"/>
    </row>
    <row r="195" spans="1:2" ht="16.5" customHeight="1">
      <c r="A195" s="3"/>
      <c r="B195" s="3"/>
    </row>
    <row r="196" spans="1:2" ht="16.5" customHeight="1">
      <c r="A196" s="3"/>
      <c r="B196" s="3"/>
    </row>
    <row r="197" spans="1:2" ht="16.5" customHeight="1">
      <c r="A197" s="3"/>
      <c r="B197" s="3"/>
    </row>
    <row r="198" spans="1:2" ht="16.5" customHeight="1">
      <c r="A198" s="3"/>
      <c r="B198" s="3"/>
    </row>
    <row r="199" spans="1:2" ht="16.5" customHeight="1">
      <c r="A199" s="3"/>
      <c r="B199" s="3"/>
    </row>
    <row r="200" spans="1:2" ht="16.5" customHeight="1">
      <c r="A200" s="3"/>
      <c r="B200" s="3"/>
    </row>
    <row r="201" spans="1:2" ht="16.5" customHeight="1">
      <c r="A201" s="3"/>
      <c r="B201" s="3"/>
    </row>
    <row r="202" spans="1:2" ht="16.5" customHeight="1">
      <c r="A202" s="3"/>
      <c r="B202" s="3"/>
    </row>
    <row r="203" spans="1:2" ht="16.5" customHeight="1">
      <c r="A203" s="3"/>
      <c r="B203" s="3"/>
    </row>
    <row r="204" spans="1:2" ht="16.5" customHeight="1">
      <c r="A204" s="3"/>
      <c r="B204" s="3"/>
    </row>
    <row r="205" spans="1:2" ht="16.5" customHeight="1">
      <c r="A205" s="3"/>
      <c r="B205" s="3"/>
    </row>
    <row r="206" spans="1:2" ht="16.5" customHeight="1">
      <c r="A206" s="3"/>
      <c r="B206" s="3"/>
    </row>
    <row r="207" spans="1:2" ht="16.5" customHeight="1">
      <c r="A207" s="3"/>
      <c r="B207" s="3"/>
    </row>
    <row r="208" spans="1:2" ht="16.5" customHeight="1">
      <c r="A208" s="3"/>
      <c r="B208" s="3"/>
    </row>
    <row r="209" spans="1:2" ht="16.5" customHeight="1">
      <c r="A209" s="3"/>
      <c r="B209" s="3"/>
    </row>
    <row r="210" spans="1:2" ht="16.5" customHeight="1">
      <c r="A210" s="3"/>
      <c r="B210" s="3"/>
    </row>
    <row r="211" spans="1:2" ht="16.5" customHeight="1">
      <c r="A211" s="3"/>
      <c r="B211" s="3"/>
    </row>
    <row r="212" spans="1:2" ht="16.5" customHeight="1">
      <c r="A212" s="3"/>
      <c r="B212" s="3"/>
    </row>
    <row r="213" spans="1:2" ht="16.5" customHeight="1">
      <c r="A213" s="3"/>
      <c r="B213" s="3"/>
    </row>
    <row r="214" spans="1:2" ht="16.5" customHeight="1">
      <c r="A214" s="3"/>
      <c r="B214" s="3"/>
    </row>
    <row r="215" spans="1:2" ht="16.5" customHeight="1">
      <c r="A215" s="3"/>
      <c r="B215" s="3"/>
    </row>
    <row r="216" spans="1:2" ht="16.5" customHeight="1">
      <c r="A216" s="3"/>
      <c r="B216" s="3"/>
    </row>
    <row r="217" spans="1:2" ht="16.5" customHeight="1">
      <c r="A217" s="3"/>
      <c r="B217" s="3"/>
    </row>
    <row r="218" spans="1:2" ht="16.5" customHeight="1">
      <c r="A218" s="3"/>
      <c r="B218" s="3"/>
    </row>
    <row r="219" spans="1:2" ht="16.5" customHeight="1">
      <c r="A219" s="3"/>
      <c r="B219" s="3"/>
    </row>
    <row r="220" spans="1:2" ht="16.5" customHeight="1">
      <c r="A220" s="3"/>
      <c r="B220" s="3"/>
    </row>
    <row r="221" spans="1:2" ht="16.5" customHeight="1">
      <c r="A221" s="3"/>
      <c r="B221" s="3"/>
    </row>
    <row r="222" spans="1:2" ht="16.5" customHeight="1">
      <c r="A222" s="3"/>
      <c r="B222" s="3"/>
    </row>
    <row r="223" spans="1:2" ht="16.5" customHeight="1">
      <c r="A223" s="3"/>
      <c r="B223" s="3"/>
    </row>
    <row r="224" spans="1:2" ht="16.5" customHeight="1">
      <c r="A224" s="3"/>
      <c r="B224" s="3"/>
    </row>
    <row r="225" spans="1:2" ht="16.5" customHeight="1">
      <c r="A225" s="3"/>
      <c r="B225" s="3"/>
    </row>
    <row r="226" spans="1:2" ht="16.5" customHeight="1">
      <c r="A226" s="3"/>
      <c r="B226" s="3"/>
    </row>
    <row r="227" spans="1:2" ht="16.5" customHeight="1">
      <c r="A227" s="3"/>
      <c r="B227" s="3"/>
    </row>
    <row r="228" spans="1:2" ht="16.5" customHeight="1">
      <c r="A228" s="3"/>
      <c r="B228" s="3"/>
    </row>
    <row r="229" spans="1:2" ht="16.5" customHeight="1">
      <c r="A229" s="3"/>
      <c r="B229" s="3"/>
    </row>
    <row r="230" spans="1:2" ht="16.5" customHeight="1">
      <c r="A230" s="3"/>
      <c r="B230" s="3"/>
    </row>
    <row r="231" spans="1:2" ht="16.5" customHeight="1">
      <c r="A231" s="3"/>
      <c r="B231" s="3"/>
    </row>
    <row r="232" spans="1:2" ht="16.5" customHeight="1">
      <c r="A232" s="3"/>
      <c r="B232" s="3"/>
    </row>
    <row r="233" spans="1:2" ht="16.5" customHeight="1">
      <c r="A233" s="3"/>
      <c r="B233" s="3"/>
    </row>
    <row r="234" spans="1:2" ht="16.5" customHeight="1">
      <c r="A234" s="3"/>
      <c r="B234" s="3"/>
    </row>
    <row r="235" spans="1:2" ht="16.5" customHeight="1">
      <c r="A235" s="3"/>
      <c r="B235" s="3"/>
    </row>
    <row r="236" spans="1:2" ht="16.5" customHeight="1">
      <c r="A236" s="3"/>
      <c r="B236" s="3"/>
    </row>
    <row r="237" spans="1:2" ht="16.5" customHeight="1">
      <c r="A237" s="3"/>
      <c r="B237" s="3"/>
    </row>
    <row r="238" spans="1:2" ht="16.5" customHeight="1">
      <c r="A238" s="3"/>
      <c r="B238" s="3"/>
    </row>
    <row r="239" spans="1:2" ht="16.5" customHeight="1">
      <c r="A239" s="3"/>
      <c r="B239" s="3"/>
    </row>
    <row r="240" spans="1:2" ht="16.5" customHeight="1">
      <c r="A240" s="3"/>
      <c r="B240" s="3"/>
    </row>
    <row r="241" spans="1:2" ht="16.5" customHeight="1">
      <c r="A241" s="3"/>
      <c r="B241" s="3"/>
    </row>
    <row r="242" spans="1:2" ht="16.5" customHeight="1">
      <c r="A242" s="3"/>
      <c r="B242" s="3"/>
    </row>
    <row r="243" spans="1:2" ht="16.5" customHeight="1">
      <c r="A243" s="3"/>
      <c r="B243" s="3"/>
    </row>
    <row r="244" spans="1:2" ht="16.5" customHeight="1">
      <c r="A244" s="3"/>
      <c r="B244" s="3"/>
    </row>
    <row r="245" spans="1:2" ht="16.5" customHeight="1">
      <c r="A245" s="3"/>
      <c r="B245" s="3"/>
    </row>
    <row r="246" spans="1:2" ht="16.5" customHeight="1">
      <c r="A246" s="3"/>
      <c r="B246" s="3"/>
    </row>
    <row r="247" spans="1:2" ht="16.5" customHeight="1">
      <c r="A247" s="3"/>
      <c r="B247" s="3"/>
    </row>
    <row r="248" spans="1:2" ht="16.5" customHeight="1">
      <c r="A248" s="3"/>
      <c r="B248" s="3"/>
    </row>
    <row r="249" spans="1:2" ht="16.5" customHeight="1">
      <c r="A249" s="3"/>
      <c r="B249" s="3"/>
    </row>
    <row r="250" spans="1:2" ht="16.5" customHeight="1">
      <c r="A250" s="3"/>
      <c r="B250" s="3"/>
    </row>
    <row r="251" spans="1:2" ht="16.5" customHeight="1">
      <c r="A251" s="3"/>
      <c r="B251" s="3"/>
    </row>
    <row r="252" spans="1:2" ht="16.5" customHeight="1">
      <c r="A252" s="3"/>
      <c r="B252" s="3"/>
    </row>
    <row r="253" spans="1:2" ht="16.5" customHeight="1">
      <c r="A253" s="3"/>
      <c r="B253" s="3"/>
    </row>
    <row r="254" spans="1:2" ht="16.5" customHeight="1">
      <c r="A254" s="3"/>
      <c r="B254" s="3"/>
    </row>
    <row r="255" spans="1:2" ht="16.5" customHeight="1">
      <c r="A255" s="3"/>
      <c r="B255" s="3"/>
    </row>
    <row r="256" spans="1:2" ht="16.5" customHeight="1">
      <c r="A256" s="3"/>
      <c r="B256" s="3"/>
    </row>
    <row r="257" spans="1:2" ht="16.5" customHeight="1">
      <c r="A257" s="3"/>
      <c r="B257" s="3"/>
    </row>
    <row r="258" spans="1:2" ht="16.5" customHeight="1">
      <c r="A258" s="3"/>
      <c r="B258" s="3"/>
    </row>
    <row r="259" spans="1:2" ht="16.5" customHeight="1">
      <c r="A259" s="3"/>
      <c r="B259" s="3"/>
    </row>
    <row r="260" spans="1:2" ht="16.5" customHeight="1">
      <c r="A260" s="3"/>
      <c r="B260" s="3"/>
    </row>
    <row r="261" spans="1:2" ht="16.5" customHeight="1">
      <c r="A261" s="3"/>
      <c r="B261" s="3"/>
    </row>
    <row r="262" spans="1:2" ht="16.5" customHeight="1">
      <c r="A262" s="3"/>
      <c r="B262" s="3"/>
    </row>
    <row r="263" spans="1:2" ht="16.5" customHeight="1">
      <c r="A263" s="3"/>
      <c r="B263" s="3"/>
    </row>
    <row r="264" spans="1:2" ht="16.5" customHeight="1">
      <c r="A264" s="3"/>
      <c r="B264" s="3"/>
    </row>
    <row r="265" spans="1:2" ht="16.5" customHeight="1">
      <c r="A265" s="3"/>
      <c r="B265" s="3"/>
    </row>
    <row r="266" spans="1:2" ht="16.5" customHeight="1">
      <c r="A266" s="3"/>
      <c r="B266" s="3"/>
    </row>
    <row r="267" spans="1:2" ht="16.5" customHeight="1">
      <c r="A267" s="3"/>
      <c r="B267" s="3"/>
    </row>
    <row r="268" spans="1:2" ht="16.5" customHeight="1">
      <c r="A268" s="3"/>
      <c r="B268" s="3"/>
    </row>
    <row r="269" spans="1:2" ht="16.5" customHeight="1">
      <c r="A269" s="3"/>
      <c r="B269" s="3"/>
    </row>
    <row r="270" spans="1:2" ht="16.5" customHeight="1">
      <c r="A270" s="3"/>
      <c r="B270" s="3"/>
    </row>
    <row r="271" spans="1:2" ht="16.5" customHeight="1">
      <c r="A271" s="3"/>
      <c r="B271" s="3"/>
    </row>
    <row r="272" spans="1:2" ht="16.5" customHeight="1">
      <c r="A272" s="3"/>
      <c r="B272" s="3"/>
    </row>
    <row r="273" spans="1:2" ht="16.5" customHeight="1">
      <c r="A273" s="3"/>
      <c r="B273" s="3"/>
    </row>
    <row r="274" spans="1:2" ht="16.5" customHeight="1">
      <c r="A274" s="3"/>
      <c r="B274" s="3"/>
    </row>
    <row r="275" spans="1:2" ht="16.5" customHeight="1">
      <c r="A275" s="3"/>
      <c r="B275" s="3"/>
    </row>
    <row r="276" spans="1:2" ht="16.5" customHeight="1">
      <c r="A276" s="3"/>
      <c r="B276" s="3"/>
    </row>
    <row r="277" spans="1:2" ht="16.5" customHeight="1">
      <c r="A277" s="3"/>
      <c r="B277" s="3"/>
    </row>
    <row r="278" spans="1:2" ht="16.5" customHeight="1">
      <c r="A278" s="3"/>
      <c r="B278" s="3"/>
    </row>
    <row r="279" spans="1:2" ht="16.5" customHeight="1">
      <c r="A279" s="3"/>
      <c r="B279" s="3"/>
    </row>
    <row r="280" spans="1:2" ht="16.5" customHeight="1">
      <c r="A280" s="3"/>
      <c r="B280" s="3"/>
    </row>
    <row r="281" spans="1:2" ht="16.5" customHeight="1">
      <c r="A281" s="3"/>
      <c r="B281" s="3"/>
    </row>
    <row r="282" spans="1:2" ht="16.5" customHeight="1">
      <c r="A282" s="3"/>
      <c r="B282" s="3"/>
    </row>
    <row r="283" spans="1:2" ht="16.5" customHeight="1">
      <c r="A283" s="3"/>
      <c r="B283" s="3"/>
    </row>
    <row r="284" spans="1:2" ht="16.5" customHeight="1">
      <c r="A284" s="3"/>
      <c r="B284" s="3"/>
    </row>
    <row r="285" spans="1:2" ht="16.5" customHeight="1">
      <c r="A285" s="3"/>
      <c r="B285" s="3"/>
    </row>
    <row r="286" spans="1:2" ht="16.5" customHeight="1">
      <c r="A286" s="3"/>
      <c r="B286" s="3"/>
    </row>
    <row r="287" spans="1:2" ht="16.5" customHeight="1">
      <c r="A287" s="3"/>
      <c r="B287" s="3"/>
    </row>
    <row r="288" spans="1:2" ht="16.5" customHeight="1">
      <c r="A288" s="3"/>
      <c r="B288" s="3"/>
    </row>
    <row r="289" spans="1:2" ht="16.5" customHeight="1">
      <c r="A289" s="3"/>
      <c r="B289" s="3"/>
    </row>
    <row r="290" spans="1:2" ht="16.5" customHeight="1">
      <c r="A290" s="3"/>
      <c r="B290" s="3"/>
    </row>
    <row r="291" spans="1:2" ht="16.5" customHeight="1">
      <c r="A291" s="3"/>
      <c r="B291" s="3"/>
    </row>
    <row r="292" spans="1:2" ht="16.5" customHeight="1">
      <c r="A292" s="3"/>
      <c r="B292" s="3"/>
    </row>
    <row r="293" spans="1:2" ht="16.5" customHeight="1">
      <c r="A293" s="3"/>
      <c r="B293" s="3"/>
    </row>
    <row r="294" spans="1:2" ht="16.5" customHeight="1">
      <c r="A294" s="3"/>
      <c r="B294" s="3"/>
    </row>
    <row r="295" spans="1:2" ht="16.5" customHeight="1">
      <c r="A295" s="3"/>
      <c r="B295" s="3"/>
    </row>
    <row r="296" spans="1:2" ht="16.5" customHeight="1">
      <c r="A296" s="3"/>
      <c r="B296" s="3"/>
    </row>
    <row r="297" spans="1:2" ht="16.5" customHeight="1">
      <c r="A297" s="3"/>
      <c r="B297" s="3"/>
    </row>
    <row r="298" spans="1:2" ht="16.5" customHeight="1">
      <c r="A298" s="3"/>
      <c r="B298" s="3"/>
    </row>
    <row r="299" spans="1:2" ht="16.5" customHeight="1">
      <c r="A299" s="3"/>
      <c r="B299" s="3"/>
    </row>
    <row r="300" spans="1:2" ht="16.5" customHeight="1">
      <c r="A300" s="3"/>
      <c r="B300" s="3"/>
    </row>
    <row r="301" spans="1:2" ht="16.5" customHeight="1">
      <c r="A301" s="3"/>
      <c r="B301" s="3"/>
    </row>
    <row r="302" spans="1:2" ht="16.5" customHeight="1">
      <c r="A302" s="3"/>
      <c r="B302" s="3"/>
    </row>
    <row r="303" spans="1:2" ht="16.5" customHeight="1">
      <c r="A303" s="3"/>
      <c r="B303" s="3"/>
    </row>
    <row r="304" spans="1:2" ht="16.5" customHeight="1">
      <c r="A304" s="3"/>
      <c r="B304" s="3"/>
    </row>
    <row r="305" spans="1:2" ht="16.5" customHeight="1">
      <c r="A305" s="3"/>
      <c r="B305" s="3"/>
    </row>
    <row r="306" spans="1:2" ht="16.5" customHeight="1">
      <c r="A306" s="3"/>
      <c r="B306" s="3"/>
    </row>
    <row r="307" spans="1:2" ht="16.5" customHeight="1">
      <c r="A307" s="3"/>
      <c r="B307" s="3"/>
    </row>
    <row r="308" spans="1:2" ht="16.5" customHeight="1">
      <c r="A308" s="3"/>
      <c r="B308" s="3"/>
    </row>
    <row r="309" spans="1:2" ht="16.5" customHeight="1">
      <c r="A309" s="3"/>
      <c r="B309" s="3"/>
    </row>
    <row r="310" spans="1:2" ht="16.5" customHeight="1">
      <c r="A310" s="3"/>
      <c r="B310" s="3"/>
    </row>
    <row r="311" spans="1:2" ht="16.5" customHeight="1">
      <c r="A311" s="3"/>
      <c r="B311" s="3"/>
    </row>
    <row r="312" spans="1:2" ht="16.5" customHeight="1">
      <c r="A312" s="3"/>
      <c r="B312" s="3"/>
    </row>
    <row r="313" spans="1:2" ht="16.5" customHeight="1">
      <c r="A313" s="3"/>
      <c r="B313" s="3"/>
    </row>
    <row r="314" spans="1:2" ht="16.5" customHeight="1">
      <c r="A314" s="3"/>
      <c r="B314" s="3"/>
    </row>
    <row r="315" spans="1:2" ht="16.5" customHeight="1">
      <c r="A315" s="3"/>
      <c r="B315" s="3"/>
    </row>
    <row r="316" spans="1:2" ht="16.5" customHeight="1">
      <c r="A316" s="3"/>
      <c r="B316" s="3"/>
    </row>
    <row r="317" spans="1:2" ht="16.5" customHeight="1">
      <c r="A317" s="3"/>
      <c r="B317" s="3"/>
    </row>
    <row r="318" spans="1:2" ht="16.5" customHeight="1">
      <c r="A318" s="3"/>
      <c r="B318" s="3"/>
    </row>
    <row r="319" spans="1:2" ht="16.5" customHeight="1">
      <c r="A319" s="3"/>
      <c r="B319" s="3"/>
    </row>
    <row r="320" spans="1:2" ht="16.5" customHeight="1">
      <c r="A320" s="3"/>
      <c r="B320" s="3"/>
    </row>
    <row r="321" spans="1:2" ht="16.5" customHeight="1">
      <c r="A321" s="3"/>
      <c r="B321" s="3"/>
    </row>
    <row r="322" spans="1:2" ht="16.5" customHeight="1">
      <c r="A322" s="3"/>
      <c r="B322" s="3"/>
    </row>
    <row r="323" spans="1:2" ht="16.5" customHeight="1">
      <c r="A323" s="3"/>
      <c r="B323" s="3"/>
    </row>
    <row r="324" spans="1:2" ht="16.5" customHeight="1">
      <c r="A324" s="3"/>
      <c r="B324" s="3"/>
    </row>
    <row r="325" spans="1:2" ht="16.5" customHeight="1">
      <c r="A325" s="3"/>
      <c r="B325" s="3"/>
    </row>
    <row r="326" spans="1:2" ht="16.5" customHeight="1">
      <c r="A326" s="3"/>
      <c r="B326" s="3"/>
    </row>
    <row r="327" spans="1:2" ht="16.5" customHeight="1">
      <c r="A327" s="3"/>
      <c r="B327" s="3"/>
    </row>
    <row r="328" spans="1:2" ht="16.5" customHeight="1">
      <c r="A328" s="3"/>
      <c r="B328" s="3"/>
    </row>
    <row r="329" spans="1:2" ht="16.5" customHeight="1">
      <c r="A329" s="3"/>
      <c r="B329" s="3"/>
    </row>
    <row r="330" spans="1:2" ht="16.5" customHeight="1">
      <c r="A330" s="3"/>
      <c r="B330" s="3"/>
    </row>
    <row r="331" spans="1:2" ht="16.5" customHeight="1">
      <c r="A331" s="3"/>
      <c r="B331" s="3"/>
    </row>
    <row r="332" spans="1:2" ht="16.5" customHeight="1">
      <c r="A332" s="3"/>
      <c r="B332" s="3"/>
    </row>
    <row r="333" spans="1:2" ht="16.5" customHeight="1">
      <c r="A333" s="3"/>
      <c r="B333" s="3"/>
    </row>
    <row r="334" spans="1:2" ht="16.5" customHeight="1">
      <c r="A334" s="3"/>
      <c r="B334" s="3"/>
    </row>
    <row r="335" spans="1:2" ht="16.5" customHeight="1">
      <c r="A335" s="3"/>
      <c r="B335" s="3"/>
    </row>
    <row r="336" spans="1:2" ht="16.5" customHeight="1">
      <c r="A336" s="3"/>
      <c r="B336" s="3"/>
    </row>
    <row r="337" spans="1:2" ht="16.5" customHeight="1">
      <c r="A337" s="3"/>
      <c r="B337" s="3"/>
    </row>
    <row r="338" spans="1:2" ht="16.5" customHeight="1">
      <c r="A338" s="3"/>
      <c r="B338" s="3"/>
    </row>
    <row r="339" spans="1:2" ht="16.5" customHeight="1">
      <c r="A339" s="3"/>
      <c r="B339" s="3"/>
    </row>
    <row r="340" spans="1:2" ht="16.5" customHeight="1">
      <c r="A340" s="3"/>
      <c r="B340" s="3"/>
    </row>
    <row r="341" spans="1:2" ht="16.5" customHeight="1">
      <c r="A341" s="3"/>
      <c r="B341" s="3"/>
    </row>
    <row r="342" spans="1:2" ht="16.5" customHeight="1">
      <c r="A342" s="3"/>
      <c r="B342" s="3"/>
    </row>
    <row r="343" spans="1:2" ht="16.5" customHeight="1">
      <c r="A343" s="3"/>
      <c r="B343" s="3"/>
    </row>
    <row r="344" spans="1:2" ht="16.5" customHeight="1">
      <c r="A344" s="3"/>
      <c r="B344" s="3"/>
    </row>
    <row r="345" spans="1:2" ht="16.5" customHeight="1">
      <c r="A345" s="3"/>
      <c r="B345" s="3"/>
    </row>
    <row r="346" spans="1:2" ht="16.5" customHeight="1">
      <c r="A346" s="3"/>
      <c r="B346" s="3"/>
    </row>
    <row r="347" spans="1:2" ht="16.5" customHeight="1">
      <c r="A347" s="3"/>
      <c r="B347" s="3"/>
    </row>
    <row r="348" spans="1:2" ht="16.5" customHeight="1">
      <c r="A348" s="3"/>
      <c r="B348" s="3"/>
    </row>
    <row r="349" spans="1:2" ht="16.5" customHeight="1">
      <c r="A349" s="3"/>
      <c r="B349" s="3"/>
    </row>
    <row r="350" spans="1:2" ht="16.5" customHeight="1">
      <c r="A350" s="3"/>
      <c r="B350" s="3"/>
    </row>
    <row r="351" spans="1:2" ht="16.5" customHeight="1">
      <c r="A351" s="3"/>
      <c r="B351" s="3"/>
    </row>
    <row r="352" spans="1:2" ht="16.5" customHeight="1">
      <c r="A352" s="3"/>
      <c r="B352" s="3"/>
    </row>
    <row r="353" spans="1:2" ht="16.5" customHeight="1">
      <c r="A353" s="3"/>
      <c r="B353" s="3"/>
    </row>
    <row r="354" spans="1:2" ht="16.5" customHeight="1">
      <c r="A354" s="3"/>
      <c r="B354" s="3"/>
    </row>
    <row r="355" spans="1:2" ht="16.5" customHeight="1">
      <c r="A355" s="3"/>
      <c r="B355" s="3"/>
    </row>
    <row r="356" spans="1:2" ht="16.5" customHeight="1">
      <c r="A356" s="3"/>
      <c r="B356" s="3"/>
    </row>
    <row r="357" spans="1:2" ht="16.5" customHeight="1">
      <c r="A357" s="3"/>
      <c r="B357" s="3"/>
    </row>
    <row r="358" spans="1:2" ht="16.5" customHeight="1">
      <c r="A358" s="3"/>
      <c r="B358" s="3"/>
    </row>
    <row r="359" spans="1:2" ht="16.5" customHeight="1">
      <c r="A359" s="3"/>
      <c r="B359" s="3"/>
    </row>
    <row r="360" spans="1:2" ht="16.5" customHeight="1">
      <c r="A360" s="3"/>
      <c r="B360" s="3"/>
    </row>
    <row r="361" spans="1:2" ht="16.5" customHeight="1">
      <c r="A361" s="3"/>
      <c r="B361" s="3"/>
    </row>
    <row r="362" spans="1:2" ht="16.5" customHeight="1">
      <c r="A362" s="3"/>
      <c r="B362" s="3"/>
    </row>
    <row r="363" spans="1:2" ht="16.5" customHeight="1">
      <c r="A363" s="3"/>
      <c r="B363" s="3"/>
    </row>
    <row r="364" spans="1:2" ht="16.5" customHeight="1">
      <c r="A364" s="3"/>
      <c r="B364" s="3"/>
    </row>
    <row r="365" spans="1:2" ht="16.5" customHeight="1">
      <c r="A365" s="3"/>
      <c r="B365" s="3"/>
    </row>
    <row r="366" spans="1:2" ht="16.5" customHeight="1">
      <c r="A366" s="3"/>
      <c r="B366" s="3"/>
    </row>
    <row r="367" spans="1:2" ht="16.5" customHeight="1">
      <c r="A367" s="3"/>
      <c r="B367" s="3"/>
    </row>
    <row r="368" spans="1:2" ht="16.5" customHeight="1">
      <c r="A368" s="3"/>
      <c r="B368" s="3"/>
    </row>
    <row r="369" spans="1:2" ht="16.5" customHeight="1">
      <c r="A369" s="3"/>
      <c r="B369" s="3"/>
    </row>
    <row r="370" spans="1:2" ht="16.5" customHeight="1">
      <c r="A370" s="3"/>
      <c r="B370" s="3"/>
    </row>
    <row r="371" spans="1:2" ht="16.5" customHeight="1">
      <c r="A371" s="3"/>
      <c r="B371" s="3"/>
    </row>
    <row r="372" spans="1:2" ht="16.5" customHeight="1">
      <c r="A372" s="3"/>
      <c r="B372" s="3"/>
    </row>
    <row r="373" spans="1:2" ht="16.5" customHeight="1">
      <c r="A373" s="3"/>
      <c r="B373" s="3"/>
    </row>
    <row r="374" spans="1:2" ht="16.5" customHeight="1">
      <c r="A374" s="3"/>
      <c r="B374" s="3"/>
    </row>
    <row r="375" spans="1:2" ht="16.5" customHeight="1">
      <c r="A375" s="3"/>
      <c r="B375" s="3"/>
    </row>
    <row r="376" spans="1:2" ht="16.5" customHeight="1">
      <c r="A376" s="3"/>
      <c r="B376" s="3"/>
    </row>
    <row r="377" spans="1:2" ht="16.5" customHeight="1">
      <c r="A377" s="3"/>
      <c r="B377" s="3"/>
    </row>
    <row r="378" spans="1:2" ht="16.5" customHeight="1">
      <c r="A378" s="3"/>
      <c r="B378" s="3"/>
    </row>
    <row r="379" spans="1:2" ht="16.5" customHeight="1">
      <c r="A379" s="3"/>
      <c r="B379" s="3"/>
    </row>
    <row r="380" spans="1:2" ht="16.5" customHeight="1">
      <c r="A380" s="3"/>
      <c r="B380" s="3"/>
    </row>
    <row r="381" spans="1:2" ht="16.5" customHeight="1">
      <c r="A381" s="3"/>
      <c r="B381" s="3"/>
    </row>
    <row r="382" spans="1:2" ht="16.5" customHeight="1">
      <c r="A382" s="3"/>
      <c r="B382" s="3"/>
    </row>
    <row r="383" spans="1:2" ht="16.5" customHeight="1">
      <c r="A383" s="3"/>
      <c r="B383" s="3"/>
    </row>
    <row r="384" spans="1:2" ht="16.5" customHeight="1">
      <c r="A384" s="3"/>
      <c r="B384" s="3"/>
    </row>
    <row r="385" spans="1:2" ht="16.5" customHeight="1">
      <c r="A385" s="3"/>
      <c r="B385" s="3"/>
    </row>
    <row r="386" spans="1:2" ht="16.5" customHeight="1">
      <c r="A386" s="3"/>
      <c r="B386" s="3"/>
    </row>
    <row r="387" spans="1:2" ht="16.5" customHeight="1">
      <c r="A387" s="3"/>
      <c r="B387" s="3"/>
    </row>
    <row r="388" spans="1:2" ht="16.5" customHeight="1">
      <c r="A388" s="3"/>
      <c r="B388" s="3"/>
    </row>
    <row r="389" spans="1:2" ht="16.5" customHeight="1">
      <c r="A389" s="3"/>
      <c r="B389" s="3"/>
    </row>
    <row r="390" spans="1:2" ht="16.5" customHeight="1">
      <c r="A390" s="3"/>
      <c r="B390" s="3"/>
    </row>
    <row r="391" spans="1:2" ht="16.5" customHeight="1">
      <c r="A391" s="3"/>
      <c r="B391" s="3"/>
    </row>
    <row r="392" spans="1:2" ht="16.5" customHeight="1">
      <c r="A392" s="3"/>
      <c r="B392" s="3"/>
    </row>
    <row r="393" spans="1:2" ht="16.5" customHeight="1">
      <c r="A393" s="3"/>
      <c r="B393" s="3"/>
    </row>
    <row r="394" spans="1:2" ht="16.5" customHeight="1">
      <c r="A394" s="3"/>
      <c r="B394" s="3"/>
    </row>
    <row r="395" spans="1:2" ht="16.5" customHeight="1">
      <c r="A395" s="3"/>
      <c r="B395" s="3"/>
    </row>
    <row r="396" spans="1:2" ht="16.5" customHeight="1">
      <c r="A396" s="3"/>
      <c r="B396" s="3"/>
    </row>
    <row r="397" spans="1:2" ht="16.5" customHeight="1">
      <c r="A397" s="3"/>
      <c r="B397" s="3"/>
    </row>
    <row r="398" spans="1:2" ht="16.5" customHeight="1">
      <c r="A398" s="3"/>
      <c r="B398" s="3"/>
    </row>
    <row r="399" spans="1:2" ht="16.5" customHeight="1">
      <c r="A399" s="3"/>
      <c r="B399" s="3"/>
    </row>
    <row r="400" spans="1:2" ht="16.5" customHeight="1">
      <c r="A400" s="3"/>
      <c r="B400" s="3"/>
    </row>
    <row r="401" spans="1:2" ht="16.5" customHeight="1">
      <c r="A401" s="3"/>
      <c r="B401" s="3"/>
    </row>
    <row r="402" spans="1:2" ht="16.5" customHeight="1">
      <c r="A402" s="3"/>
      <c r="B402" s="3"/>
    </row>
    <row r="403" spans="1:2" ht="16.5" customHeight="1">
      <c r="A403" s="3"/>
      <c r="B403" s="3"/>
    </row>
    <row r="404" spans="1:2" ht="16.5" customHeight="1">
      <c r="A404" s="3"/>
      <c r="B404" s="3"/>
    </row>
    <row r="405" spans="1:2" ht="16.5" customHeight="1">
      <c r="A405" s="3"/>
      <c r="B405" s="3"/>
    </row>
    <row r="406" spans="1:2" ht="16.5" customHeight="1">
      <c r="A406" s="3"/>
      <c r="B406" s="3"/>
    </row>
    <row r="407" spans="1:2" ht="16.5" customHeight="1">
      <c r="A407" s="3"/>
      <c r="B407" s="3"/>
    </row>
    <row r="408" spans="1:2" ht="16.5" customHeight="1">
      <c r="A408" s="3"/>
      <c r="B408" s="3"/>
    </row>
    <row r="409" spans="1:2" ht="16.5" customHeight="1">
      <c r="A409" s="3"/>
      <c r="B409" s="3"/>
    </row>
    <row r="410" spans="1:2" ht="16.5" customHeight="1">
      <c r="A410" s="3"/>
      <c r="B410" s="3"/>
    </row>
    <row r="411" spans="1:2" ht="16.5" customHeight="1">
      <c r="A411" s="3"/>
      <c r="B411" s="3"/>
    </row>
    <row r="412" spans="1:2" ht="16.5" customHeight="1">
      <c r="A412" s="3"/>
      <c r="B412" s="3"/>
    </row>
    <row r="413" spans="1:2" ht="16.5" customHeight="1">
      <c r="A413" s="3"/>
      <c r="B413" s="3"/>
    </row>
    <row r="414" spans="1:2" ht="16.5" customHeight="1">
      <c r="A414" s="3"/>
      <c r="B414" s="3"/>
    </row>
    <row r="415" spans="1:2" ht="16.5" customHeight="1">
      <c r="A415" s="3"/>
      <c r="B415" s="3"/>
    </row>
    <row r="416" spans="1:2" ht="16.5" customHeight="1">
      <c r="A416" s="3"/>
      <c r="B416" s="3"/>
    </row>
    <row r="417" spans="1:2" ht="16.5" customHeight="1">
      <c r="A417" s="3"/>
      <c r="B417" s="3"/>
    </row>
    <row r="418" spans="1:2" ht="16.5" customHeight="1">
      <c r="A418" s="3"/>
      <c r="B418" s="3"/>
    </row>
    <row r="419" spans="1:2" ht="16.5" customHeight="1">
      <c r="A419" s="3"/>
      <c r="B419" s="3"/>
    </row>
    <row r="420" spans="1:2" ht="16.5" customHeight="1">
      <c r="A420" s="3"/>
      <c r="B420" s="3"/>
    </row>
    <row r="421" spans="1:2" ht="16.5" customHeight="1">
      <c r="A421" s="3"/>
      <c r="B421" s="3"/>
    </row>
    <row r="422" spans="1:2" ht="16.5" customHeight="1">
      <c r="A422" s="3"/>
      <c r="B422" s="3"/>
    </row>
    <row r="423" spans="1:2" ht="16.5" customHeight="1">
      <c r="A423" s="3"/>
      <c r="B423" s="3"/>
    </row>
    <row r="424" spans="1:2" ht="16.5" customHeight="1">
      <c r="A424" s="3"/>
      <c r="B424" s="3"/>
    </row>
    <row r="425" spans="1:2" ht="16.5" customHeight="1">
      <c r="A425" s="3"/>
      <c r="B425" s="3"/>
    </row>
    <row r="426" spans="1:2" ht="16.5" customHeight="1">
      <c r="A426" s="3"/>
      <c r="B426" s="3"/>
    </row>
    <row r="427" spans="1:2" ht="16.5" customHeight="1">
      <c r="A427" s="3"/>
      <c r="B427" s="3"/>
    </row>
    <row r="428" spans="1:2" ht="16.5" customHeight="1">
      <c r="A428" s="3"/>
      <c r="B428" s="3"/>
    </row>
    <row r="429" spans="1:2" ht="16.5" customHeight="1">
      <c r="A429" s="3"/>
      <c r="B429" s="3"/>
    </row>
    <row r="430" spans="1:2" ht="16.5" customHeight="1">
      <c r="A430" s="3"/>
      <c r="B430" s="3"/>
    </row>
    <row r="431" spans="1:2" ht="16.5" customHeight="1">
      <c r="A431" s="3"/>
      <c r="B431" s="3"/>
    </row>
    <row r="432" spans="1:2" ht="16.5" customHeight="1">
      <c r="A432" s="3"/>
      <c r="B432" s="3"/>
    </row>
    <row r="433" spans="1:2" ht="16.5" customHeight="1">
      <c r="A433" s="3"/>
      <c r="B433" s="3"/>
    </row>
    <row r="434" spans="1:2" ht="16.5" customHeight="1">
      <c r="A434" s="3"/>
      <c r="B434" s="3"/>
    </row>
    <row r="435" spans="1:2" ht="16.5" customHeight="1">
      <c r="A435" s="3"/>
      <c r="B435" s="3"/>
    </row>
    <row r="436" spans="1:2" ht="16.5" customHeight="1">
      <c r="A436" s="3"/>
      <c r="B436" s="3"/>
    </row>
    <row r="437" spans="1:2" ht="16.5" customHeight="1">
      <c r="A437" s="3"/>
      <c r="B437" s="3"/>
    </row>
    <row r="438" spans="1:2" ht="16.5" customHeight="1">
      <c r="A438" s="3"/>
      <c r="B438" s="3"/>
    </row>
    <row r="439" spans="1:2" ht="16.5" customHeight="1">
      <c r="A439" s="3"/>
      <c r="B439" s="3"/>
    </row>
    <row r="440" spans="1:2" ht="16.5" customHeight="1">
      <c r="A440" s="3"/>
      <c r="B440" s="3"/>
    </row>
    <row r="441" spans="1:2" ht="16.5" customHeight="1">
      <c r="A441" s="3"/>
      <c r="B441" s="3"/>
    </row>
    <row r="442" spans="1:2" ht="16.5" customHeight="1">
      <c r="A442" s="3"/>
      <c r="B442" s="3"/>
    </row>
    <row r="443" spans="1:2" ht="16.5" customHeight="1">
      <c r="A443" s="3"/>
      <c r="B443" s="3"/>
    </row>
    <row r="444" spans="1:2" ht="16.5" customHeight="1">
      <c r="A444" s="3"/>
      <c r="B444" s="3"/>
    </row>
    <row r="445" spans="1:2" ht="16.5" customHeight="1">
      <c r="A445" s="3"/>
      <c r="B445" s="3"/>
    </row>
    <row r="446" spans="1:2" ht="16.5" customHeight="1">
      <c r="A446" s="3"/>
      <c r="B446" s="3"/>
    </row>
    <row r="447" spans="1:2" ht="16.5" customHeight="1">
      <c r="A447" s="3"/>
      <c r="B447" s="3"/>
    </row>
    <row r="448" spans="1:2" ht="16.5" customHeight="1">
      <c r="A448" s="3"/>
      <c r="B448" s="3"/>
    </row>
    <row r="449" spans="1:2" ht="16.5" customHeight="1">
      <c r="A449" s="3"/>
      <c r="B449" s="3"/>
    </row>
    <row r="450" spans="1:2" ht="16.5" customHeight="1">
      <c r="A450" s="3"/>
      <c r="B450" s="3"/>
    </row>
    <row r="451" spans="1:2" ht="16.5" customHeight="1">
      <c r="A451" s="3"/>
      <c r="B451" s="3"/>
    </row>
    <row r="452" spans="1:2" ht="16.5" customHeight="1">
      <c r="A452" s="3"/>
      <c r="B452" s="3"/>
    </row>
    <row r="453" spans="1:2" ht="16.5" customHeight="1">
      <c r="A453" s="3"/>
      <c r="B453" s="3"/>
    </row>
    <row r="454" spans="1:2" ht="16.5" customHeight="1">
      <c r="A454" s="3"/>
      <c r="B454" s="3"/>
    </row>
    <row r="455" spans="1:2" ht="16.5" customHeight="1">
      <c r="A455" s="3"/>
      <c r="B455" s="3"/>
    </row>
    <row r="456" spans="1:2" ht="16.5" customHeight="1">
      <c r="A456" s="3"/>
      <c r="B456" s="3"/>
    </row>
    <row r="457" spans="1:2" ht="16.5" customHeight="1">
      <c r="A457" s="3"/>
      <c r="B457" s="3"/>
    </row>
    <row r="458" spans="1:2" ht="16.5" customHeight="1">
      <c r="A458" s="3"/>
      <c r="B458" s="3"/>
    </row>
    <row r="459" spans="1:2" ht="16.5" customHeight="1">
      <c r="A459" s="3"/>
      <c r="B459" s="3"/>
    </row>
    <row r="460" spans="1:2" ht="16.5" customHeight="1">
      <c r="A460" s="3"/>
      <c r="B460" s="3"/>
    </row>
    <row r="461" spans="1:2" ht="16.5" customHeight="1">
      <c r="A461" s="3"/>
      <c r="B461" s="3"/>
    </row>
    <row r="462" spans="1:2" ht="16.5" customHeight="1">
      <c r="A462" s="3"/>
      <c r="B462" s="3"/>
    </row>
    <row r="463" spans="1:2" ht="16.5" customHeight="1">
      <c r="A463" s="3"/>
      <c r="B463" s="3"/>
    </row>
    <row r="464" spans="1:2" ht="16.5" customHeight="1">
      <c r="A464" s="3"/>
      <c r="B464" s="3"/>
    </row>
    <row r="465" spans="1:2" ht="16.5" customHeight="1">
      <c r="A465" s="3"/>
      <c r="B465" s="3"/>
    </row>
    <row r="466" spans="1:2" ht="16.5" customHeight="1">
      <c r="A466" s="3"/>
      <c r="B466" s="3"/>
    </row>
    <row r="467" spans="1:2" ht="16.5" customHeight="1">
      <c r="A467" s="3"/>
      <c r="B467" s="3"/>
    </row>
    <row r="468" spans="1:2" ht="16.5" customHeight="1">
      <c r="A468" s="3"/>
      <c r="B468" s="3"/>
    </row>
    <row r="469" spans="1:2" ht="16.5" customHeight="1">
      <c r="A469" s="3"/>
      <c r="B469" s="3"/>
    </row>
    <row r="470" spans="1:2" ht="16.5" customHeight="1">
      <c r="A470" s="3"/>
      <c r="B470" s="3"/>
    </row>
    <row r="471" spans="1:2" ht="16.5" customHeight="1">
      <c r="A471" s="3"/>
      <c r="B471" s="3"/>
    </row>
    <row r="472" spans="1:2" ht="16.5" customHeight="1">
      <c r="A472" s="3"/>
      <c r="B472" s="3"/>
    </row>
    <row r="473" spans="1:2" ht="16.5" customHeight="1">
      <c r="A473" s="3"/>
      <c r="B473" s="3"/>
    </row>
    <row r="474" spans="1:2" ht="16.5" customHeight="1">
      <c r="A474" s="3"/>
      <c r="B474" s="3"/>
    </row>
    <row r="475" spans="1:2" ht="16.5" customHeight="1">
      <c r="A475" s="3"/>
      <c r="B475" s="3"/>
    </row>
    <row r="476" spans="1:2" ht="16.5" customHeight="1">
      <c r="A476" s="3"/>
      <c r="B476" s="3"/>
    </row>
    <row r="477" spans="1:2" ht="16.5" customHeight="1">
      <c r="A477" s="3"/>
      <c r="B477" s="3"/>
    </row>
    <row r="478" spans="1:2" ht="16.5" customHeight="1">
      <c r="A478" s="3"/>
      <c r="B478" s="3"/>
    </row>
    <row r="479" spans="1:2" ht="16.5" customHeight="1">
      <c r="A479" s="3"/>
      <c r="B479" s="3"/>
    </row>
    <row r="480" spans="1:2" ht="16.5" customHeight="1">
      <c r="A480" s="3"/>
      <c r="B480" s="3"/>
    </row>
    <row r="481" spans="1:2" ht="16.5" customHeight="1">
      <c r="A481" s="3"/>
      <c r="B481" s="3"/>
    </row>
    <row r="482" spans="1:2" ht="16.5" customHeight="1">
      <c r="A482" s="3"/>
      <c r="B482" s="3"/>
    </row>
    <row r="483" spans="1:2" ht="16.5" customHeight="1">
      <c r="A483" s="3"/>
      <c r="B483" s="3"/>
    </row>
    <row r="484" spans="1:2" ht="16.5" customHeight="1">
      <c r="A484" s="3"/>
      <c r="B484" s="3"/>
    </row>
    <row r="485" spans="1:2" ht="16.5" customHeight="1">
      <c r="A485" s="3"/>
      <c r="B485" s="3"/>
    </row>
    <row r="486" spans="1:2" ht="16.5" customHeight="1">
      <c r="A486" s="3"/>
      <c r="B486" s="3"/>
    </row>
    <row r="487" spans="1:2" ht="16.5" customHeight="1">
      <c r="A487" s="3"/>
      <c r="B487" s="3"/>
    </row>
    <row r="488" spans="1:2" ht="16.5" customHeight="1">
      <c r="A488" s="3"/>
      <c r="B488" s="3"/>
    </row>
    <row r="489" spans="1:2" ht="16.5" customHeight="1">
      <c r="A489" s="3"/>
      <c r="B489" s="3"/>
    </row>
    <row r="490" spans="1:2" ht="16.5" customHeight="1">
      <c r="A490" s="3"/>
      <c r="B490" s="3"/>
    </row>
    <row r="491" spans="1:2" ht="16.5" customHeight="1">
      <c r="A491" s="3"/>
      <c r="B491" s="3"/>
    </row>
    <row r="492" spans="1:2" ht="16.5" customHeight="1">
      <c r="A492" s="3"/>
      <c r="B492" s="3"/>
    </row>
    <row r="493" spans="1:2" ht="16.5" customHeight="1">
      <c r="A493" s="3"/>
      <c r="B493" s="3"/>
    </row>
    <row r="494" spans="1:2" ht="16.5" customHeight="1">
      <c r="A494" s="3"/>
      <c r="B494" s="3"/>
    </row>
    <row r="495" spans="1:2" ht="16.5" customHeight="1">
      <c r="A495" s="3"/>
      <c r="B495" s="3"/>
    </row>
    <row r="496" spans="1:2" ht="16.5" customHeight="1">
      <c r="A496" s="3"/>
      <c r="B496" s="3"/>
    </row>
    <row r="497" spans="1:2" ht="16.5" customHeight="1">
      <c r="A497" s="3"/>
      <c r="B497" s="3"/>
    </row>
    <row r="498" spans="1:2" ht="16.5" customHeight="1">
      <c r="A498" s="3"/>
      <c r="B498" s="3"/>
    </row>
    <row r="499" spans="1:2" ht="16.5" customHeight="1">
      <c r="A499" s="3"/>
      <c r="B499" s="3"/>
    </row>
    <row r="500" spans="1:2" ht="16.5" customHeight="1">
      <c r="A500" s="3"/>
      <c r="B500" s="3"/>
    </row>
    <row r="501" spans="1:2" ht="16.5" customHeight="1">
      <c r="A501" s="3"/>
      <c r="B501" s="3"/>
    </row>
    <row r="502" spans="1:2" ht="16.5" customHeight="1">
      <c r="A502" s="3"/>
      <c r="B502" s="3"/>
    </row>
    <row r="503" spans="1:2" ht="16.5" customHeight="1">
      <c r="A503" s="3"/>
      <c r="B503" s="3"/>
    </row>
    <row r="504" spans="1:2" ht="16.5" customHeight="1">
      <c r="A504" s="3"/>
      <c r="B504" s="3"/>
    </row>
    <row r="505" spans="1:2" ht="16.5" customHeight="1">
      <c r="A505" s="3"/>
      <c r="B505" s="3"/>
    </row>
    <row r="506" spans="1:2" ht="16.5" customHeight="1">
      <c r="A506" s="3"/>
      <c r="B506" s="3"/>
    </row>
    <row r="507" spans="1:2" ht="16.5" customHeight="1">
      <c r="A507" s="3"/>
      <c r="B507" s="3"/>
    </row>
    <row r="508" spans="1:2" ht="16.5" customHeight="1">
      <c r="A508" s="3"/>
      <c r="B508" s="3"/>
    </row>
    <row r="509" spans="1:2" ht="16.5" customHeight="1">
      <c r="A509" s="3"/>
      <c r="B509" s="3"/>
    </row>
    <row r="510" spans="1:2" ht="16.5" customHeight="1">
      <c r="A510" s="3"/>
      <c r="B510" s="3"/>
    </row>
    <row r="511" spans="1:2" ht="16.5" customHeight="1">
      <c r="A511" s="3"/>
      <c r="B511" s="3"/>
    </row>
    <row r="512" spans="1:2" ht="16.5" customHeight="1">
      <c r="A512" s="3"/>
      <c r="B512" s="3"/>
    </row>
    <row r="513" spans="1:2" ht="16.5" customHeight="1">
      <c r="A513" s="3"/>
      <c r="B513" s="3"/>
    </row>
    <row r="514" spans="1:2" ht="16.5" customHeight="1">
      <c r="A514" s="3"/>
      <c r="B514" s="3"/>
    </row>
    <row r="515" spans="1:2" ht="16.5" customHeight="1">
      <c r="A515" s="3"/>
      <c r="B515" s="3"/>
    </row>
    <row r="516" spans="1:2" ht="16.5" customHeight="1">
      <c r="A516" s="3"/>
      <c r="B516" s="3"/>
    </row>
    <row r="517" spans="1:2" ht="16.5" customHeight="1">
      <c r="A517" s="3"/>
      <c r="B517" s="3"/>
    </row>
    <row r="518" spans="1:2" ht="16.5" customHeight="1">
      <c r="A518" s="3"/>
      <c r="B518" s="3"/>
    </row>
    <row r="519" spans="1:2" ht="16.5" customHeight="1">
      <c r="A519" s="3"/>
      <c r="B519" s="3"/>
    </row>
    <row r="520" spans="1:2" ht="16.5" customHeight="1">
      <c r="A520" s="3"/>
      <c r="B520" s="3"/>
    </row>
    <row r="521" spans="1:2" ht="16.5" customHeight="1">
      <c r="A521" s="3"/>
      <c r="B521" s="3"/>
    </row>
    <row r="522" spans="1:2" ht="16.5" customHeight="1">
      <c r="A522" s="3"/>
      <c r="B522" s="3"/>
    </row>
    <row r="523" spans="1:2" ht="16.5" customHeight="1">
      <c r="A523" s="3"/>
      <c r="B523" s="3"/>
    </row>
    <row r="524" spans="1:2" ht="16.5" customHeight="1">
      <c r="A524" s="3"/>
      <c r="B524" s="3"/>
    </row>
    <row r="525" spans="1:2" ht="16.5" customHeight="1">
      <c r="A525" s="3"/>
      <c r="B525" s="3"/>
    </row>
    <row r="526" spans="1:2" ht="16.5" customHeight="1">
      <c r="A526" s="3"/>
      <c r="B526" s="3"/>
    </row>
    <row r="527" spans="1:2" ht="16.5" customHeight="1">
      <c r="A527" s="3"/>
      <c r="B527" s="3"/>
    </row>
    <row r="528" spans="1:2" ht="16.5" customHeight="1">
      <c r="A528" s="3"/>
      <c r="B528" s="3"/>
    </row>
    <row r="529" spans="1:2" ht="16.5" customHeight="1">
      <c r="A529" s="3"/>
      <c r="B529" s="3"/>
    </row>
    <row r="530" spans="1:2" ht="16.5" customHeight="1">
      <c r="A530" s="3"/>
      <c r="B530" s="3"/>
    </row>
    <row r="531" spans="1:2" ht="16.5" customHeight="1">
      <c r="A531" s="3"/>
      <c r="B531" s="3"/>
    </row>
    <row r="532" spans="1:2" ht="16.5" customHeight="1">
      <c r="A532" s="3"/>
      <c r="B532" s="3"/>
    </row>
    <row r="533" spans="1:2" ht="16.5" customHeight="1">
      <c r="A533" s="3"/>
      <c r="B533" s="3"/>
    </row>
    <row r="534" spans="1:2" ht="16.5" customHeight="1">
      <c r="A534" s="3"/>
      <c r="B534" s="3"/>
    </row>
    <row r="535" spans="1:2" ht="16.5" customHeight="1">
      <c r="A535" s="3"/>
      <c r="B535" s="3"/>
    </row>
    <row r="536" spans="1:2" ht="16.5" customHeight="1">
      <c r="A536" s="3"/>
      <c r="B536" s="3"/>
    </row>
    <row r="537" spans="1:2" ht="16.5" customHeight="1">
      <c r="A537" s="3"/>
      <c r="B537" s="3"/>
    </row>
    <row r="538" spans="1:2" ht="16.5" customHeight="1">
      <c r="A538" s="3"/>
      <c r="B538" s="3"/>
    </row>
    <row r="539" spans="1:2" ht="16.5" customHeight="1">
      <c r="A539" s="3"/>
      <c r="B539" s="3"/>
    </row>
    <row r="540" spans="1:2" ht="16.5" customHeight="1">
      <c r="A540" s="3"/>
      <c r="B540" s="3"/>
    </row>
    <row r="541" spans="1:2" ht="16.5" customHeight="1">
      <c r="A541" s="3"/>
      <c r="B541" s="3"/>
    </row>
    <row r="542" spans="1:2" ht="16.5" customHeight="1">
      <c r="A542" s="3"/>
      <c r="B542" s="3"/>
    </row>
    <row r="543" spans="1:2" ht="16.5" customHeight="1">
      <c r="A543" s="3"/>
      <c r="B543" s="3"/>
    </row>
    <row r="544" spans="1:2" ht="16.5" customHeight="1">
      <c r="A544" s="3"/>
      <c r="B544" s="3"/>
    </row>
    <row r="545" spans="1:2" ht="16.5" customHeight="1">
      <c r="A545" s="3"/>
      <c r="B545" s="3"/>
    </row>
    <row r="546" spans="1:2" ht="16.5" customHeight="1">
      <c r="A546" s="3"/>
      <c r="B546" s="3"/>
    </row>
    <row r="547" spans="1:2" ht="16.5" customHeight="1">
      <c r="A547" s="3"/>
      <c r="B547" s="3"/>
    </row>
    <row r="548" spans="1:2" ht="16.5" customHeight="1">
      <c r="A548" s="3"/>
      <c r="B548" s="3"/>
    </row>
    <row r="549" spans="1:2" ht="16.5" customHeight="1">
      <c r="A549" s="3"/>
      <c r="B549" s="3"/>
    </row>
    <row r="550" spans="1:2" ht="16.5" customHeight="1">
      <c r="A550" s="3"/>
      <c r="B550" s="3"/>
    </row>
    <row r="551" spans="1:2" ht="16.5" customHeight="1">
      <c r="A551" s="3"/>
      <c r="B551" s="3"/>
    </row>
    <row r="552" spans="1:2" ht="16.5" customHeight="1">
      <c r="A552" s="3"/>
      <c r="B552" s="3"/>
    </row>
    <row r="553" spans="1:2" ht="16.5" customHeight="1">
      <c r="A553" s="3"/>
      <c r="B553" s="3"/>
    </row>
    <row r="554" spans="1:2" ht="16.5" customHeight="1">
      <c r="A554" s="3"/>
      <c r="B554" s="3"/>
    </row>
    <row r="555" spans="1:2" ht="16.5" customHeight="1">
      <c r="A555" s="3"/>
      <c r="B555" s="3"/>
    </row>
    <row r="556" spans="1:2" ht="16.5" customHeight="1">
      <c r="A556" s="3"/>
      <c r="B556" s="3"/>
    </row>
    <row r="557" spans="1:2" ht="16.5" customHeight="1">
      <c r="A557" s="3"/>
      <c r="B557" s="3"/>
    </row>
    <row r="558" spans="1:2" ht="16.5" customHeight="1">
      <c r="A558" s="3"/>
      <c r="B558" s="3"/>
    </row>
    <row r="559" spans="1:2" ht="16.5" customHeight="1">
      <c r="A559" s="3"/>
      <c r="B559" s="3"/>
    </row>
    <row r="560" spans="1:2" ht="16.5" customHeight="1">
      <c r="A560" s="3"/>
      <c r="B560" s="3"/>
    </row>
    <row r="561" spans="1:2" ht="16.5" customHeight="1">
      <c r="A561" s="3"/>
      <c r="B561" s="3"/>
    </row>
    <row r="562" spans="1:2" ht="16.5" customHeight="1">
      <c r="A562" s="3"/>
      <c r="B562" s="3"/>
    </row>
    <row r="563" spans="1:2" ht="16.5" customHeight="1">
      <c r="A563" s="3"/>
      <c r="B563" s="3"/>
    </row>
    <row r="564" spans="1:2" ht="16.5" customHeight="1">
      <c r="A564" s="3"/>
      <c r="B564" s="3"/>
    </row>
    <row r="565" spans="1:2" ht="16.5" customHeight="1">
      <c r="A565" s="3"/>
      <c r="B565" s="3"/>
    </row>
    <row r="566" spans="1:2" ht="16.5" customHeight="1">
      <c r="A566" s="3"/>
      <c r="B566" s="3"/>
    </row>
    <row r="567" spans="1:2" ht="16.5" customHeight="1">
      <c r="A567" s="3"/>
      <c r="B567" s="3"/>
    </row>
    <row r="568" spans="1:2" ht="16.5" customHeight="1">
      <c r="A568" s="3"/>
      <c r="B568" s="3"/>
    </row>
    <row r="569" spans="1:2" ht="16.5" customHeight="1">
      <c r="A569" s="3"/>
      <c r="B569" s="3"/>
    </row>
    <row r="570" spans="1:2" ht="16.5" customHeight="1">
      <c r="A570" s="3"/>
      <c r="B570" s="3"/>
    </row>
    <row r="571" spans="1:2" ht="16.5" customHeight="1">
      <c r="A571" s="3"/>
      <c r="B571" s="3"/>
    </row>
    <row r="572" spans="1:2" ht="16.5" customHeight="1">
      <c r="A572" s="3"/>
      <c r="B572" s="3"/>
    </row>
    <row r="573" spans="1:2" ht="16.5" customHeight="1">
      <c r="A573" s="3"/>
      <c r="B573" s="3"/>
    </row>
    <row r="574" spans="1:2" ht="16.5" customHeight="1">
      <c r="A574" s="3"/>
      <c r="B574" s="3"/>
    </row>
    <row r="575" spans="1:2" ht="16.5" customHeight="1">
      <c r="A575" s="3"/>
      <c r="B575" s="3"/>
    </row>
    <row r="576" spans="1:2" ht="16.5" customHeight="1">
      <c r="A576" s="3"/>
      <c r="B576" s="3"/>
    </row>
    <row r="577" spans="1:2" ht="16.5" customHeight="1">
      <c r="A577" s="3"/>
      <c r="B577" s="3"/>
    </row>
    <row r="578" spans="1:2" ht="16.5" customHeight="1">
      <c r="A578" s="3"/>
      <c r="B578" s="3"/>
    </row>
    <row r="579" spans="1:2" ht="16.5" customHeight="1">
      <c r="A579" s="3"/>
      <c r="B579" s="3"/>
    </row>
    <row r="580" spans="1:2" ht="16.5" customHeight="1">
      <c r="A580" s="3"/>
      <c r="B580" s="3"/>
    </row>
    <row r="581" spans="1:2" ht="16.5" customHeight="1">
      <c r="A581" s="3"/>
      <c r="B581" s="3"/>
    </row>
    <row r="582" spans="1:2" ht="16.5" customHeight="1">
      <c r="A582" s="3"/>
      <c r="B582" s="3"/>
    </row>
    <row r="583" spans="1:2" ht="16.5" customHeight="1">
      <c r="A583" s="3"/>
      <c r="B583" s="3"/>
    </row>
    <row r="584" spans="1:2" ht="16.5" customHeight="1">
      <c r="A584" s="3"/>
      <c r="B584" s="3"/>
    </row>
    <row r="585" spans="1:2" ht="16.5" customHeight="1">
      <c r="A585" s="3"/>
      <c r="B585" s="3"/>
    </row>
    <row r="586" spans="1:2" ht="16.5" customHeight="1">
      <c r="A586" s="3"/>
      <c r="B586" s="3"/>
    </row>
    <row r="587" spans="1:2" ht="16.5" customHeight="1">
      <c r="A587" s="3"/>
      <c r="B587" s="3"/>
    </row>
    <row r="588" spans="1:2" ht="16.5" customHeight="1">
      <c r="A588" s="3"/>
      <c r="B588" s="3"/>
    </row>
    <row r="589" spans="1:2" ht="16.5" customHeight="1">
      <c r="A589" s="3"/>
      <c r="B589" s="3"/>
    </row>
    <row r="590" spans="1:2" ht="16.5" customHeight="1">
      <c r="A590" s="3"/>
      <c r="B590" s="3"/>
    </row>
    <row r="591" spans="1:2" ht="16.5" customHeight="1">
      <c r="A591" s="3"/>
      <c r="B591" s="3"/>
    </row>
    <row r="592" spans="1:2" ht="16.5" customHeight="1">
      <c r="A592" s="3"/>
      <c r="B592" s="3"/>
    </row>
    <row r="593" spans="1:2" ht="16.5" customHeight="1">
      <c r="A593" s="3"/>
      <c r="B593" s="3"/>
    </row>
    <row r="594" spans="1:2" ht="16.5" customHeight="1">
      <c r="A594" s="3"/>
      <c r="B594" s="3"/>
    </row>
    <row r="595" spans="1:2" ht="16.5" customHeight="1">
      <c r="A595" s="3"/>
      <c r="B595" s="3"/>
    </row>
    <row r="596" spans="1:2" ht="16.5" customHeight="1">
      <c r="A596" s="3"/>
      <c r="B596" s="3"/>
    </row>
    <row r="597" spans="1:2" ht="16.5" customHeight="1">
      <c r="A597" s="3"/>
      <c r="B597" s="3"/>
    </row>
    <row r="598" spans="1:2" ht="16.5" customHeight="1">
      <c r="A598" s="3"/>
      <c r="B598" s="3"/>
    </row>
    <row r="599" spans="1:2" ht="16.5" customHeight="1">
      <c r="A599" s="3"/>
      <c r="B599" s="3"/>
    </row>
    <row r="600" spans="1:2" ht="16.5" customHeight="1">
      <c r="A600" s="3"/>
      <c r="B600" s="3"/>
    </row>
    <row r="601" spans="1:2" ht="16.5" customHeight="1">
      <c r="A601" s="3"/>
      <c r="B601" s="3"/>
    </row>
    <row r="602" spans="1:2" ht="16.5" customHeight="1">
      <c r="A602" s="3"/>
      <c r="B602" s="3"/>
    </row>
    <row r="603" spans="1:2" ht="16.5" customHeight="1">
      <c r="A603" s="3"/>
      <c r="B603" s="3"/>
    </row>
    <row r="604" spans="1:2" ht="16.5" customHeight="1">
      <c r="A604" s="3"/>
      <c r="B604" s="3"/>
    </row>
    <row r="605" spans="1:2" ht="16.5" customHeight="1">
      <c r="A605" s="3"/>
      <c r="B605" s="3"/>
    </row>
    <row r="606" spans="1:2" ht="16.5" customHeight="1">
      <c r="A606" s="3"/>
      <c r="B606" s="3"/>
    </row>
    <row r="607" spans="1:2" ht="16.5" customHeight="1">
      <c r="A607" s="3"/>
      <c r="B607" s="3"/>
    </row>
    <row r="608" spans="1:2" ht="16.5" customHeight="1">
      <c r="A608" s="3"/>
      <c r="B608" s="3"/>
    </row>
    <row r="609" spans="1:2" ht="16.5" customHeight="1">
      <c r="A609" s="3"/>
      <c r="B609" s="3"/>
    </row>
    <row r="610" spans="1:2" ht="16.5" customHeight="1">
      <c r="A610" s="3"/>
      <c r="B610" s="3"/>
    </row>
    <row r="611" spans="1:2" ht="16.5" customHeight="1">
      <c r="A611" s="3"/>
      <c r="B611" s="3"/>
    </row>
    <row r="612" spans="1:2" ht="16.5" customHeight="1">
      <c r="A612" s="3"/>
      <c r="B612" s="3"/>
    </row>
    <row r="613" spans="1:2" ht="16.5" customHeight="1">
      <c r="A613" s="3"/>
      <c r="B613" s="3"/>
    </row>
    <row r="614" spans="1:2" ht="16.5" customHeight="1">
      <c r="A614" s="3"/>
      <c r="B614" s="3"/>
    </row>
    <row r="615" spans="1:2" ht="16.5" customHeight="1">
      <c r="A615" s="3"/>
      <c r="B615" s="3"/>
    </row>
    <row r="616" spans="1:2" ht="16.5" customHeight="1">
      <c r="A616" s="3"/>
      <c r="B616" s="3"/>
    </row>
    <row r="617" spans="1:2" ht="16.5" customHeight="1">
      <c r="A617" s="3"/>
      <c r="B617" s="3"/>
    </row>
    <row r="618" spans="1:2" ht="16.5" customHeight="1">
      <c r="A618" s="3"/>
      <c r="B618" s="3"/>
    </row>
    <row r="619" spans="1:2" ht="16.5" customHeight="1">
      <c r="A619" s="3"/>
      <c r="B619" s="3"/>
    </row>
    <row r="620" spans="1:2" ht="16.5" customHeight="1">
      <c r="A620" s="3"/>
      <c r="B620" s="3"/>
    </row>
    <row r="621" spans="1:2" ht="16.5" customHeight="1">
      <c r="A621" s="3"/>
      <c r="B621" s="3"/>
    </row>
    <row r="622" spans="1:2" ht="16.5" customHeight="1">
      <c r="A622" s="3"/>
      <c r="B622" s="3"/>
    </row>
    <row r="623" spans="1:2" ht="16.5" customHeight="1">
      <c r="A623" s="3"/>
      <c r="B623" s="3"/>
    </row>
    <row r="624" spans="1:2" ht="16.5" customHeight="1">
      <c r="A624" s="3"/>
      <c r="B624" s="3"/>
    </row>
    <row r="625" spans="1:2" ht="16.5" customHeight="1">
      <c r="A625" s="3"/>
      <c r="B625" s="3"/>
    </row>
    <row r="626" spans="1:2" ht="16.5" customHeight="1">
      <c r="A626" s="3"/>
      <c r="B626" s="3"/>
    </row>
    <row r="627" spans="1:2" ht="16.5" customHeight="1">
      <c r="A627" s="3"/>
      <c r="B627" s="3"/>
    </row>
    <row r="628" spans="1:2" ht="16.5" customHeight="1">
      <c r="A628" s="3"/>
      <c r="B628" s="3"/>
    </row>
    <row r="629" spans="1:2" ht="16.5" customHeight="1">
      <c r="A629" s="3"/>
      <c r="B629" s="3"/>
    </row>
    <row r="630" spans="1:2" ht="16.5" customHeight="1">
      <c r="A630" s="3"/>
      <c r="B630" s="3"/>
    </row>
    <row r="631" spans="1:2" ht="16.5" customHeight="1">
      <c r="A631" s="3"/>
      <c r="B631" s="3"/>
    </row>
    <row r="632" spans="1:2" ht="16.5" customHeight="1">
      <c r="A632" s="3"/>
      <c r="B632" s="3"/>
    </row>
    <row r="633" spans="1:2" ht="16.5" customHeight="1">
      <c r="A633" s="3"/>
      <c r="B633" s="3"/>
    </row>
    <row r="634" spans="1:2" ht="16.5" customHeight="1">
      <c r="A634" s="3"/>
      <c r="B634" s="3"/>
    </row>
    <row r="635" spans="1:2" ht="16.5" customHeight="1">
      <c r="A635" s="3"/>
      <c r="B635" s="3"/>
    </row>
    <row r="636" spans="1:2" ht="16.5" customHeight="1">
      <c r="A636" s="3"/>
      <c r="B636" s="3"/>
    </row>
    <row r="637" spans="1:2" ht="16.5" customHeight="1">
      <c r="A637" s="3"/>
      <c r="B637" s="3"/>
    </row>
    <row r="638" spans="1:2" ht="16.5" customHeight="1">
      <c r="A638" s="3"/>
      <c r="B638" s="3"/>
    </row>
    <row r="639" spans="1:2" ht="16.5" customHeight="1">
      <c r="A639" s="3"/>
      <c r="B639" s="3"/>
    </row>
    <row r="640" spans="1:2" ht="16.5" customHeight="1">
      <c r="A640" s="3"/>
      <c r="B640" s="3"/>
    </row>
    <row r="641" spans="1:2" ht="16.5" customHeight="1">
      <c r="A641" s="3"/>
      <c r="B641" s="3"/>
    </row>
    <row r="642" spans="1:2" ht="16.5" customHeight="1">
      <c r="A642" s="3"/>
      <c r="B642" s="3"/>
    </row>
    <row r="643" spans="1:2" ht="16.5" customHeight="1">
      <c r="A643" s="3"/>
      <c r="B643" s="3"/>
    </row>
    <row r="644" spans="1:2" ht="16.5" customHeight="1">
      <c r="A644" s="3"/>
      <c r="B644" s="3"/>
    </row>
    <row r="645" spans="1:2" ht="16.5" customHeight="1">
      <c r="A645" s="3"/>
      <c r="B645" s="3"/>
    </row>
    <row r="646" spans="1:2" ht="16.5" customHeight="1">
      <c r="A646" s="3"/>
      <c r="B646" s="3"/>
    </row>
    <row r="647" spans="1:2" ht="16.5" customHeight="1">
      <c r="A647" s="3"/>
      <c r="B647" s="3"/>
    </row>
    <row r="648" spans="1:2" ht="16.5" customHeight="1">
      <c r="A648" s="3"/>
      <c r="B648" s="3"/>
    </row>
    <row r="649" spans="1:2" ht="16.5" customHeight="1">
      <c r="A649" s="3"/>
      <c r="B649" s="3"/>
    </row>
    <row r="650" spans="1:2" ht="16.5" customHeight="1">
      <c r="A650" s="3"/>
      <c r="B650" s="3"/>
    </row>
    <row r="651" spans="1:2" ht="16.5" customHeight="1">
      <c r="A651" s="3"/>
      <c r="B651" s="3"/>
    </row>
    <row r="652" spans="1:2" ht="16.5" customHeight="1">
      <c r="A652" s="3"/>
      <c r="B652" s="3"/>
    </row>
    <row r="653" spans="1:2" ht="16.5" customHeight="1">
      <c r="A653" s="3"/>
      <c r="B653" s="3"/>
    </row>
    <row r="654" spans="1:2" ht="16.5" customHeight="1">
      <c r="A654" s="3"/>
      <c r="B654" s="3"/>
    </row>
    <row r="655" spans="1:2" ht="16.5" customHeight="1">
      <c r="A655" s="3"/>
      <c r="B655" s="3"/>
    </row>
    <row r="656" spans="1:2" ht="16.5" customHeight="1">
      <c r="A656" s="3"/>
      <c r="B656" s="3"/>
    </row>
    <row r="657" spans="1:2" ht="16.5" customHeight="1">
      <c r="A657" s="3"/>
      <c r="B657" s="3"/>
    </row>
    <row r="658" spans="1:2" ht="16.5" customHeight="1">
      <c r="A658" s="3"/>
      <c r="B658" s="3"/>
    </row>
    <row r="659" spans="1:2" ht="16.5" customHeight="1">
      <c r="A659" s="3"/>
      <c r="B659" s="3"/>
    </row>
    <row r="660" spans="1:2" ht="16.5" customHeight="1">
      <c r="A660" s="3"/>
      <c r="B660" s="3"/>
    </row>
    <row r="661" spans="1:2" ht="16.5" customHeight="1">
      <c r="A661" s="3"/>
      <c r="B661" s="3"/>
    </row>
    <row r="662" spans="1:2" ht="16.5" customHeight="1">
      <c r="A662" s="3"/>
      <c r="B662" s="3"/>
    </row>
    <row r="663" spans="1:2" ht="16.5" customHeight="1">
      <c r="A663" s="3"/>
      <c r="B663" s="3"/>
    </row>
    <row r="664" spans="1:2" ht="16.5" customHeight="1">
      <c r="A664" s="3"/>
      <c r="B664" s="3"/>
    </row>
    <row r="665" spans="1:2" ht="16.5" customHeight="1">
      <c r="A665" s="3"/>
      <c r="B665" s="3"/>
    </row>
    <row r="666" spans="1:2" ht="16.5" customHeight="1">
      <c r="A666" s="3"/>
      <c r="B666" s="3"/>
    </row>
    <row r="667" spans="1:2" ht="16.5" customHeight="1">
      <c r="A667" s="3"/>
      <c r="B667" s="3"/>
    </row>
    <row r="668" spans="1:2" ht="16.5" customHeight="1">
      <c r="A668" s="3"/>
      <c r="B668" s="3"/>
    </row>
    <row r="669" spans="1:2" ht="16.5" customHeight="1">
      <c r="A669" s="3"/>
      <c r="B669" s="3"/>
    </row>
    <row r="670" spans="1:2" ht="16.5" customHeight="1">
      <c r="A670" s="3"/>
      <c r="B670" s="3"/>
    </row>
    <row r="671" spans="1:2" ht="16.5" customHeight="1">
      <c r="A671" s="3"/>
      <c r="B671" s="3"/>
    </row>
    <row r="672" spans="1:2" ht="16.5" customHeight="1">
      <c r="A672" s="3"/>
      <c r="B672" s="3"/>
    </row>
    <row r="673" spans="1:2" ht="16.5" customHeight="1">
      <c r="A673" s="3"/>
      <c r="B673" s="3"/>
    </row>
    <row r="674" spans="1:2" ht="16.5" customHeight="1">
      <c r="A674" s="3"/>
      <c r="B674" s="3"/>
    </row>
    <row r="675" spans="1:2" ht="16.5" customHeight="1">
      <c r="A675" s="3"/>
      <c r="B675" s="3"/>
    </row>
    <row r="676" spans="1:2" ht="16.5" customHeight="1">
      <c r="A676" s="3"/>
      <c r="B676" s="3"/>
    </row>
    <row r="677" spans="1:2" ht="16.5" customHeight="1">
      <c r="A677" s="3"/>
      <c r="B677" s="3"/>
    </row>
    <row r="678" spans="1:2" ht="16.5" customHeight="1">
      <c r="A678" s="3"/>
      <c r="B678" s="3"/>
    </row>
    <row r="679" spans="1:2" ht="16.5" customHeight="1">
      <c r="A679" s="3"/>
      <c r="B679" s="3"/>
    </row>
    <row r="680" spans="1:2" ht="16.5" customHeight="1">
      <c r="A680" s="3"/>
      <c r="B680" s="3"/>
    </row>
    <row r="681" spans="1:2" ht="16.5" customHeight="1">
      <c r="A681" s="3"/>
      <c r="B681" s="3"/>
    </row>
    <row r="682" spans="1:2" ht="16.5" customHeight="1">
      <c r="A682" s="3"/>
      <c r="B682" s="3"/>
    </row>
    <row r="683" spans="1:2" ht="16.5" customHeight="1">
      <c r="A683" s="3"/>
      <c r="B683" s="3"/>
    </row>
    <row r="684" spans="1:2" ht="16.5" customHeight="1">
      <c r="A684" s="3"/>
      <c r="B684" s="3"/>
    </row>
    <row r="685" spans="1:2" ht="16.5" customHeight="1">
      <c r="A685" s="3"/>
      <c r="B685" s="3"/>
    </row>
    <row r="686" spans="1:2" ht="16.5" customHeight="1">
      <c r="A686" s="3"/>
      <c r="B686" s="3"/>
    </row>
    <row r="687" spans="1:2" ht="16.5" customHeight="1">
      <c r="A687" s="3"/>
      <c r="B687" s="3"/>
    </row>
    <row r="688" spans="1:2" ht="16.5" customHeight="1">
      <c r="A688" s="3"/>
      <c r="B688" s="3"/>
    </row>
    <row r="689" spans="1:2" ht="16.5" customHeight="1">
      <c r="A689" s="3"/>
      <c r="B689" s="3"/>
    </row>
    <row r="690" spans="1:2" ht="16.5" customHeight="1">
      <c r="A690" s="3"/>
      <c r="B690" s="3"/>
    </row>
    <row r="691" spans="1:2" ht="16.5" customHeight="1">
      <c r="A691" s="3"/>
      <c r="B691" s="3"/>
    </row>
    <row r="692" spans="1:2" ht="16.5" customHeight="1">
      <c r="A692" s="3"/>
      <c r="B692" s="3"/>
    </row>
    <row r="693" spans="1:2" ht="16.5" customHeight="1">
      <c r="A693" s="3"/>
      <c r="B693" s="3"/>
    </row>
    <row r="694" spans="1:2" ht="16.5" customHeight="1">
      <c r="A694" s="3"/>
      <c r="B694" s="3"/>
    </row>
    <row r="695" spans="1:2" ht="16.5" customHeight="1">
      <c r="A695" s="3"/>
      <c r="B695" s="3"/>
    </row>
    <row r="696" spans="1:2" ht="16.5" customHeight="1">
      <c r="A696" s="3"/>
      <c r="B696" s="3"/>
    </row>
    <row r="697" spans="1:2" ht="16.5" customHeight="1">
      <c r="A697" s="3"/>
      <c r="B697" s="3"/>
    </row>
    <row r="698" spans="1:2" ht="16.5" customHeight="1">
      <c r="A698" s="3"/>
      <c r="B698" s="3"/>
    </row>
    <row r="699" spans="1:2" ht="16.5" customHeight="1">
      <c r="A699" s="3"/>
      <c r="B699" s="3"/>
    </row>
    <row r="700" spans="1:2" ht="16.5" customHeight="1">
      <c r="A700" s="3"/>
      <c r="B700" s="3"/>
    </row>
    <row r="701" spans="1:2" ht="16.5" customHeight="1">
      <c r="A701" s="3"/>
      <c r="B701" s="3"/>
    </row>
    <row r="702" spans="1:2" ht="16.5" customHeight="1">
      <c r="A702" s="3"/>
      <c r="B702" s="3"/>
    </row>
    <row r="703" spans="1:2" ht="16.5" customHeight="1">
      <c r="A703" s="3"/>
      <c r="B703" s="3"/>
    </row>
    <row r="704" spans="1:2" ht="16.5" customHeight="1">
      <c r="A704" s="3"/>
      <c r="B704" s="3"/>
    </row>
    <row r="705" spans="1:2" ht="16.5" customHeight="1">
      <c r="A705" s="3"/>
      <c r="B705" s="3"/>
    </row>
    <row r="706" spans="1:2" ht="16.5" customHeight="1">
      <c r="A706" s="3"/>
      <c r="B706" s="3"/>
    </row>
    <row r="707" spans="1:2" ht="16.5" customHeight="1">
      <c r="A707" s="3"/>
      <c r="B707" s="3"/>
    </row>
    <row r="708" spans="1:2" ht="16.5" customHeight="1">
      <c r="A708" s="3"/>
      <c r="B708" s="3"/>
    </row>
    <row r="709" spans="1:2" ht="16.5" customHeight="1">
      <c r="A709" s="3"/>
      <c r="B709" s="3"/>
    </row>
    <row r="710" spans="1:2" ht="16.5" customHeight="1">
      <c r="A710" s="3"/>
      <c r="B710" s="3"/>
    </row>
    <row r="711" spans="1:2" ht="16.5" customHeight="1">
      <c r="A711" s="3"/>
      <c r="B711" s="3"/>
    </row>
    <row r="712" spans="1:2" ht="16.5" customHeight="1">
      <c r="A712" s="3"/>
      <c r="B712" s="3"/>
    </row>
    <row r="713" spans="1:2" ht="16.5" customHeight="1">
      <c r="A713" s="3"/>
      <c r="B713" s="3"/>
    </row>
    <row r="714" spans="1:2" ht="16.5" customHeight="1">
      <c r="A714" s="3"/>
      <c r="B714" s="3"/>
    </row>
    <row r="715" spans="1:2" ht="16.5" customHeight="1">
      <c r="A715" s="3"/>
      <c r="B715" s="3"/>
    </row>
    <row r="716" spans="1:2" ht="16.5" customHeight="1">
      <c r="A716" s="3"/>
      <c r="B716" s="3"/>
    </row>
    <row r="717" spans="1:2" ht="16.5" customHeight="1">
      <c r="A717" s="3"/>
      <c r="B717" s="3"/>
    </row>
    <row r="718" spans="1:2" ht="16.5" customHeight="1">
      <c r="A718" s="3"/>
      <c r="B718" s="3"/>
    </row>
    <row r="719" spans="1:2" ht="16.5" customHeight="1">
      <c r="A719" s="3"/>
      <c r="B719" s="3"/>
    </row>
    <row r="720" spans="1:2" ht="16.5" customHeight="1">
      <c r="A720" s="3"/>
      <c r="B720" s="3"/>
    </row>
    <row r="721" spans="1:2" ht="16.5" customHeight="1">
      <c r="A721" s="3"/>
      <c r="B721" s="3"/>
    </row>
    <row r="722" spans="1:2" ht="16.5" customHeight="1">
      <c r="A722" s="3"/>
      <c r="B722" s="3"/>
    </row>
    <row r="723" spans="1:2" ht="16.5" customHeight="1">
      <c r="A723" s="3"/>
      <c r="B723" s="3"/>
    </row>
    <row r="724" spans="1:2" ht="16.5" customHeight="1">
      <c r="A724" s="3"/>
      <c r="B724" s="3"/>
    </row>
    <row r="725" spans="1:2" ht="16.5" customHeight="1">
      <c r="A725" s="3"/>
      <c r="B725" s="3"/>
    </row>
    <row r="726" spans="1:2" ht="16.5" customHeight="1">
      <c r="A726" s="3"/>
      <c r="B726" s="3"/>
    </row>
    <row r="727" spans="1:2" ht="16.5" customHeight="1">
      <c r="A727" s="3"/>
      <c r="B727" s="3"/>
    </row>
    <row r="728" spans="1:2" ht="16.5" customHeight="1">
      <c r="A728" s="3"/>
      <c r="B728" s="3"/>
    </row>
    <row r="729" spans="1:2" ht="16.5" customHeight="1">
      <c r="A729" s="3"/>
      <c r="B729" s="3"/>
    </row>
    <row r="730" spans="1:2" ht="16.5" customHeight="1">
      <c r="A730" s="3"/>
      <c r="B730" s="3"/>
    </row>
    <row r="731" spans="1:2" ht="16.5" customHeight="1">
      <c r="A731" s="3"/>
      <c r="B731" s="3"/>
    </row>
    <row r="732" spans="1:2" ht="16.5" customHeight="1">
      <c r="A732" s="3"/>
      <c r="B732" s="3"/>
    </row>
    <row r="733" spans="1:2" ht="16.5" customHeight="1">
      <c r="A733" s="3"/>
      <c r="B733" s="3"/>
    </row>
    <row r="734" spans="1:2" ht="16.5" customHeight="1">
      <c r="A734" s="3"/>
      <c r="B734" s="3"/>
    </row>
    <row r="735" spans="1:2" ht="16.5" customHeight="1">
      <c r="A735" s="3"/>
      <c r="B735" s="3"/>
    </row>
    <row r="736" spans="1:2" ht="16.5" customHeight="1">
      <c r="A736" s="3"/>
      <c r="B736" s="3"/>
    </row>
    <row r="737" spans="1:2" ht="16.5" customHeight="1">
      <c r="A737" s="3"/>
      <c r="B737" s="3"/>
    </row>
    <row r="738" spans="1:2" ht="16.5" customHeight="1">
      <c r="A738" s="3"/>
      <c r="B738" s="3"/>
    </row>
    <row r="739" spans="1:2" ht="16.5" customHeight="1">
      <c r="A739" s="3"/>
      <c r="B739" s="3"/>
    </row>
    <row r="740" spans="1:2" ht="16.5" customHeight="1">
      <c r="A740" s="3"/>
      <c r="B740" s="3"/>
    </row>
    <row r="741" spans="1:2" ht="16.5" customHeight="1">
      <c r="A741" s="3"/>
      <c r="B741" s="3"/>
    </row>
    <row r="742" spans="1:2" ht="16.5" customHeight="1">
      <c r="A742" s="3"/>
      <c r="B742" s="3"/>
    </row>
    <row r="743" spans="1:2" ht="16.5" customHeight="1">
      <c r="A743" s="3"/>
      <c r="B743" s="3"/>
    </row>
    <row r="744" spans="1:2" ht="16.5" customHeight="1">
      <c r="A744" s="3"/>
      <c r="B744" s="3"/>
    </row>
    <row r="745" spans="1:2" ht="16.5" customHeight="1">
      <c r="A745" s="3"/>
      <c r="B745" s="3"/>
    </row>
    <row r="746" spans="1:2" ht="16.5" customHeight="1">
      <c r="A746" s="3"/>
      <c r="B746" s="3"/>
    </row>
    <row r="747" spans="1:2" ht="16.5" customHeight="1">
      <c r="A747" s="3"/>
      <c r="B747" s="3"/>
    </row>
    <row r="748" spans="1:2" ht="16.5" customHeight="1">
      <c r="A748" s="3"/>
      <c r="B748" s="3"/>
    </row>
    <row r="749" spans="1:2" ht="16.5" customHeight="1">
      <c r="A749" s="3"/>
      <c r="B749" s="3"/>
    </row>
    <row r="750" spans="1:2" ht="16.5" customHeight="1">
      <c r="A750" s="3"/>
      <c r="B750" s="3"/>
    </row>
    <row r="751" spans="1:2" ht="16.5" customHeight="1">
      <c r="A751" s="3"/>
      <c r="B751" s="3"/>
    </row>
    <row r="752" spans="1:2" ht="16.5" customHeight="1">
      <c r="A752" s="3"/>
      <c r="B752" s="3"/>
    </row>
    <row r="753" spans="1:2" ht="16.5" customHeight="1">
      <c r="A753" s="3"/>
      <c r="B753" s="3"/>
    </row>
    <row r="754" spans="1:2" ht="16.5" customHeight="1">
      <c r="A754" s="3"/>
      <c r="B754" s="3"/>
    </row>
    <row r="755" spans="1:2" ht="16.5" customHeight="1">
      <c r="A755" s="3"/>
      <c r="B755" s="3"/>
    </row>
    <row r="756" spans="1:2" ht="16.5" customHeight="1">
      <c r="A756" s="3"/>
      <c r="B756" s="3"/>
    </row>
    <row r="757" spans="1:2" ht="16.5" customHeight="1">
      <c r="A757" s="3"/>
      <c r="B757" s="3"/>
    </row>
    <row r="758" spans="1:2" ht="16.5" customHeight="1">
      <c r="A758" s="3"/>
      <c r="B758" s="3"/>
    </row>
    <row r="759" spans="1:2" ht="16.5" customHeight="1">
      <c r="A759" s="3"/>
      <c r="B759" s="3"/>
    </row>
    <row r="760" spans="1:2" ht="16.5" customHeight="1">
      <c r="A760" s="3"/>
      <c r="B760" s="3"/>
    </row>
    <row r="761" spans="1:2" ht="16.5" customHeight="1">
      <c r="A761" s="3"/>
      <c r="B761" s="3"/>
    </row>
    <row r="762" spans="1:2" ht="16.5" customHeight="1">
      <c r="A762" s="3"/>
      <c r="B762" s="3"/>
    </row>
    <row r="763" spans="1:2" ht="16.5" customHeight="1">
      <c r="A763" s="3"/>
      <c r="B763" s="3"/>
    </row>
    <row r="764" spans="1:2" ht="16.5" customHeight="1">
      <c r="A764" s="3"/>
      <c r="B764" s="3"/>
    </row>
    <row r="765" spans="1:2" ht="16.5" customHeight="1">
      <c r="A765" s="3"/>
      <c r="B765" s="3"/>
    </row>
    <row r="766" spans="1:2" ht="16.5" customHeight="1">
      <c r="A766" s="3"/>
      <c r="B766" s="3"/>
    </row>
    <row r="767" spans="1:2" ht="16.5" customHeight="1">
      <c r="A767" s="3"/>
      <c r="B767" s="3"/>
    </row>
    <row r="768" spans="1:2" ht="16.5" customHeight="1">
      <c r="A768" s="3"/>
      <c r="B768" s="3"/>
    </row>
    <row r="769" spans="1:2" ht="16.5" customHeight="1">
      <c r="A769" s="3"/>
      <c r="B769" s="3"/>
    </row>
    <row r="770" spans="1:2" ht="16.5" customHeight="1">
      <c r="A770" s="3"/>
      <c r="B770" s="3"/>
    </row>
    <row r="771" spans="1:2" ht="16.5" customHeight="1">
      <c r="A771" s="3"/>
      <c r="B771" s="3"/>
    </row>
    <row r="772" spans="1:2" ht="16.5" customHeight="1">
      <c r="A772" s="3"/>
      <c r="B772" s="3"/>
    </row>
    <row r="773" spans="1:2" ht="16.5" customHeight="1">
      <c r="A773" s="3"/>
      <c r="B773" s="3"/>
    </row>
    <row r="774" spans="1:2" ht="16.5" customHeight="1">
      <c r="A774" s="3"/>
      <c r="B774" s="3"/>
    </row>
    <row r="775" spans="1:2" ht="16.5" customHeight="1">
      <c r="A775" s="3"/>
      <c r="B775" s="3"/>
    </row>
    <row r="776" spans="1:2" ht="16.5" customHeight="1">
      <c r="A776" s="3"/>
      <c r="B776" s="3"/>
    </row>
    <row r="777" spans="1:2" ht="16.5" customHeight="1">
      <c r="A777" s="3"/>
      <c r="B777" s="3"/>
    </row>
    <row r="778" spans="1:2" ht="16.5" customHeight="1">
      <c r="A778" s="3"/>
      <c r="B778" s="3"/>
    </row>
    <row r="779" spans="1:2" ht="16.5" customHeight="1">
      <c r="A779" s="3"/>
      <c r="B779" s="3"/>
    </row>
    <row r="780" spans="1:2" ht="16.5" customHeight="1">
      <c r="A780" s="3"/>
      <c r="B780" s="3"/>
    </row>
    <row r="781" spans="1:2" ht="16.5" customHeight="1">
      <c r="A781" s="3"/>
      <c r="B781" s="3"/>
    </row>
    <row r="782" spans="1:2" ht="16.5" customHeight="1">
      <c r="A782" s="3"/>
      <c r="B782" s="3"/>
    </row>
    <row r="783" spans="1:2" ht="16.5" customHeight="1">
      <c r="A783" s="3"/>
      <c r="B783" s="3"/>
    </row>
    <row r="784" spans="1:2" ht="16.5" customHeight="1">
      <c r="A784" s="3"/>
      <c r="B784" s="3"/>
    </row>
    <row r="785" spans="1:2" ht="16.5" customHeight="1">
      <c r="A785" s="3"/>
      <c r="B785" s="3"/>
    </row>
    <row r="786" spans="1:2" ht="16.5" customHeight="1">
      <c r="A786" s="3"/>
      <c r="B786" s="3"/>
    </row>
    <row r="787" spans="1:2" ht="16.5" customHeight="1">
      <c r="A787" s="3"/>
      <c r="B787" s="3"/>
    </row>
    <row r="788" spans="1:2" ht="16.5" customHeight="1">
      <c r="A788" s="3"/>
      <c r="B788" s="3"/>
    </row>
    <row r="789" spans="1:2" ht="16.5" customHeight="1">
      <c r="A789" s="3"/>
      <c r="B789" s="3"/>
    </row>
    <row r="790" spans="1:2" ht="16.5" customHeight="1">
      <c r="A790" s="3"/>
      <c r="B790" s="3"/>
    </row>
    <row r="791" spans="1:2" ht="16.5" customHeight="1">
      <c r="A791" s="3"/>
      <c r="B791" s="3"/>
    </row>
    <row r="792" spans="1:2" ht="16.5" customHeight="1">
      <c r="A792" s="3"/>
      <c r="B792" s="3"/>
    </row>
    <row r="793" spans="1:2" ht="16.5" customHeight="1">
      <c r="A793" s="3"/>
      <c r="B793" s="3"/>
    </row>
    <row r="794" spans="1:2" ht="16.5" customHeight="1">
      <c r="A794" s="3"/>
      <c r="B794" s="3"/>
    </row>
    <row r="795" spans="1:2" ht="16.5" customHeight="1">
      <c r="A795" s="3"/>
      <c r="B795" s="3"/>
    </row>
    <row r="796" spans="1:2" ht="16.5" customHeight="1">
      <c r="A796" s="3"/>
      <c r="B796" s="3"/>
    </row>
    <row r="797" spans="1:2" ht="16.5" customHeight="1">
      <c r="A797" s="3"/>
      <c r="B797" s="3"/>
    </row>
    <row r="798" spans="1:2" ht="16.5" customHeight="1">
      <c r="A798" s="3"/>
      <c r="B798" s="3"/>
    </row>
    <row r="799" spans="1:2" ht="16.5" customHeight="1">
      <c r="A799" s="3"/>
      <c r="B799" s="3"/>
    </row>
    <row r="800" spans="1:2" ht="16.5" customHeight="1">
      <c r="A800" s="3"/>
      <c r="B800" s="3"/>
    </row>
    <row r="801" spans="1:2" ht="16.5" customHeight="1">
      <c r="A801" s="3"/>
      <c r="B801" s="3"/>
    </row>
    <row r="802" spans="1:2" ht="16.5" customHeight="1">
      <c r="A802" s="3"/>
      <c r="B802" s="3"/>
    </row>
    <row r="803" spans="1:2" ht="16.5" customHeight="1">
      <c r="A803" s="3"/>
      <c r="B803" s="3"/>
    </row>
    <row r="804" spans="1:2" ht="16.5" customHeight="1">
      <c r="A804" s="3"/>
      <c r="B804" s="3"/>
    </row>
    <row r="805" spans="1:2" ht="16.5" customHeight="1">
      <c r="A805" s="3"/>
      <c r="B805" s="3"/>
    </row>
    <row r="806" spans="1:2" ht="16.5" customHeight="1">
      <c r="A806" s="3"/>
      <c r="B806" s="3"/>
    </row>
    <row r="807" spans="1:2" ht="16.5" customHeight="1">
      <c r="A807" s="3"/>
      <c r="B807" s="3"/>
    </row>
    <row r="808" spans="1:2" ht="16.5" customHeight="1">
      <c r="A808" s="3"/>
      <c r="B808" s="3"/>
    </row>
    <row r="809" spans="1:2" ht="16.5" customHeight="1">
      <c r="A809" s="3"/>
      <c r="B809" s="3"/>
    </row>
    <row r="810" spans="1:2" ht="16.5" customHeight="1">
      <c r="A810" s="3"/>
      <c r="B810" s="3"/>
    </row>
    <row r="811" spans="1:2" ht="16.5" customHeight="1">
      <c r="A811" s="3"/>
      <c r="B811" s="3"/>
    </row>
    <row r="812" spans="1:2" ht="16.5" customHeight="1">
      <c r="A812" s="3"/>
      <c r="B812" s="3"/>
    </row>
    <row r="813" spans="1:2" ht="16.5" customHeight="1">
      <c r="A813" s="3"/>
      <c r="B813" s="3"/>
    </row>
    <row r="814" spans="1:2" ht="16.5" customHeight="1">
      <c r="A814" s="3"/>
      <c r="B814" s="3"/>
    </row>
    <row r="815" spans="1:2" ht="16.5" customHeight="1">
      <c r="A815" s="3"/>
      <c r="B815" s="3"/>
    </row>
    <row r="816" spans="1:2" ht="16.5" customHeight="1">
      <c r="A816" s="3"/>
      <c r="B816" s="3"/>
    </row>
    <row r="817" spans="1:2" ht="16.5" customHeight="1">
      <c r="A817" s="3"/>
      <c r="B817" s="3"/>
    </row>
    <row r="818" spans="1:2" ht="16.5" customHeight="1">
      <c r="A818" s="3"/>
      <c r="B818" s="3"/>
    </row>
    <row r="819" spans="1:2" ht="16.5" customHeight="1">
      <c r="A819" s="3"/>
      <c r="B819" s="3"/>
    </row>
    <row r="820" spans="1:2" ht="16.5" customHeight="1">
      <c r="A820" s="3"/>
      <c r="B820" s="3"/>
    </row>
    <row r="821" spans="1:2" ht="16.5" customHeight="1">
      <c r="A821" s="3"/>
      <c r="B821" s="3"/>
    </row>
    <row r="822" spans="1:2" ht="16.5" customHeight="1">
      <c r="A822" s="3"/>
      <c r="B822" s="3"/>
    </row>
    <row r="823" spans="1:2" ht="16.5" customHeight="1">
      <c r="A823" s="3"/>
      <c r="B823" s="3"/>
    </row>
    <row r="824" spans="1:2" ht="16.5" customHeight="1">
      <c r="A824" s="3"/>
      <c r="B824" s="3"/>
    </row>
    <row r="825" spans="1:2" ht="16.5" customHeight="1">
      <c r="A825" s="3"/>
      <c r="B825" s="3"/>
    </row>
    <row r="826" spans="1:2" ht="16.5" customHeight="1">
      <c r="A826" s="3"/>
      <c r="B826" s="3"/>
    </row>
    <row r="827" spans="1:2" ht="16.5" customHeight="1">
      <c r="A827" s="3"/>
      <c r="B827" s="3"/>
    </row>
    <row r="828" spans="1:2" ht="16.5" customHeight="1">
      <c r="A828" s="3"/>
      <c r="B828" s="3"/>
    </row>
    <row r="829" spans="1:2" ht="16.5" customHeight="1">
      <c r="A829" s="3"/>
      <c r="B829" s="3"/>
    </row>
    <row r="830" spans="1:2" ht="16.5" customHeight="1">
      <c r="A830" s="3"/>
      <c r="B830" s="3"/>
    </row>
    <row r="831" spans="1:2" ht="16.5" customHeight="1">
      <c r="A831" s="3"/>
      <c r="B831" s="3"/>
    </row>
    <row r="832" spans="1:2" ht="16.5" customHeight="1">
      <c r="A832" s="3"/>
      <c r="B832" s="3"/>
    </row>
    <row r="833" spans="1:2" ht="16.5" customHeight="1">
      <c r="A833" s="3"/>
      <c r="B833" s="3"/>
    </row>
    <row r="834" spans="1:2" ht="16.5" customHeight="1">
      <c r="A834" s="3"/>
      <c r="B834" s="3"/>
    </row>
    <row r="835" spans="1:2" ht="16.5" customHeight="1">
      <c r="A835" s="3"/>
      <c r="B835" s="3"/>
    </row>
    <row r="836" spans="1:2" ht="16.5" customHeight="1">
      <c r="A836" s="3"/>
      <c r="B836" s="3"/>
    </row>
    <row r="837" spans="1:2" ht="16.5" customHeight="1">
      <c r="A837" s="3"/>
      <c r="B837" s="3"/>
    </row>
    <row r="838" spans="1:2" ht="16.5" customHeight="1">
      <c r="A838" s="3"/>
      <c r="B838" s="3"/>
    </row>
    <row r="839" spans="1:2" ht="16.5" customHeight="1">
      <c r="A839" s="3"/>
      <c r="B839" s="3"/>
    </row>
    <row r="840" spans="1:2" ht="16.5" customHeight="1">
      <c r="A840" s="3"/>
      <c r="B840" s="3"/>
    </row>
    <row r="841" spans="1:2" ht="16.5" customHeight="1">
      <c r="A841" s="3"/>
      <c r="B841" s="3"/>
    </row>
    <row r="842" spans="1:2" ht="16.5" customHeight="1">
      <c r="A842" s="3"/>
      <c r="B842" s="3"/>
    </row>
    <row r="843" spans="1:2" ht="16.5" customHeight="1">
      <c r="A843" s="3"/>
      <c r="B843" s="3"/>
    </row>
    <row r="844" spans="1:2" ht="16.5" customHeight="1">
      <c r="A844" s="3"/>
      <c r="B844" s="3"/>
    </row>
    <row r="845" spans="1:2" ht="16.5" customHeight="1">
      <c r="A845" s="3"/>
      <c r="B845" s="3"/>
    </row>
    <row r="846" spans="1:2" ht="16.5" customHeight="1">
      <c r="A846" s="3"/>
      <c r="B846" s="3"/>
    </row>
    <row r="847" spans="1:2" ht="16.5" customHeight="1">
      <c r="A847" s="3"/>
      <c r="B847" s="3"/>
    </row>
    <row r="848" spans="1:2" ht="16.5" customHeight="1">
      <c r="A848" s="3"/>
      <c r="B848" s="3"/>
    </row>
    <row r="849" spans="1:2" ht="16.5" customHeight="1">
      <c r="A849" s="3"/>
      <c r="B849" s="3"/>
    </row>
    <row r="850" spans="1:2" ht="16.5" customHeight="1">
      <c r="A850" s="3"/>
      <c r="B850" s="3"/>
    </row>
    <row r="851" spans="1:2" ht="16.5" customHeight="1">
      <c r="A851" s="3"/>
      <c r="B851" s="3"/>
    </row>
    <row r="852" spans="1:2" ht="16.5" customHeight="1">
      <c r="A852" s="3"/>
      <c r="B852" s="3"/>
    </row>
    <row r="853" spans="1:2" ht="16.5" customHeight="1">
      <c r="A853" s="3"/>
      <c r="B853" s="3"/>
    </row>
    <row r="854" spans="1:2" ht="16.5" customHeight="1">
      <c r="A854" s="3"/>
      <c r="B854" s="3"/>
    </row>
    <row r="855" spans="1:2" ht="16.5" customHeight="1">
      <c r="A855" s="3"/>
      <c r="B855" s="3"/>
    </row>
    <row r="856" spans="1:2" ht="16.5" customHeight="1">
      <c r="A856" s="3"/>
      <c r="B856" s="3"/>
    </row>
    <row r="857" spans="1:2" ht="16.5" customHeight="1">
      <c r="A857" s="3"/>
      <c r="B857" s="3"/>
    </row>
    <row r="858" spans="1:2" ht="16.5" customHeight="1">
      <c r="A858" s="3"/>
      <c r="B858" s="3"/>
    </row>
    <row r="859" spans="1:2" ht="16.5" customHeight="1">
      <c r="A859" s="3"/>
      <c r="B859" s="3"/>
    </row>
    <row r="860" spans="1:2" ht="16.5" customHeight="1">
      <c r="A860" s="3"/>
      <c r="B860" s="3"/>
    </row>
    <row r="861" spans="1:2" ht="16.5" customHeight="1">
      <c r="A861" s="3"/>
      <c r="B861" s="3"/>
    </row>
    <row r="862" spans="1:2" ht="16.5" customHeight="1">
      <c r="A862" s="3"/>
      <c r="B862" s="3"/>
    </row>
    <row r="863" spans="1:2" ht="16.5" customHeight="1">
      <c r="A863" s="3"/>
      <c r="B863" s="3"/>
    </row>
    <row r="864" spans="1:2" ht="16.5" customHeight="1">
      <c r="A864" s="3"/>
      <c r="B864" s="3"/>
    </row>
    <row r="865" spans="1:2" ht="16.5" customHeight="1">
      <c r="A865" s="3"/>
      <c r="B865" s="3"/>
    </row>
    <row r="866" spans="1:2" ht="16.5" customHeight="1">
      <c r="A866" s="3"/>
      <c r="B866" s="3"/>
    </row>
    <row r="867" spans="1:2" ht="16.5" customHeight="1">
      <c r="A867" s="3"/>
      <c r="B867" s="3"/>
    </row>
    <row r="868" spans="1:2" ht="16.5" customHeight="1">
      <c r="A868" s="3"/>
      <c r="B868" s="3"/>
    </row>
    <row r="869" spans="1:2" ht="16.5" customHeight="1">
      <c r="A869" s="3"/>
      <c r="B869" s="3"/>
    </row>
    <row r="870" spans="1:2" ht="16.5" customHeight="1">
      <c r="A870" s="3"/>
      <c r="B870" s="3"/>
    </row>
    <row r="871" spans="1:2" ht="16.5" customHeight="1">
      <c r="A871" s="3"/>
      <c r="B871" s="3"/>
    </row>
    <row r="872" spans="1:2" ht="16.5" customHeight="1">
      <c r="A872" s="3"/>
      <c r="B872" s="3"/>
    </row>
    <row r="873" spans="1:2" ht="16.5" customHeight="1">
      <c r="A873" s="3"/>
      <c r="B873" s="3"/>
    </row>
    <row r="874" spans="1:2" ht="16.5" customHeight="1">
      <c r="A874" s="3"/>
      <c r="B874" s="3"/>
    </row>
    <row r="875" spans="1:2" ht="16.5" customHeight="1">
      <c r="A875" s="3"/>
      <c r="B875" s="3"/>
    </row>
    <row r="876" spans="1:2" ht="16.5" customHeight="1">
      <c r="A876" s="3"/>
      <c r="B876" s="3"/>
    </row>
    <row r="877" spans="1:2" ht="16.5" customHeight="1">
      <c r="A877" s="3"/>
      <c r="B877" s="3"/>
    </row>
    <row r="878" spans="1:2" ht="16.5" customHeight="1">
      <c r="A878" s="3"/>
      <c r="B878" s="3"/>
    </row>
    <row r="879" spans="1:2" ht="16.5" customHeight="1">
      <c r="A879" s="3"/>
      <c r="B879" s="3"/>
    </row>
    <row r="880" spans="1:2" ht="16.5" customHeight="1">
      <c r="A880" s="3"/>
      <c r="B880" s="3"/>
    </row>
    <row r="881" spans="1:2" ht="16.5" customHeight="1">
      <c r="A881" s="3"/>
      <c r="B881" s="3"/>
    </row>
    <row r="882" spans="1:2" ht="16.5" customHeight="1">
      <c r="A882" s="3"/>
      <c r="B882" s="3"/>
    </row>
    <row r="883" spans="1:2" ht="16.5" customHeight="1">
      <c r="A883" s="3"/>
      <c r="B883" s="3"/>
    </row>
    <row r="884" spans="1:2" ht="16.5" customHeight="1">
      <c r="A884" s="3"/>
      <c r="B884" s="3"/>
    </row>
    <row r="885" spans="1:2" ht="16.5" customHeight="1">
      <c r="A885" s="3"/>
      <c r="B885" s="3"/>
    </row>
    <row r="886" spans="1:2" ht="16.5" customHeight="1">
      <c r="A886" s="3"/>
      <c r="B886" s="3"/>
    </row>
    <row r="887" spans="1:2" ht="16.5" customHeight="1">
      <c r="A887" s="3"/>
      <c r="B887" s="3"/>
    </row>
    <row r="888" spans="1:2" ht="16.5" customHeight="1">
      <c r="A888" s="3"/>
      <c r="B888" s="3"/>
    </row>
    <row r="889" spans="1:2" ht="16.5" customHeight="1">
      <c r="A889" s="3"/>
      <c r="B889" s="3"/>
    </row>
    <row r="890" spans="1:2" ht="16.5" customHeight="1">
      <c r="A890" s="3"/>
      <c r="B890" s="3"/>
    </row>
    <row r="891" spans="1:2" ht="16.5" customHeight="1">
      <c r="A891" s="3"/>
      <c r="B891" s="3"/>
    </row>
    <row r="892" spans="1:2" ht="16.5" customHeight="1">
      <c r="A892" s="3"/>
      <c r="B892" s="3"/>
    </row>
    <row r="893" spans="1:2" ht="16.5" customHeight="1">
      <c r="A893" s="3"/>
      <c r="B893" s="3"/>
    </row>
    <row r="894" spans="1:2" ht="16.5" customHeight="1">
      <c r="A894" s="3"/>
      <c r="B894" s="3"/>
    </row>
    <row r="895" spans="1:2" ht="16.5" customHeight="1">
      <c r="A895" s="3"/>
      <c r="B895" s="3"/>
    </row>
    <row r="896" spans="1:2" ht="16.5" customHeight="1">
      <c r="A896" s="3"/>
      <c r="B896" s="3"/>
    </row>
    <row r="897" spans="1:2" ht="16.5" customHeight="1">
      <c r="A897" s="3"/>
      <c r="B897" s="3"/>
    </row>
    <row r="898" spans="1:2" ht="16.5" customHeight="1">
      <c r="A898" s="3"/>
      <c r="B898" s="3"/>
    </row>
    <row r="899" spans="1:2" ht="16.5" customHeight="1">
      <c r="A899" s="3"/>
      <c r="B899" s="3"/>
    </row>
    <row r="900" spans="1:2" ht="16.5" customHeight="1">
      <c r="A900" s="3"/>
      <c r="B900" s="3"/>
    </row>
    <row r="901" spans="1:2" ht="16.5" customHeight="1">
      <c r="A901" s="3"/>
      <c r="B901" s="3"/>
    </row>
    <row r="902" spans="1:2" ht="16.5" customHeight="1">
      <c r="A902" s="3"/>
      <c r="B902" s="3"/>
    </row>
    <row r="903" spans="1:2" ht="16.5" customHeight="1">
      <c r="A903" s="3"/>
      <c r="B903" s="3"/>
    </row>
    <row r="904" spans="1:2" ht="16.5" customHeight="1">
      <c r="A904" s="3"/>
      <c r="B904" s="3"/>
    </row>
    <row r="905" spans="1:2" ht="16.5" customHeight="1">
      <c r="A905" s="3"/>
      <c r="B905" s="3"/>
    </row>
    <row r="906" spans="1:2" ht="16.5" customHeight="1">
      <c r="A906" s="3"/>
      <c r="B906" s="3"/>
    </row>
    <row r="907" spans="1:2" ht="16.5" customHeight="1">
      <c r="A907" s="3"/>
      <c r="B907" s="3"/>
    </row>
    <row r="908" spans="1:2" ht="16.5" customHeight="1">
      <c r="A908" s="3"/>
      <c r="B908" s="3"/>
    </row>
    <row r="909" spans="1:2" ht="16.5" customHeight="1">
      <c r="A909" s="3"/>
      <c r="B909" s="3"/>
    </row>
    <row r="910" spans="1:2" ht="16.5" customHeight="1">
      <c r="A910" s="3"/>
      <c r="B910" s="3"/>
    </row>
    <row r="911" spans="1:2" ht="16.5" customHeight="1">
      <c r="A911" s="3"/>
      <c r="B911" s="3"/>
    </row>
    <row r="912" spans="1:2" ht="16.5" customHeight="1">
      <c r="A912" s="3"/>
      <c r="B912" s="3"/>
    </row>
    <row r="913" spans="1:2" ht="16.5" customHeight="1">
      <c r="A913" s="3"/>
      <c r="B913" s="3"/>
    </row>
    <row r="914" spans="1:2" ht="16.5" customHeight="1">
      <c r="A914" s="3"/>
      <c r="B914" s="3"/>
    </row>
    <row r="915" spans="1:2" ht="16.5" customHeight="1">
      <c r="A915" s="3"/>
      <c r="B915" s="3"/>
    </row>
    <row r="916" spans="1:2" ht="16.5" customHeight="1">
      <c r="A916" s="3"/>
      <c r="B916" s="3"/>
    </row>
    <row r="917" spans="1:2" ht="16.5" customHeight="1">
      <c r="A917" s="3"/>
      <c r="B917" s="3"/>
    </row>
    <row r="918" spans="1:2" ht="16.5" customHeight="1">
      <c r="A918" s="3"/>
      <c r="B918" s="3"/>
    </row>
    <row r="919" spans="1:2" ht="16.5" customHeight="1">
      <c r="A919" s="3"/>
      <c r="B919" s="3"/>
    </row>
    <row r="920" spans="1:2" ht="16.5" customHeight="1">
      <c r="A920" s="3"/>
      <c r="B920" s="3"/>
    </row>
    <row r="921" spans="1:2" ht="16.5" customHeight="1">
      <c r="A921" s="3"/>
      <c r="B921" s="3"/>
    </row>
    <row r="922" spans="1:2" ht="16.5" customHeight="1">
      <c r="A922" s="3"/>
      <c r="B922" s="3"/>
    </row>
    <row r="923" spans="1:2" ht="16.5" customHeight="1">
      <c r="A923" s="3"/>
      <c r="B923" s="3"/>
    </row>
    <row r="924" spans="1:2" ht="16.5" customHeight="1">
      <c r="A924" s="3"/>
      <c r="B924" s="3"/>
    </row>
    <row r="925" spans="1:2" ht="16.5" customHeight="1">
      <c r="A925" s="3"/>
      <c r="B925" s="3"/>
    </row>
    <row r="926" spans="1:2" ht="16.5" customHeight="1">
      <c r="A926" s="3"/>
      <c r="B926" s="3"/>
    </row>
    <row r="927" spans="1:2" ht="16.5" customHeight="1">
      <c r="A927" s="3"/>
      <c r="B927" s="3"/>
    </row>
    <row r="928" spans="1:2" ht="16.5" customHeight="1">
      <c r="A928" s="3"/>
      <c r="B928" s="3"/>
    </row>
    <row r="929" spans="1:2" ht="16.5" customHeight="1">
      <c r="A929" s="3"/>
      <c r="B929" s="3"/>
    </row>
    <row r="930" spans="1:2" ht="16.5" customHeight="1">
      <c r="A930" s="3"/>
      <c r="B930" s="3"/>
    </row>
    <row r="931" spans="1:2" ht="16.5" customHeight="1">
      <c r="A931" s="3"/>
      <c r="B931" s="3"/>
    </row>
    <row r="932" spans="1:2" ht="16.5" customHeight="1">
      <c r="A932" s="3"/>
      <c r="B932" s="3"/>
    </row>
    <row r="933" spans="1:2" ht="16.5" customHeight="1">
      <c r="A933" s="3"/>
      <c r="B933" s="3"/>
    </row>
    <row r="934" spans="1:2" ht="16.5" customHeight="1">
      <c r="A934" s="3"/>
      <c r="B934" s="3"/>
    </row>
    <row r="935" spans="1:2" ht="16.5" customHeight="1">
      <c r="A935" s="3"/>
      <c r="B935" s="3"/>
    </row>
    <row r="936" spans="1:2" ht="16.5" customHeight="1">
      <c r="A936" s="3"/>
      <c r="B936" s="3"/>
    </row>
    <row r="937" spans="1:2" ht="16.5" customHeight="1">
      <c r="A937" s="3"/>
      <c r="B937" s="3"/>
    </row>
    <row r="938" spans="1:2" ht="16.5" customHeight="1">
      <c r="A938" s="3"/>
      <c r="B938" s="3"/>
    </row>
    <row r="939" spans="1:2" ht="16.5" customHeight="1">
      <c r="A939" s="3"/>
      <c r="B939" s="3"/>
    </row>
    <row r="940" spans="1:2" ht="16.5" customHeight="1">
      <c r="A940" s="3"/>
      <c r="B940" s="3"/>
    </row>
    <row r="941" spans="1:2" ht="16.5" customHeight="1">
      <c r="A941" s="3"/>
      <c r="B941" s="3"/>
    </row>
    <row r="942" spans="1:2" ht="16.5" customHeight="1">
      <c r="A942" s="3"/>
      <c r="B942" s="3"/>
    </row>
    <row r="943" spans="1:2" ht="16.5" customHeight="1">
      <c r="A943" s="3"/>
      <c r="B943" s="3"/>
    </row>
    <row r="944" spans="1:2" ht="16.5" customHeight="1">
      <c r="A944" s="3"/>
      <c r="B944" s="3"/>
    </row>
    <row r="945" spans="1:2" ht="16.5" customHeight="1">
      <c r="A945" s="3"/>
      <c r="B945" s="3"/>
    </row>
    <row r="946" spans="1:2" ht="16.5" customHeight="1">
      <c r="A946" s="3"/>
      <c r="B946" s="3"/>
    </row>
    <row r="947" spans="1:2" ht="16.5" customHeight="1">
      <c r="A947" s="3"/>
      <c r="B947" s="3"/>
    </row>
    <row r="948" spans="1:2" ht="16.5" customHeight="1">
      <c r="A948" s="3"/>
      <c r="B948" s="3"/>
    </row>
    <row r="949" spans="1:2" ht="16.5" customHeight="1">
      <c r="A949" s="3"/>
      <c r="B949" s="3"/>
    </row>
    <row r="950" spans="1:2" ht="16.5" customHeight="1">
      <c r="A950" s="3"/>
      <c r="B950" s="3"/>
    </row>
    <row r="951" spans="1:2" ht="16.5" customHeight="1">
      <c r="A951" s="3"/>
      <c r="B951" s="3"/>
    </row>
    <row r="952" spans="1:2" ht="16.5" customHeight="1">
      <c r="A952" s="3"/>
      <c r="B952" s="3"/>
    </row>
    <row r="953" spans="1:2" ht="16.5" customHeight="1">
      <c r="A953" s="3"/>
      <c r="B953" s="3"/>
    </row>
    <row r="954" spans="1:2" ht="16.5" customHeight="1">
      <c r="A954" s="3"/>
      <c r="B954" s="3"/>
    </row>
    <row r="955" spans="1:2" ht="16.5" customHeight="1">
      <c r="A955" s="3"/>
      <c r="B955" s="3"/>
    </row>
    <row r="956" spans="1:2" ht="16.5" customHeight="1">
      <c r="A956" s="3"/>
      <c r="B956" s="3"/>
    </row>
    <row r="957" spans="1:2" ht="16.5" customHeight="1">
      <c r="A957" s="3"/>
      <c r="B957" s="3"/>
    </row>
    <row r="958" spans="1:2" ht="16.5" customHeight="1">
      <c r="A958" s="3"/>
      <c r="B958" s="3"/>
    </row>
    <row r="959" spans="1:2" ht="16.5" customHeight="1">
      <c r="A959" s="3"/>
      <c r="B959" s="3"/>
    </row>
    <row r="960" spans="1:2" ht="16.5" customHeight="1">
      <c r="A960" s="3"/>
      <c r="B960" s="3"/>
    </row>
    <row r="961" spans="1:2" ht="16.5" customHeight="1">
      <c r="A961" s="3"/>
      <c r="B961" s="3"/>
    </row>
    <row r="962" spans="1:2" ht="16.5" customHeight="1">
      <c r="A962" s="3"/>
      <c r="B962" s="3"/>
    </row>
    <row r="963" spans="1:2" ht="16.5" customHeight="1">
      <c r="A963" s="3"/>
      <c r="B963" s="3"/>
    </row>
    <row r="964" spans="1:2" ht="16.5" customHeight="1">
      <c r="A964" s="3"/>
      <c r="B964" s="3"/>
    </row>
    <row r="965" spans="1:2" ht="16.5" customHeight="1">
      <c r="A965" s="3"/>
      <c r="B965" s="3"/>
    </row>
    <row r="966" spans="1:2" ht="16.5" customHeight="1">
      <c r="A966" s="3"/>
      <c r="B966" s="3"/>
    </row>
    <row r="967" spans="1:2" ht="16.5" customHeight="1">
      <c r="A967" s="3"/>
      <c r="B967" s="3"/>
    </row>
    <row r="968" spans="1:2" ht="16.5" customHeight="1">
      <c r="A968" s="3"/>
      <c r="B968" s="3"/>
    </row>
    <row r="969" spans="1:2" ht="16.5" customHeight="1">
      <c r="A969" s="3"/>
      <c r="B969" s="3"/>
    </row>
    <row r="970" spans="1:2" ht="16.5" customHeight="1">
      <c r="A970" s="3"/>
      <c r="B970" s="3"/>
    </row>
    <row r="971" spans="1:2" ht="16.5" customHeight="1">
      <c r="A971" s="3"/>
      <c r="B971" s="3"/>
    </row>
    <row r="972" spans="1:2" ht="16.5" customHeight="1">
      <c r="A972" s="3"/>
      <c r="B972" s="3"/>
    </row>
    <row r="973" spans="1:2" ht="16.5" customHeight="1">
      <c r="A973" s="3"/>
      <c r="B973" s="3"/>
    </row>
    <row r="974" spans="1:2" ht="16.5" customHeight="1">
      <c r="A974" s="3"/>
      <c r="B974" s="3"/>
    </row>
    <row r="975" spans="1:2" ht="16.5" customHeight="1">
      <c r="A975" s="3"/>
      <c r="B975" s="3"/>
    </row>
    <row r="976" spans="1:2" ht="16.5" customHeight="1">
      <c r="A976" s="3"/>
      <c r="B976" s="3"/>
    </row>
    <row r="977" spans="1:2" ht="16.5" customHeight="1">
      <c r="A977" s="3"/>
      <c r="B977" s="3"/>
    </row>
    <row r="978" spans="1:2" ht="16.5" customHeight="1">
      <c r="A978" s="3"/>
      <c r="B978" s="3"/>
    </row>
    <row r="979" spans="1:2" ht="16.5" customHeight="1">
      <c r="A979" s="3"/>
      <c r="B979" s="3"/>
    </row>
    <row r="980" spans="1:2" ht="16.5" customHeight="1">
      <c r="A980" s="3"/>
      <c r="B980" s="3"/>
    </row>
    <row r="981" spans="1:2" ht="16.5" customHeight="1">
      <c r="A981" s="3"/>
      <c r="B981" s="3"/>
    </row>
    <row r="982" spans="1:2" ht="16.5" customHeight="1">
      <c r="A982" s="3"/>
      <c r="B982" s="3"/>
    </row>
    <row r="983" spans="1:2" ht="16.5" customHeight="1">
      <c r="A983" s="3"/>
      <c r="B983" s="3"/>
    </row>
    <row r="984" spans="1:2" ht="16.5" customHeight="1">
      <c r="A984" s="3"/>
      <c r="B984" s="3"/>
    </row>
    <row r="985" spans="1:2" ht="16.5" customHeight="1">
      <c r="A985" s="3"/>
      <c r="B985" s="3"/>
    </row>
    <row r="986" spans="1:2" ht="16.5" customHeight="1">
      <c r="A986" s="3"/>
      <c r="B986" s="3"/>
    </row>
    <row r="987" spans="1:2" ht="16.5" customHeight="1">
      <c r="A987" s="3"/>
      <c r="B987" s="3"/>
    </row>
    <row r="988" spans="1:2" ht="16.5" customHeight="1">
      <c r="A988" s="3"/>
      <c r="B988" s="3"/>
    </row>
    <row r="989" spans="1:2" ht="16.5" customHeight="1">
      <c r="A989" s="3"/>
      <c r="B989" s="3"/>
    </row>
    <row r="990" spans="1:2" ht="16.5" customHeight="1">
      <c r="A990" s="3"/>
      <c r="B990" s="3"/>
    </row>
    <row r="991" spans="1:2" ht="16.5" customHeight="1">
      <c r="A991" s="3"/>
      <c r="B991" s="3"/>
    </row>
    <row r="992" spans="1:2" ht="16.5" customHeight="1">
      <c r="A992" s="3"/>
      <c r="B992" s="3"/>
    </row>
    <row r="993" spans="1:2" ht="16.5" customHeight="1">
      <c r="A993" s="3"/>
      <c r="B993" s="3"/>
    </row>
    <row r="994" spans="1:2" ht="16.5" customHeight="1">
      <c r="A994" s="3"/>
      <c r="B994" s="3"/>
    </row>
    <row r="995" spans="1:2" ht="16.5" customHeight="1">
      <c r="A995" s="3"/>
      <c r="B995" s="3"/>
    </row>
    <row r="996" spans="1:2" ht="16.5" customHeight="1">
      <c r="A996" s="3"/>
      <c r="B996" s="3"/>
    </row>
    <row r="997" spans="1:2" ht="16.5" customHeight="1">
      <c r="A997" s="3"/>
      <c r="B997" s="3"/>
    </row>
    <row r="998" spans="1:2" ht="16.5" customHeight="1">
      <c r="A998" s="3"/>
      <c r="B998" s="3"/>
    </row>
  </sheetData>
  <phoneticPr fontId="15" type="noConversion"/>
  <pageMargins left="0.25" right="0.25" top="0.75" bottom="0.75" header="0" footer="0"/>
  <pageSetup paperSize="9" scale="90" orientation="landscape" r:id="rId1"/>
  <headerFooter>
    <oddFooter>&amp;C&amp;P/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D1000"/>
  <sheetViews>
    <sheetView workbookViewId="0">
      <selection sqref="A1:E1"/>
    </sheetView>
  </sheetViews>
  <sheetFormatPr defaultColWidth="14.42578125" defaultRowHeight="15" customHeight="1"/>
  <cols>
    <col min="1" max="1" width="16.85546875" bestFit="1" customWidth="1"/>
    <col min="2" max="2" width="7.42578125" bestFit="1" customWidth="1"/>
    <col min="3" max="3" width="16.140625" bestFit="1" customWidth="1"/>
    <col min="4" max="4" width="8.7109375" bestFit="1" customWidth="1"/>
    <col min="5" max="5" width="17.42578125" bestFit="1" customWidth="1"/>
    <col min="6" max="6" width="8.140625" customWidth="1"/>
    <col min="7" max="7" width="12.85546875" bestFit="1" customWidth="1"/>
    <col min="8" max="8" width="15.85546875" bestFit="1" customWidth="1"/>
    <col min="9" max="9" width="6.42578125" bestFit="1" customWidth="1"/>
    <col min="10" max="10" width="8.7109375" customWidth="1"/>
    <col min="11" max="11" width="7.140625" customWidth="1"/>
    <col min="12" max="12" width="16.85546875" bestFit="1" customWidth="1"/>
    <col min="13" max="13" width="9" customWidth="1"/>
    <col min="14" max="14" width="13" customWidth="1"/>
    <col min="15" max="15" width="9" customWidth="1"/>
    <col min="16" max="16" width="13" customWidth="1"/>
    <col min="17" max="17" width="8.7109375" customWidth="1"/>
    <col min="18" max="18" width="15.5703125" customWidth="1"/>
    <col min="19" max="19" width="8.7109375" customWidth="1"/>
    <col min="20" max="20" width="13" customWidth="1"/>
    <col min="21" max="21" width="8.7109375" customWidth="1"/>
    <col min="22" max="22" width="13" customWidth="1"/>
    <col min="23" max="25" width="5.42578125" customWidth="1"/>
    <col min="26" max="27" width="8.7109375" customWidth="1"/>
    <col min="28" max="28" width="16.85546875" bestFit="1" customWidth="1"/>
    <col min="29" max="29" width="6" bestFit="1" customWidth="1"/>
    <col min="30" max="30" width="13.85546875" bestFit="1" customWidth="1"/>
    <col min="31" max="31" width="6" bestFit="1" customWidth="1"/>
    <col min="32" max="32" width="13.85546875" bestFit="1" customWidth="1"/>
    <col min="33" max="33" width="6" bestFit="1" customWidth="1"/>
    <col min="34" max="34" width="13.85546875" bestFit="1" customWidth="1"/>
    <col min="35" max="35" width="6" bestFit="1" customWidth="1"/>
    <col min="36" max="36" width="13.85546875" bestFit="1" customWidth="1"/>
    <col min="37" max="37" width="8.7109375" customWidth="1"/>
    <col min="38" max="38" width="11.140625" customWidth="1"/>
    <col min="39" max="39" width="5.28515625" customWidth="1"/>
    <col min="40" max="41" width="14.5703125" customWidth="1"/>
    <col min="42" max="42" width="15.140625" customWidth="1"/>
    <col min="43" max="43" width="8.7109375" customWidth="1"/>
    <col min="44" max="44" width="11" customWidth="1"/>
    <col min="45" max="45" width="20.42578125" customWidth="1"/>
    <col min="46" max="46" width="6.7109375" customWidth="1"/>
    <col min="47" max="47" width="8.7109375" customWidth="1"/>
    <col min="48" max="48" width="14.5703125" customWidth="1"/>
    <col min="49" max="49" width="8.7109375" customWidth="1"/>
    <col min="50" max="50" width="13" customWidth="1"/>
    <col min="51" max="51" width="8.7109375" customWidth="1"/>
    <col min="52" max="52" width="14.5703125" customWidth="1"/>
    <col min="53" max="53" width="8.7109375" customWidth="1"/>
    <col min="54" max="54" width="13" customWidth="1"/>
  </cols>
  <sheetData>
    <row r="1" spans="1:56" ht="16.5" customHeight="1">
      <c r="A1" s="386" t="s">
        <v>111</v>
      </c>
      <c r="B1" s="384"/>
      <c r="C1" s="384"/>
      <c r="D1" s="384"/>
      <c r="E1" s="385"/>
      <c r="G1" s="391" t="s">
        <v>113</v>
      </c>
      <c r="H1" s="384"/>
      <c r="I1" s="385"/>
      <c r="L1" s="383" t="s">
        <v>114</v>
      </c>
      <c r="M1" s="384"/>
      <c r="N1" s="384"/>
      <c r="O1" s="384"/>
      <c r="P1" s="385"/>
      <c r="R1" s="390" t="s">
        <v>116</v>
      </c>
      <c r="S1" s="384"/>
      <c r="T1" s="385"/>
      <c r="V1" s="392" t="s">
        <v>117</v>
      </c>
      <c r="W1" s="384"/>
      <c r="X1" s="384"/>
      <c r="Y1" s="385"/>
      <c r="AB1" s="21" t="s">
        <v>97</v>
      </c>
      <c r="AC1" s="387" t="s">
        <v>118</v>
      </c>
      <c r="AD1" s="389"/>
      <c r="AE1" s="393" t="s">
        <v>119</v>
      </c>
      <c r="AF1" s="389"/>
      <c r="AG1" s="387" t="s">
        <v>120</v>
      </c>
      <c r="AH1" s="388"/>
      <c r="AI1" s="387" t="s">
        <v>121</v>
      </c>
      <c r="AJ1" s="389"/>
      <c r="AL1" s="12"/>
      <c r="AM1" s="12" t="s">
        <v>123</v>
      </c>
      <c r="AN1" s="12">
        <v>2028</v>
      </c>
      <c r="AO1" s="12">
        <v>2029</v>
      </c>
      <c r="AP1" s="12" t="s">
        <v>10</v>
      </c>
      <c r="AR1" s="12" t="s">
        <v>47</v>
      </c>
      <c r="AS1" s="16" t="s">
        <v>124</v>
      </c>
      <c r="AT1" s="16" t="s">
        <v>10</v>
      </c>
      <c r="AV1" s="390" t="s">
        <v>125</v>
      </c>
      <c r="AW1" s="384"/>
      <c r="AX1" s="385"/>
      <c r="AZ1" s="390" t="s">
        <v>126</v>
      </c>
      <c r="BA1" s="384"/>
      <c r="BB1" s="385"/>
      <c r="BD1" s="185" t="s">
        <v>262</v>
      </c>
    </row>
    <row r="2" spans="1:56" ht="16.5" customHeight="1">
      <c r="A2" s="15" t="s">
        <v>127</v>
      </c>
      <c r="B2" s="3" t="s">
        <v>128</v>
      </c>
      <c r="C2" s="15" t="s">
        <v>129</v>
      </c>
      <c r="D2" s="15" t="s">
        <v>130</v>
      </c>
      <c r="E2" s="15" t="s">
        <v>131</v>
      </c>
      <c r="F2" s="7"/>
      <c r="G2" s="3" t="s">
        <v>40</v>
      </c>
      <c r="H2" s="3" t="s">
        <v>127</v>
      </c>
      <c r="I2" s="3" t="s">
        <v>132</v>
      </c>
      <c r="K2" s="7"/>
      <c r="L2" s="3" t="s">
        <v>127</v>
      </c>
      <c r="M2" s="3" t="s">
        <v>118</v>
      </c>
      <c r="N2" s="3" t="s">
        <v>134</v>
      </c>
      <c r="O2" s="3" t="s">
        <v>7</v>
      </c>
      <c r="P2" s="3" t="s">
        <v>135</v>
      </c>
      <c r="R2" s="3" t="s">
        <v>127</v>
      </c>
      <c r="S2" s="3" t="s">
        <v>118</v>
      </c>
      <c r="T2" s="3" t="s">
        <v>134</v>
      </c>
      <c r="V2" s="3" t="s">
        <v>40</v>
      </c>
      <c r="W2" s="1">
        <v>2026</v>
      </c>
      <c r="X2" s="1">
        <v>2027</v>
      </c>
      <c r="Y2" s="1">
        <v>2028</v>
      </c>
      <c r="AB2" s="6" t="s">
        <v>127</v>
      </c>
      <c r="AC2" s="6" t="s">
        <v>63</v>
      </c>
      <c r="AD2" s="6" t="s">
        <v>136</v>
      </c>
      <c r="AE2" s="6" t="s">
        <v>63</v>
      </c>
      <c r="AF2" s="6" t="s">
        <v>136</v>
      </c>
      <c r="AG2" s="6" t="s">
        <v>63</v>
      </c>
      <c r="AH2" s="6" t="s">
        <v>136</v>
      </c>
      <c r="AI2" s="6" t="s">
        <v>63</v>
      </c>
      <c r="AJ2" s="6" t="s">
        <v>136</v>
      </c>
      <c r="AL2" s="6" t="s">
        <v>137</v>
      </c>
      <c r="AM2" s="84">
        <v>0.04</v>
      </c>
      <c r="AN2" s="84">
        <v>0.06</v>
      </c>
      <c r="AO2" s="84">
        <v>0.08</v>
      </c>
      <c r="AP2" s="12" t="s">
        <v>138</v>
      </c>
      <c r="AR2" s="12" t="s">
        <v>48</v>
      </c>
      <c r="AS2" s="22">
        <v>600000000</v>
      </c>
      <c r="AT2" s="22"/>
      <c r="AV2" s="2" t="s">
        <v>127</v>
      </c>
      <c r="AW2" s="2" t="s">
        <v>118</v>
      </c>
      <c r="AX2" s="2" t="s">
        <v>134</v>
      </c>
      <c r="AZ2" s="2" t="s">
        <v>127</v>
      </c>
      <c r="BA2" s="2" t="s">
        <v>118</v>
      </c>
      <c r="BB2" s="2" t="s">
        <v>134</v>
      </c>
      <c r="BD2" s="164" t="s">
        <v>0</v>
      </c>
    </row>
    <row r="3" spans="1:56" ht="16.5" customHeight="1">
      <c r="A3" s="15">
        <v>60000000</v>
      </c>
      <c r="B3" s="18">
        <v>1E-3</v>
      </c>
      <c r="C3" s="15">
        <v>0</v>
      </c>
      <c r="D3" s="18">
        <v>5.0000000000000001E-4</v>
      </c>
      <c r="E3" s="15">
        <v>0</v>
      </c>
      <c r="G3" s="3" t="s">
        <v>0</v>
      </c>
      <c r="H3" s="15">
        <v>300000000</v>
      </c>
      <c r="I3" s="39">
        <v>0.43</v>
      </c>
      <c r="K3" s="7"/>
      <c r="L3" s="15">
        <v>300000000</v>
      </c>
      <c r="M3" s="20">
        <v>5.0000000000000001E-3</v>
      </c>
      <c r="N3" s="15">
        <v>0</v>
      </c>
      <c r="O3" s="18">
        <v>5.0000000000000001E-3</v>
      </c>
      <c r="P3" s="15">
        <v>0</v>
      </c>
      <c r="R3" s="15">
        <v>1500000000</v>
      </c>
      <c r="S3" s="20">
        <v>0.01</v>
      </c>
      <c r="T3" s="15">
        <v>0</v>
      </c>
      <c r="V3" s="1" t="s">
        <v>0</v>
      </c>
      <c r="W3" s="7">
        <v>0.6</v>
      </c>
      <c r="X3" s="7">
        <v>0.7</v>
      </c>
      <c r="Y3" s="7">
        <v>0.7</v>
      </c>
      <c r="AB3" s="22">
        <v>14000000</v>
      </c>
      <c r="AC3" s="10">
        <v>0.06</v>
      </c>
      <c r="AD3" s="16">
        <v>0</v>
      </c>
      <c r="AE3" s="10">
        <v>0.16</v>
      </c>
      <c r="AF3" s="16">
        <v>0</v>
      </c>
      <c r="AG3" s="10">
        <v>0.26</v>
      </c>
      <c r="AH3" s="16">
        <v>0</v>
      </c>
      <c r="AI3" s="10">
        <v>0.36</v>
      </c>
      <c r="AJ3" s="16">
        <v>0</v>
      </c>
      <c r="AL3" s="6" t="s">
        <v>141</v>
      </c>
      <c r="AM3" s="84">
        <v>0.04</v>
      </c>
      <c r="AN3" s="84">
        <v>0.02</v>
      </c>
      <c r="AO3" s="84">
        <v>0</v>
      </c>
      <c r="AP3" s="12" t="s">
        <v>138</v>
      </c>
      <c r="AR3" s="12" t="s">
        <v>51</v>
      </c>
      <c r="AS3" s="16">
        <v>50000000</v>
      </c>
      <c r="AT3" s="16"/>
      <c r="AV3" s="22">
        <v>100000000</v>
      </c>
      <c r="AW3" s="11">
        <v>0.1</v>
      </c>
      <c r="AX3" s="22">
        <v>0</v>
      </c>
      <c r="AZ3" s="22">
        <v>20000000</v>
      </c>
      <c r="BA3" s="11"/>
      <c r="BB3" s="22">
        <v>0</v>
      </c>
      <c r="BD3" s="164" t="s">
        <v>14</v>
      </c>
    </row>
    <row r="4" spans="1:56" ht="16.5" customHeight="1">
      <c r="A4" s="15">
        <v>150000000</v>
      </c>
      <c r="B4" s="18">
        <v>1.5E-3</v>
      </c>
      <c r="C4" s="15">
        <v>30000</v>
      </c>
      <c r="D4" s="18">
        <v>1E-3</v>
      </c>
      <c r="E4" s="15">
        <v>30000</v>
      </c>
      <c r="G4" s="3" t="s">
        <v>0</v>
      </c>
      <c r="H4" s="15">
        <v>600000000</v>
      </c>
      <c r="I4" s="39">
        <v>0.44</v>
      </c>
      <c r="L4" s="15">
        <v>600000000</v>
      </c>
      <c r="M4" s="20">
        <v>7.0000000000000001E-3</v>
      </c>
      <c r="N4" s="15">
        <v>600000</v>
      </c>
      <c r="O4" s="18">
        <v>7.0000000000000001E-3</v>
      </c>
      <c r="P4" s="15">
        <v>600000</v>
      </c>
      <c r="R4" s="15">
        <v>4500000000</v>
      </c>
      <c r="S4" s="20">
        <v>0.02</v>
      </c>
      <c r="T4" s="15">
        <v>15000000</v>
      </c>
      <c r="V4" s="1" t="s">
        <v>140</v>
      </c>
      <c r="W4" s="7">
        <v>0.6</v>
      </c>
      <c r="X4" s="7">
        <v>0.7</v>
      </c>
      <c r="Y4" s="85">
        <v>0.8</v>
      </c>
      <c r="AB4" s="22">
        <v>50000000</v>
      </c>
      <c r="AC4" s="10">
        <v>0.15</v>
      </c>
      <c r="AD4" s="22">
        <v>1260000</v>
      </c>
      <c r="AE4" s="10">
        <v>0.25</v>
      </c>
      <c r="AF4" s="22">
        <v>1260000</v>
      </c>
      <c r="AG4" s="10">
        <v>0.35</v>
      </c>
      <c r="AH4" s="22">
        <v>1260000</v>
      </c>
      <c r="AI4" s="10">
        <v>0.45</v>
      </c>
      <c r="AJ4" s="22">
        <v>1260000</v>
      </c>
      <c r="AL4" s="12" t="s">
        <v>0</v>
      </c>
      <c r="AM4" s="16">
        <v>10</v>
      </c>
      <c r="AN4" s="12">
        <v>10</v>
      </c>
      <c r="AO4" s="12">
        <v>10</v>
      </c>
      <c r="AP4" s="12"/>
      <c r="AR4" s="12" t="s">
        <v>143</v>
      </c>
      <c r="AS4" s="16">
        <v>10000000</v>
      </c>
      <c r="AT4" s="16"/>
      <c r="AV4" s="22">
        <v>500000000</v>
      </c>
      <c r="AW4" s="11">
        <v>0.2</v>
      </c>
      <c r="AX4" s="22">
        <v>10000000</v>
      </c>
      <c r="AZ4" s="22">
        <v>100000000</v>
      </c>
      <c r="BA4" s="11"/>
      <c r="BB4" s="22">
        <v>20000000</v>
      </c>
      <c r="BD4" s="164" t="s">
        <v>4</v>
      </c>
    </row>
    <row r="5" spans="1:56" ht="16.5" customHeight="1">
      <c r="A5" s="15">
        <v>300000000</v>
      </c>
      <c r="B5" s="18">
        <v>2.5000000000000001E-3</v>
      </c>
      <c r="C5" s="15">
        <v>180000</v>
      </c>
      <c r="D5" s="18">
        <v>2E-3</v>
      </c>
      <c r="E5" s="15">
        <v>180000</v>
      </c>
      <c r="G5" s="3" t="s">
        <v>0</v>
      </c>
      <c r="H5" s="3" t="s">
        <v>144</v>
      </c>
      <c r="I5" s="39">
        <v>0.45</v>
      </c>
      <c r="L5" s="15">
        <v>1200000000</v>
      </c>
      <c r="M5" s="20">
        <v>0.01</v>
      </c>
      <c r="N5" s="15">
        <v>2400000</v>
      </c>
      <c r="O5" s="17">
        <v>0.01</v>
      </c>
      <c r="P5" s="15">
        <v>2400000</v>
      </c>
      <c r="R5" s="86">
        <v>9.9999999999999997E+98</v>
      </c>
      <c r="S5" s="20">
        <v>0.03</v>
      </c>
      <c r="T5" s="15">
        <v>60000000</v>
      </c>
      <c r="W5" s="7"/>
      <c r="X5" s="7"/>
      <c r="Y5" s="7"/>
      <c r="AB5" s="22">
        <v>88000000</v>
      </c>
      <c r="AC5" s="10">
        <v>0.24</v>
      </c>
      <c r="AD5" s="22">
        <v>5760000</v>
      </c>
      <c r="AE5" s="10">
        <v>0.34</v>
      </c>
      <c r="AF5" s="22">
        <v>5760000</v>
      </c>
      <c r="AG5" s="10">
        <v>0.44</v>
      </c>
      <c r="AH5" s="22">
        <v>5760000</v>
      </c>
      <c r="AI5" s="10">
        <v>0.54</v>
      </c>
      <c r="AJ5" s="22">
        <v>5760000</v>
      </c>
      <c r="AL5" s="12" t="s">
        <v>146</v>
      </c>
      <c r="AM5" s="84">
        <v>0</v>
      </c>
      <c r="AN5" s="84">
        <v>0.02</v>
      </c>
      <c r="AO5" s="84">
        <v>0.02</v>
      </c>
      <c r="AP5" s="12" t="s">
        <v>147</v>
      </c>
      <c r="AR5" s="12" t="s">
        <v>56</v>
      </c>
      <c r="AS5" s="16">
        <v>20000000</v>
      </c>
      <c r="AT5" s="16" t="s">
        <v>52</v>
      </c>
      <c r="AV5" s="22">
        <v>1000000000</v>
      </c>
      <c r="AW5" s="11">
        <v>0.3</v>
      </c>
      <c r="AX5" s="22">
        <v>60000000</v>
      </c>
      <c r="AZ5" s="22">
        <v>1000000000</v>
      </c>
      <c r="BA5" s="11">
        <v>0.2</v>
      </c>
      <c r="BB5" s="22">
        <v>60000000</v>
      </c>
      <c r="BD5" s="164" t="s">
        <v>5</v>
      </c>
    </row>
    <row r="6" spans="1:56" ht="16.5" customHeight="1">
      <c r="A6" s="86">
        <v>9.9999999999999997E+98</v>
      </c>
      <c r="B6" s="18">
        <v>4.0000000000000001E-3</v>
      </c>
      <c r="C6" s="15">
        <v>630000</v>
      </c>
      <c r="D6" s="18">
        <v>3.5000000000000001E-3</v>
      </c>
      <c r="E6" s="15">
        <v>630000</v>
      </c>
      <c r="G6" s="3"/>
      <c r="H6" s="3" t="s">
        <v>14</v>
      </c>
      <c r="I6" s="39">
        <v>0.6</v>
      </c>
      <c r="L6" s="15">
        <v>2500000000</v>
      </c>
      <c r="M6" s="20">
        <v>1.2999999999999999E-2</v>
      </c>
      <c r="N6" s="15">
        <v>6000000</v>
      </c>
      <c r="O6" s="18">
        <v>0.02</v>
      </c>
      <c r="P6" s="15">
        <v>14400000</v>
      </c>
      <c r="R6" s="15"/>
      <c r="S6" s="20"/>
      <c r="T6" s="15"/>
      <c r="W6" s="7"/>
      <c r="X6" s="7"/>
      <c r="Y6" s="7"/>
      <c r="AB6" s="22">
        <v>150000000</v>
      </c>
      <c r="AC6" s="10">
        <v>0.35</v>
      </c>
      <c r="AD6" s="22">
        <v>15440000</v>
      </c>
      <c r="AE6" s="10">
        <v>0.45</v>
      </c>
      <c r="AF6" s="22">
        <v>15440000</v>
      </c>
      <c r="AG6" s="10">
        <v>0.55000000000000004</v>
      </c>
      <c r="AH6" s="22">
        <v>15440000</v>
      </c>
      <c r="AI6" s="10">
        <v>0.65</v>
      </c>
      <c r="AJ6" s="22">
        <v>15440000</v>
      </c>
      <c r="AL6" s="12" t="s">
        <v>148</v>
      </c>
      <c r="AM6" s="84">
        <v>0.02</v>
      </c>
      <c r="AN6" s="84">
        <v>0.01</v>
      </c>
      <c r="AO6" s="84">
        <v>0</v>
      </c>
      <c r="AP6" s="12" t="s">
        <v>147</v>
      </c>
      <c r="AS6" s="4"/>
      <c r="AT6" s="4"/>
      <c r="AV6" s="22">
        <v>3000000000</v>
      </c>
      <c r="AW6" s="11">
        <v>0.4</v>
      </c>
      <c r="AX6" s="22">
        <v>160000000</v>
      </c>
      <c r="AZ6" s="87">
        <v>9.9999999999999997E+98</v>
      </c>
      <c r="BA6" s="11"/>
      <c r="BB6" s="22">
        <v>200000000</v>
      </c>
      <c r="BD6" s="164" t="s">
        <v>6</v>
      </c>
    </row>
    <row r="7" spans="1:56" ht="16.5" customHeight="1">
      <c r="A7" s="4"/>
      <c r="C7" s="4"/>
      <c r="E7" s="4"/>
      <c r="G7" s="3"/>
      <c r="H7" s="3" t="s">
        <v>73</v>
      </c>
      <c r="I7" s="39">
        <v>0.7</v>
      </c>
      <c r="L7" s="15">
        <v>5000000000</v>
      </c>
      <c r="M7" s="20">
        <v>1.4999999999999999E-2</v>
      </c>
      <c r="N7" s="15">
        <v>11000000</v>
      </c>
      <c r="O7" s="18">
        <v>0.03</v>
      </c>
      <c r="P7" s="15">
        <v>39400000</v>
      </c>
      <c r="R7" s="390" t="s">
        <v>149</v>
      </c>
      <c r="S7" s="384"/>
      <c r="T7" s="385"/>
      <c r="W7" s="7"/>
      <c r="X7" s="7"/>
      <c r="Y7" s="7"/>
      <c r="AB7" s="22">
        <v>300000000</v>
      </c>
      <c r="AC7" s="10">
        <v>0.38</v>
      </c>
      <c r="AD7" s="22">
        <v>19940000</v>
      </c>
      <c r="AE7" s="10">
        <v>0.48</v>
      </c>
      <c r="AF7" s="22">
        <v>19940000</v>
      </c>
      <c r="AG7" s="10">
        <v>0.57999999999999996</v>
      </c>
      <c r="AH7" s="22">
        <v>19940000</v>
      </c>
      <c r="AI7" s="10">
        <v>0.68</v>
      </c>
      <c r="AJ7" s="22">
        <v>19940000</v>
      </c>
      <c r="AL7" s="12" t="s">
        <v>44</v>
      </c>
      <c r="AM7" s="16">
        <v>15</v>
      </c>
      <c r="AN7" s="16">
        <v>15</v>
      </c>
      <c r="AO7" s="16">
        <v>15</v>
      </c>
      <c r="AP7" s="12" t="s">
        <v>150</v>
      </c>
      <c r="AS7" s="4"/>
      <c r="AT7" s="4"/>
      <c r="AV7" s="87">
        <v>9.9999999999999997E+98</v>
      </c>
      <c r="AW7" s="11">
        <v>0.5</v>
      </c>
      <c r="AX7" s="22">
        <v>460000000</v>
      </c>
      <c r="BD7" s="164" t="s">
        <v>73</v>
      </c>
    </row>
    <row r="8" spans="1:56" ht="16.5" customHeight="1">
      <c r="A8" s="386" t="s">
        <v>151</v>
      </c>
      <c r="B8" s="384"/>
      <c r="C8" s="385"/>
      <c r="D8" s="4"/>
      <c r="E8" s="4"/>
      <c r="G8" s="3"/>
      <c r="H8" s="3" t="s">
        <v>18</v>
      </c>
      <c r="I8" s="39">
        <v>0.7</v>
      </c>
      <c r="L8" s="15">
        <v>9400000000</v>
      </c>
      <c r="M8" s="20">
        <v>0.02</v>
      </c>
      <c r="N8" s="15">
        <v>36000000</v>
      </c>
      <c r="O8" s="17">
        <v>0.04</v>
      </c>
      <c r="P8" s="15">
        <v>89400000</v>
      </c>
      <c r="R8" s="3" t="s">
        <v>127</v>
      </c>
      <c r="S8" s="3" t="s">
        <v>118</v>
      </c>
      <c r="T8" s="3" t="s">
        <v>134</v>
      </c>
      <c r="W8" s="7"/>
      <c r="X8" s="7"/>
      <c r="Y8" s="7"/>
      <c r="AB8" s="22">
        <v>500000000</v>
      </c>
      <c r="AC8" s="10">
        <v>0.4</v>
      </c>
      <c r="AD8" s="22">
        <v>25940000</v>
      </c>
      <c r="AE8" s="10">
        <v>0.5</v>
      </c>
      <c r="AF8" s="22">
        <v>25940000</v>
      </c>
      <c r="AG8" s="10">
        <v>0.6</v>
      </c>
      <c r="AH8" s="22">
        <v>25940000</v>
      </c>
      <c r="AI8" s="10">
        <v>0.7</v>
      </c>
      <c r="AJ8" s="22">
        <v>25940000</v>
      </c>
      <c r="AL8" s="12" t="s">
        <v>152</v>
      </c>
      <c r="AM8" s="12"/>
      <c r="AN8" s="16">
        <v>2000000000</v>
      </c>
      <c r="AO8" s="16">
        <v>1000000000</v>
      </c>
      <c r="AP8" s="12"/>
      <c r="AS8" s="4"/>
      <c r="AT8" s="4"/>
      <c r="BD8" s="164" t="s">
        <v>260</v>
      </c>
    </row>
    <row r="9" spans="1:56" ht="16.5" customHeight="1">
      <c r="A9" s="15" t="s">
        <v>127</v>
      </c>
      <c r="B9" s="3" t="s">
        <v>63</v>
      </c>
      <c r="C9" s="15" t="s">
        <v>136</v>
      </c>
      <c r="E9" s="4"/>
      <c r="G9" s="3"/>
      <c r="H9" s="3" t="s">
        <v>21</v>
      </c>
      <c r="I9" s="39">
        <v>0.7</v>
      </c>
      <c r="L9" s="86">
        <v>9.9999999999999997E+98</v>
      </c>
      <c r="M9" s="20">
        <v>2.7E-2</v>
      </c>
      <c r="N9" s="15">
        <v>101800000</v>
      </c>
      <c r="O9" s="18">
        <v>0.05</v>
      </c>
      <c r="P9" s="15">
        <v>183400000</v>
      </c>
      <c r="R9" s="15">
        <v>20000000000</v>
      </c>
      <c r="S9" s="20">
        <v>5.0000000000000001E-3</v>
      </c>
      <c r="T9" s="15">
        <v>0</v>
      </c>
      <c r="W9" s="7"/>
      <c r="X9" s="7"/>
      <c r="Y9" s="7"/>
      <c r="AB9" s="22">
        <v>1000000000</v>
      </c>
      <c r="AC9" s="10">
        <v>0.42</v>
      </c>
      <c r="AD9" s="22">
        <v>35940000</v>
      </c>
      <c r="AE9" s="10">
        <v>0.52</v>
      </c>
      <c r="AF9" s="22">
        <v>35940000</v>
      </c>
      <c r="AG9" s="10">
        <v>0.62</v>
      </c>
      <c r="AH9" s="22">
        <v>35940000</v>
      </c>
      <c r="AI9" s="10">
        <v>0.72</v>
      </c>
      <c r="AJ9" s="22">
        <v>35940000</v>
      </c>
      <c r="AS9" s="4"/>
      <c r="AT9" s="4"/>
      <c r="BD9" s="164" t="s">
        <v>71</v>
      </c>
    </row>
    <row r="10" spans="1:56" ht="16.5" customHeight="1">
      <c r="A10" s="15">
        <v>150000000</v>
      </c>
      <c r="B10" s="18">
        <v>2E-3</v>
      </c>
      <c r="C10" s="15">
        <v>0</v>
      </c>
      <c r="D10" s="27"/>
      <c r="E10" s="4"/>
      <c r="G10" s="3"/>
      <c r="H10" s="3"/>
      <c r="I10" s="3"/>
      <c r="R10" s="15">
        <v>40000000000</v>
      </c>
      <c r="S10" s="20">
        <v>6.0000000000000001E-3</v>
      </c>
      <c r="T10" s="15">
        <v>20000000</v>
      </c>
      <c r="AB10" s="86">
        <v>9.9999999999999997E+98</v>
      </c>
      <c r="AC10" s="10">
        <v>0.45</v>
      </c>
      <c r="AD10" s="22">
        <v>65940000</v>
      </c>
      <c r="AE10" s="10">
        <v>0.55000000000000004</v>
      </c>
      <c r="AF10" s="22">
        <v>65940000</v>
      </c>
      <c r="AG10" s="10">
        <v>0.65</v>
      </c>
      <c r="AH10" s="22">
        <v>65940000</v>
      </c>
      <c r="AI10" s="10">
        <v>0.75</v>
      </c>
      <c r="AJ10" s="22">
        <v>65940000</v>
      </c>
      <c r="AS10" s="4"/>
      <c r="AT10" s="4"/>
    </row>
    <row r="11" spans="1:56" ht="16.5" customHeight="1">
      <c r="A11" s="15">
        <v>500000000</v>
      </c>
      <c r="B11" s="18">
        <v>3.0000000000000001E-3</v>
      </c>
      <c r="C11" s="15">
        <v>50000</v>
      </c>
      <c r="D11" s="4"/>
      <c r="E11" s="4"/>
      <c r="G11" s="3"/>
      <c r="H11" s="3"/>
      <c r="I11" s="3"/>
      <c r="L11" s="383" t="s">
        <v>154</v>
      </c>
      <c r="M11" s="384"/>
      <c r="N11" s="384"/>
      <c r="O11" s="384"/>
      <c r="P11" s="385"/>
      <c r="R11" s="86">
        <v>9.9999999999999997E+98</v>
      </c>
      <c r="S11" s="20">
        <v>7.0000000000000001E-3</v>
      </c>
      <c r="T11" s="15">
        <v>60000000</v>
      </c>
      <c r="AS11" s="4"/>
      <c r="AT11" s="4"/>
    </row>
    <row r="12" spans="1:56" ht="16.5" customHeight="1">
      <c r="A12" s="86">
        <v>9.9999999999999997E+98</v>
      </c>
      <c r="B12" s="18">
        <v>4.0000000000000001E-3</v>
      </c>
      <c r="C12" s="15">
        <v>250000</v>
      </c>
      <c r="E12" s="4"/>
      <c r="G12" s="3"/>
      <c r="H12" s="3"/>
      <c r="I12" s="3"/>
      <c r="L12" s="3" t="s">
        <v>127</v>
      </c>
      <c r="M12" s="3" t="s">
        <v>155</v>
      </c>
      <c r="N12" s="3" t="s">
        <v>156</v>
      </c>
      <c r="O12" s="3" t="s">
        <v>157</v>
      </c>
      <c r="P12" s="3" t="s">
        <v>158</v>
      </c>
      <c r="AS12" s="4"/>
      <c r="AT12" s="4"/>
    </row>
    <row r="13" spans="1:56" ht="16.5" customHeight="1">
      <c r="A13" s="4"/>
      <c r="C13" s="4"/>
      <c r="E13" s="4"/>
      <c r="G13" s="3"/>
      <c r="H13" s="3"/>
      <c r="I13" s="3"/>
      <c r="L13" s="15">
        <v>300000000</v>
      </c>
      <c r="M13" s="20">
        <v>5.0000000000000001E-3</v>
      </c>
      <c r="N13" s="15">
        <v>0</v>
      </c>
      <c r="O13" s="20">
        <v>5.0000000000000001E-3</v>
      </c>
      <c r="P13" s="15">
        <v>0</v>
      </c>
      <c r="AS13" s="4"/>
      <c r="AT13" s="4"/>
    </row>
    <row r="14" spans="1:56" ht="16.5" customHeight="1">
      <c r="A14" s="386" t="s">
        <v>159</v>
      </c>
      <c r="B14" s="384"/>
      <c r="C14" s="385"/>
      <c r="E14" s="4"/>
      <c r="G14" s="3"/>
      <c r="H14" s="3"/>
      <c r="I14" s="3"/>
      <c r="L14" s="15">
        <v>600000000</v>
      </c>
      <c r="M14" s="20">
        <v>7.0000000000000001E-3</v>
      </c>
      <c r="N14" s="15">
        <v>600000</v>
      </c>
      <c r="O14" s="20">
        <v>7.0000000000000001E-3</v>
      </c>
      <c r="P14" s="15">
        <v>600000</v>
      </c>
      <c r="AS14" s="4"/>
      <c r="AT14" s="4"/>
    </row>
    <row r="15" spans="1:56" ht="16.5" customHeight="1">
      <c r="A15" s="15" t="s">
        <v>127</v>
      </c>
      <c r="B15" s="3" t="s">
        <v>63</v>
      </c>
      <c r="C15" s="15" t="s">
        <v>136</v>
      </c>
      <c r="E15" s="4"/>
      <c r="G15" s="3"/>
      <c r="H15" s="3"/>
      <c r="I15" s="3"/>
      <c r="L15" s="15">
        <v>1200000000</v>
      </c>
      <c r="M15" s="20">
        <v>1.2999999999999999E-2</v>
      </c>
      <c r="N15" s="15">
        <v>4200000</v>
      </c>
      <c r="O15" s="88">
        <v>1.2999999999999999E-2</v>
      </c>
      <c r="P15" s="15">
        <v>4200000</v>
      </c>
      <c r="AS15" s="4"/>
      <c r="AT15" s="4"/>
    </row>
    <row r="16" spans="1:56" ht="16.5" customHeight="1">
      <c r="A16" s="15">
        <v>200000000</v>
      </c>
      <c r="B16" s="18">
        <v>2E-3</v>
      </c>
      <c r="C16" s="15">
        <v>0</v>
      </c>
      <c r="E16" s="4"/>
      <c r="G16" s="3"/>
      <c r="H16" s="3"/>
      <c r="I16" s="3"/>
      <c r="L16" s="15">
        <v>2500000000</v>
      </c>
      <c r="M16" s="20">
        <v>1.4999999999999999E-2</v>
      </c>
      <c r="N16" s="15">
        <v>6600000</v>
      </c>
      <c r="O16" s="20">
        <v>0.02</v>
      </c>
      <c r="P16" s="15">
        <v>12600000</v>
      </c>
      <c r="AS16" s="4"/>
      <c r="AT16" s="4"/>
    </row>
    <row r="17" spans="1:46" ht="16.5" customHeight="1">
      <c r="A17" s="15">
        <v>1000000000</v>
      </c>
      <c r="B17" s="18">
        <v>3.0000000000000001E-3</v>
      </c>
      <c r="C17" s="15">
        <v>200000</v>
      </c>
      <c r="E17" s="4"/>
      <c r="G17" s="3"/>
      <c r="H17" s="3"/>
      <c r="I17" s="3"/>
      <c r="L17" s="15">
        <v>5000000000</v>
      </c>
      <c r="M17" s="20">
        <v>0.02</v>
      </c>
      <c r="N17" s="15">
        <v>19100000</v>
      </c>
      <c r="O17" s="20">
        <v>0.03</v>
      </c>
      <c r="P17" s="15">
        <v>37600000</v>
      </c>
      <c r="AS17" s="4"/>
      <c r="AT17" s="4"/>
    </row>
    <row r="18" spans="1:46" ht="16.5" customHeight="1">
      <c r="A18" s="86">
        <v>9.9999999999999997E+98</v>
      </c>
      <c r="B18" s="18">
        <v>4.0000000000000001E-3</v>
      </c>
      <c r="C18" s="15">
        <v>1200000</v>
      </c>
      <c r="E18" s="4"/>
      <c r="G18" s="3"/>
      <c r="H18" s="3"/>
      <c r="I18" s="3"/>
      <c r="L18" s="15">
        <v>9400000000</v>
      </c>
      <c r="M18" s="20">
        <v>2.7E-2</v>
      </c>
      <c r="N18" s="15">
        <v>54100000</v>
      </c>
      <c r="O18" s="20">
        <v>0.04</v>
      </c>
      <c r="P18" s="15">
        <v>87600000</v>
      </c>
      <c r="AS18" s="4"/>
      <c r="AT18" s="4"/>
    </row>
    <row r="19" spans="1:46" ht="16.5" customHeight="1">
      <c r="A19" s="4"/>
      <c r="C19" s="4"/>
      <c r="E19" s="4"/>
      <c r="G19" s="3"/>
      <c r="H19" s="3"/>
      <c r="I19" s="3"/>
      <c r="L19" s="86">
        <v>9.9999999999999997E+98</v>
      </c>
      <c r="M19" s="20">
        <v>3.5000000000000003E-2</v>
      </c>
      <c r="N19" s="15">
        <v>129300000</v>
      </c>
      <c r="O19" s="20">
        <v>0.05</v>
      </c>
      <c r="P19" s="15">
        <v>181600000</v>
      </c>
      <c r="AS19" s="4"/>
      <c r="AT19" s="4"/>
    </row>
    <row r="20" spans="1:46" ht="16.5" customHeight="1">
      <c r="A20" s="386" t="s">
        <v>160</v>
      </c>
      <c r="B20" s="384"/>
      <c r="C20" s="385"/>
      <c r="E20" s="4"/>
      <c r="G20" s="3"/>
      <c r="H20" s="3"/>
      <c r="I20" s="3"/>
      <c r="AS20" s="4"/>
      <c r="AT20" s="4"/>
    </row>
    <row r="21" spans="1:46" ht="16.5" customHeight="1">
      <c r="A21" s="4" t="s">
        <v>161</v>
      </c>
      <c r="B21" s="25">
        <v>4.0000000000000001E-3</v>
      </c>
      <c r="C21" s="4"/>
      <c r="E21" s="4"/>
      <c r="G21" s="15"/>
      <c r="H21" s="15"/>
      <c r="I21" s="3"/>
      <c r="L21" s="383" t="s">
        <v>162</v>
      </c>
      <c r="M21" s="384"/>
      <c r="N21" s="385"/>
      <c r="O21" s="4"/>
      <c r="P21" s="4"/>
      <c r="Q21" s="4"/>
      <c r="U21" s="4"/>
      <c r="V21" s="4"/>
      <c r="AS21" s="4"/>
      <c r="AT21" s="4"/>
    </row>
    <row r="22" spans="1:46" ht="16.5" customHeight="1">
      <c r="A22" s="4" t="s">
        <v>163</v>
      </c>
      <c r="B22" s="25">
        <v>5.0000000000000001E-4</v>
      </c>
      <c r="C22" s="4"/>
      <c r="E22" s="4"/>
      <c r="G22" s="3"/>
      <c r="H22" s="3"/>
      <c r="I22" s="3"/>
      <c r="L22" s="3" t="s">
        <v>127</v>
      </c>
      <c r="M22" s="3" t="s">
        <v>164</v>
      </c>
      <c r="N22" s="3" t="s">
        <v>165</v>
      </c>
      <c r="O22" s="3"/>
      <c r="P22" s="3"/>
      <c r="AS22" s="4"/>
      <c r="AT22" s="4"/>
    </row>
    <row r="23" spans="1:46" ht="16.5" customHeight="1">
      <c r="A23" s="4" t="s">
        <v>73</v>
      </c>
      <c r="B23" s="25">
        <v>2.5000000000000001E-3</v>
      </c>
      <c r="C23" s="4"/>
      <c r="E23" s="4"/>
      <c r="G23" s="3"/>
      <c r="H23" s="3"/>
      <c r="I23" s="3"/>
      <c r="L23" s="15">
        <v>300000000</v>
      </c>
      <c r="M23" s="20">
        <v>5.0000000000000001E-3</v>
      </c>
      <c r="N23" s="15">
        <v>0</v>
      </c>
      <c r="O23" s="20"/>
      <c r="P23" s="15"/>
      <c r="AS23" s="4"/>
      <c r="AT23" s="4"/>
    </row>
    <row r="24" spans="1:46" ht="16.5" customHeight="1">
      <c r="A24" s="4"/>
      <c r="C24" s="4"/>
      <c r="E24" s="4"/>
      <c r="G24" s="3"/>
      <c r="H24" s="3"/>
      <c r="I24" s="3"/>
      <c r="L24" s="15">
        <v>600000000</v>
      </c>
      <c r="M24" s="20">
        <v>7.0000000000000001E-3</v>
      </c>
      <c r="N24" s="15">
        <v>600000</v>
      </c>
      <c r="O24" s="20"/>
      <c r="P24" s="15"/>
      <c r="AS24" s="4"/>
      <c r="AT24" s="4"/>
    </row>
    <row r="25" spans="1:46" ht="16.5" customHeight="1">
      <c r="A25" s="386" t="s">
        <v>95</v>
      </c>
      <c r="B25" s="384"/>
      <c r="C25" s="385"/>
      <c r="E25" s="4"/>
      <c r="G25" s="3"/>
      <c r="H25" s="3"/>
      <c r="I25" s="3"/>
      <c r="L25" s="15">
        <v>1200000000</v>
      </c>
      <c r="M25" s="20">
        <v>1.2999999999999999E-2</v>
      </c>
      <c r="N25" s="15">
        <v>4200000</v>
      </c>
      <c r="O25" s="20"/>
      <c r="P25" s="15"/>
      <c r="AS25" s="4"/>
      <c r="AT25" s="4"/>
    </row>
    <row r="26" spans="1:46" ht="16.5" customHeight="1">
      <c r="A26" s="90" t="s">
        <v>127</v>
      </c>
      <c r="B26" s="90" t="s">
        <v>63</v>
      </c>
      <c r="C26" s="90" t="s">
        <v>307</v>
      </c>
      <c r="E26" s="4"/>
      <c r="G26" s="3"/>
      <c r="H26" s="3"/>
      <c r="I26" s="3"/>
      <c r="L26" s="15">
        <v>2500000000</v>
      </c>
      <c r="M26" s="20">
        <v>0.02</v>
      </c>
      <c r="N26" s="15">
        <v>12600000</v>
      </c>
      <c r="O26" s="20"/>
      <c r="P26" s="15"/>
      <c r="AS26" s="4"/>
      <c r="AT26" s="4"/>
    </row>
    <row r="27" spans="1:46" ht="16.5" customHeight="1">
      <c r="A27" s="91">
        <v>6000000</v>
      </c>
      <c r="B27" s="92">
        <v>4.0000000000000002E-4</v>
      </c>
      <c r="C27" s="90">
        <v>0</v>
      </c>
      <c r="E27" s="4"/>
      <c r="G27" s="3"/>
      <c r="H27" s="3"/>
      <c r="I27" s="3"/>
      <c r="L27" s="15">
        <v>5000000000</v>
      </c>
      <c r="M27" s="20">
        <v>0.03</v>
      </c>
      <c r="N27" s="15">
        <v>37600000</v>
      </c>
      <c r="O27" s="20"/>
      <c r="P27" s="15"/>
      <c r="AS27" s="4"/>
      <c r="AT27" s="4"/>
    </row>
    <row r="28" spans="1:46" ht="16.5" customHeight="1">
      <c r="A28" s="91">
        <v>13000000</v>
      </c>
      <c r="B28" s="92">
        <v>5.0000000000000001E-4</v>
      </c>
      <c r="C28" s="90">
        <v>600</v>
      </c>
      <c r="E28" s="4"/>
      <c r="G28" s="3"/>
      <c r="H28" s="3"/>
      <c r="I28" s="3"/>
      <c r="L28" s="15">
        <v>9400000000</v>
      </c>
      <c r="M28" s="20">
        <v>0.04</v>
      </c>
      <c r="N28" s="15">
        <v>87600000</v>
      </c>
      <c r="O28" s="20"/>
      <c r="P28" s="15"/>
      <c r="AS28" s="4"/>
      <c r="AT28" s="4"/>
    </row>
    <row r="29" spans="1:46" ht="16.5" customHeight="1">
      <c r="A29" s="91">
        <v>26000000</v>
      </c>
      <c r="B29" s="92">
        <v>5.9999999999999995E-4</v>
      </c>
      <c r="C29" s="91">
        <v>1900</v>
      </c>
      <c r="E29" s="4"/>
      <c r="G29" s="3"/>
      <c r="H29" s="3"/>
      <c r="I29" s="3"/>
      <c r="L29" s="86">
        <v>9.9999999999999997E+98</v>
      </c>
      <c r="M29" s="20">
        <v>0.05</v>
      </c>
      <c r="N29" s="15">
        <v>181600000</v>
      </c>
      <c r="O29" s="20"/>
      <c r="P29" s="15"/>
      <c r="AS29" s="4"/>
      <c r="AT29" s="4"/>
    </row>
    <row r="30" spans="1:46" ht="16.5" customHeight="1">
      <c r="A30" s="91">
        <v>39000000</v>
      </c>
      <c r="B30" s="92">
        <v>8.0000000000000004E-4</v>
      </c>
      <c r="C30" s="91">
        <v>7100</v>
      </c>
      <c r="E30" s="4"/>
      <c r="G30" s="3"/>
      <c r="H30" s="3"/>
      <c r="I30" s="3"/>
      <c r="AS30" s="4"/>
      <c r="AT30" s="4"/>
    </row>
    <row r="31" spans="1:46" ht="16.5" customHeight="1">
      <c r="A31" s="91">
        <v>64000000</v>
      </c>
      <c r="B31" s="92">
        <v>1E-3</v>
      </c>
      <c r="C31" s="91">
        <v>14900</v>
      </c>
      <c r="E31" s="221">
        <f>(220426399-A31)*0.12%+27700</f>
        <v>215411.67879999999</v>
      </c>
      <c r="G31" s="3"/>
      <c r="H31" s="3"/>
      <c r="I31" s="3"/>
      <c r="AS31" s="4"/>
      <c r="AT31" s="4"/>
    </row>
    <row r="32" spans="1:46" ht="16.5" customHeight="1">
      <c r="A32" s="86">
        <v>9.9999999999999997E+98</v>
      </c>
      <c r="B32" s="92">
        <v>1.1999999999999999E-3</v>
      </c>
      <c r="C32" s="91">
        <v>27700</v>
      </c>
      <c r="E32" s="4"/>
      <c r="G32" s="3"/>
      <c r="H32" s="3"/>
      <c r="I32" s="3"/>
      <c r="AS32" s="4"/>
      <c r="AT32" s="4"/>
    </row>
    <row r="33" spans="1:46" ht="16.5" customHeight="1">
      <c r="A33" s="4"/>
      <c r="C33" s="4"/>
      <c r="E33" s="4"/>
      <c r="G33" s="3"/>
      <c r="H33" s="3"/>
      <c r="I33" s="3"/>
      <c r="AS33" s="4"/>
      <c r="AT33" s="4"/>
    </row>
    <row r="34" spans="1:46" ht="16.5" customHeight="1">
      <c r="A34" s="4"/>
      <c r="C34" s="4"/>
      <c r="E34" s="4"/>
      <c r="G34" s="3"/>
      <c r="H34" s="3"/>
      <c r="I34" s="3"/>
      <c r="AS34" s="4"/>
      <c r="AT34" s="4"/>
    </row>
    <row r="35" spans="1:46" ht="16.5" customHeight="1">
      <c r="A35" s="4"/>
      <c r="C35" s="4"/>
      <c r="E35" s="4"/>
      <c r="G35" s="3"/>
      <c r="H35" s="3"/>
      <c r="I35" s="3"/>
      <c r="AS35" s="4"/>
      <c r="AT35" s="4"/>
    </row>
    <row r="36" spans="1:46" ht="16.5" customHeight="1">
      <c r="A36" s="4"/>
      <c r="C36" s="4"/>
      <c r="E36" s="4"/>
      <c r="G36" s="3"/>
      <c r="H36" s="3"/>
      <c r="I36" s="3"/>
      <c r="AS36" s="4"/>
      <c r="AT36" s="4"/>
    </row>
    <row r="37" spans="1:46" ht="16.5" customHeight="1">
      <c r="A37" s="4"/>
      <c r="C37" s="4"/>
      <c r="E37" s="4"/>
      <c r="G37" s="3"/>
      <c r="H37" s="3"/>
      <c r="I37" s="3"/>
      <c r="AS37" s="4"/>
      <c r="AT37" s="4"/>
    </row>
    <row r="38" spans="1:46" ht="16.5" customHeight="1">
      <c r="A38" s="4"/>
      <c r="C38" s="4"/>
      <c r="E38" s="4"/>
      <c r="G38" s="3"/>
      <c r="H38" s="3"/>
      <c r="I38" s="3"/>
      <c r="AS38" s="4"/>
      <c r="AT38" s="4"/>
    </row>
    <row r="39" spans="1:46" ht="16.5" customHeight="1">
      <c r="A39" s="4"/>
      <c r="C39" s="4"/>
      <c r="E39" s="4"/>
      <c r="G39" s="3"/>
      <c r="H39" s="3"/>
      <c r="I39" s="3"/>
      <c r="AS39" s="4"/>
      <c r="AT39" s="4"/>
    </row>
    <row r="40" spans="1:46" ht="16.5" customHeight="1">
      <c r="A40" s="4"/>
      <c r="C40" s="4"/>
      <c r="E40" s="4"/>
      <c r="G40" s="3"/>
      <c r="H40" s="3"/>
      <c r="I40" s="3"/>
      <c r="AS40" s="4"/>
      <c r="AT40" s="4"/>
    </row>
    <row r="41" spans="1:46" ht="16.5" customHeight="1">
      <c r="A41" s="4"/>
      <c r="C41" s="4"/>
      <c r="E41" s="4"/>
      <c r="G41" s="3"/>
      <c r="H41" s="3"/>
      <c r="I41" s="3"/>
      <c r="AS41" s="4"/>
      <c r="AT41" s="4"/>
    </row>
    <row r="42" spans="1:46" ht="16.5" customHeight="1">
      <c r="A42" s="4"/>
      <c r="C42" s="4"/>
      <c r="E42" s="4"/>
      <c r="G42" s="3"/>
      <c r="H42" s="3"/>
      <c r="I42" s="3"/>
      <c r="AS42" s="4"/>
      <c r="AT42" s="4"/>
    </row>
    <row r="43" spans="1:46" ht="16.5" customHeight="1">
      <c r="A43" s="4"/>
      <c r="C43" s="4"/>
      <c r="E43" s="4"/>
      <c r="G43" s="3"/>
      <c r="H43" s="3"/>
      <c r="I43" s="3"/>
      <c r="AS43" s="4"/>
      <c r="AT43" s="4"/>
    </row>
    <row r="44" spans="1:46" ht="16.5" customHeight="1">
      <c r="A44" s="4"/>
      <c r="C44" s="4"/>
      <c r="E44" s="4"/>
      <c r="G44" s="3"/>
      <c r="H44" s="3"/>
      <c r="I44" s="3"/>
      <c r="AS44" s="4"/>
      <c r="AT44" s="4"/>
    </row>
    <row r="45" spans="1:46" ht="16.5" customHeight="1">
      <c r="A45" s="4"/>
      <c r="C45" s="4"/>
      <c r="E45" s="4"/>
      <c r="G45" s="3"/>
      <c r="H45" s="3"/>
      <c r="I45" s="3"/>
      <c r="AS45" s="4"/>
      <c r="AT45" s="4"/>
    </row>
    <row r="46" spans="1:46" ht="16.5" customHeight="1">
      <c r="A46" s="4"/>
      <c r="C46" s="4"/>
      <c r="E46" s="4"/>
      <c r="G46" s="3"/>
      <c r="H46" s="3"/>
      <c r="I46" s="3"/>
      <c r="AS46" s="4"/>
      <c r="AT46" s="4"/>
    </row>
    <row r="47" spans="1:46" ht="16.5" customHeight="1">
      <c r="A47" s="4"/>
      <c r="C47" s="4"/>
      <c r="E47" s="4"/>
      <c r="G47" s="3"/>
      <c r="H47" s="3"/>
      <c r="I47" s="3"/>
      <c r="AS47" s="4"/>
      <c r="AT47" s="4"/>
    </row>
    <row r="48" spans="1:46" ht="16.5" customHeight="1">
      <c r="A48" s="4"/>
      <c r="C48" s="4"/>
      <c r="E48" s="4"/>
      <c r="G48" s="3"/>
      <c r="H48" s="3"/>
      <c r="I48" s="3"/>
      <c r="AS48" s="4"/>
      <c r="AT48" s="4"/>
    </row>
    <row r="49" spans="1:46" ht="16.5" customHeight="1">
      <c r="A49" s="4"/>
      <c r="C49" s="4"/>
      <c r="E49" s="4"/>
      <c r="G49" s="3"/>
      <c r="H49" s="3"/>
      <c r="I49" s="3"/>
      <c r="AS49" s="4"/>
      <c r="AT49" s="4"/>
    </row>
    <row r="50" spans="1:46" ht="16.5" customHeight="1">
      <c r="A50" s="4"/>
      <c r="C50" s="4"/>
      <c r="E50" s="4"/>
      <c r="G50" s="3"/>
      <c r="H50" s="3"/>
      <c r="I50" s="3"/>
      <c r="AS50" s="4"/>
      <c r="AT50" s="4"/>
    </row>
    <row r="51" spans="1:46" ht="16.5" customHeight="1">
      <c r="A51" s="4"/>
      <c r="C51" s="4"/>
      <c r="E51" s="4"/>
      <c r="G51" s="3"/>
      <c r="H51" s="3"/>
      <c r="I51" s="3"/>
      <c r="AS51" s="4"/>
      <c r="AT51" s="4"/>
    </row>
    <row r="52" spans="1:46" ht="16.5" customHeight="1">
      <c r="A52" s="4"/>
      <c r="C52" s="4"/>
      <c r="E52" s="4"/>
      <c r="G52" s="3"/>
      <c r="H52" s="3"/>
      <c r="I52" s="3"/>
      <c r="AS52" s="4"/>
      <c r="AT52" s="4"/>
    </row>
    <row r="53" spans="1:46" ht="16.5" customHeight="1">
      <c r="A53" s="4"/>
      <c r="C53" s="4"/>
      <c r="E53" s="4"/>
      <c r="G53" s="3"/>
      <c r="H53" s="3"/>
      <c r="I53" s="3"/>
      <c r="AS53" s="4"/>
      <c r="AT53" s="4"/>
    </row>
    <row r="54" spans="1:46" ht="16.5" customHeight="1">
      <c r="A54" s="4"/>
      <c r="C54" s="4"/>
      <c r="E54" s="4"/>
      <c r="G54" s="3"/>
      <c r="H54" s="3"/>
      <c r="I54" s="3"/>
      <c r="AS54" s="4"/>
      <c r="AT54" s="4"/>
    </row>
    <row r="55" spans="1:46" ht="16.5" customHeight="1">
      <c r="A55" s="4"/>
      <c r="C55" s="4"/>
      <c r="E55" s="4"/>
      <c r="G55" s="3"/>
      <c r="H55" s="3"/>
      <c r="I55" s="3"/>
      <c r="AS55" s="4"/>
      <c r="AT55" s="4"/>
    </row>
    <row r="56" spans="1:46" ht="16.5" customHeight="1">
      <c r="A56" s="4"/>
      <c r="C56" s="4"/>
      <c r="E56" s="4"/>
      <c r="G56" s="3"/>
      <c r="H56" s="3"/>
      <c r="I56" s="3"/>
      <c r="AS56" s="4"/>
      <c r="AT56" s="4"/>
    </row>
    <row r="57" spans="1:46" ht="16.5" customHeight="1">
      <c r="A57" s="4"/>
      <c r="C57" s="4"/>
      <c r="E57" s="4"/>
      <c r="G57" s="3"/>
      <c r="H57" s="3"/>
      <c r="I57" s="3"/>
      <c r="AS57" s="4"/>
      <c r="AT57" s="4"/>
    </row>
    <row r="58" spans="1:46" ht="16.5" customHeight="1">
      <c r="A58" s="4"/>
      <c r="C58" s="4"/>
      <c r="E58" s="4"/>
      <c r="G58" s="3"/>
      <c r="H58" s="3"/>
      <c r="I58" s="3"/>
      <c r="AS58" s="4"/>
      <c r="AT58" s="4"/>
    </row>
    <row r="59" spans="1:46" ht="16.5" customHeight="1">
      <c r="A59" s="4"/>
      <c r="C59" s="4"/>
      <c r="E59" s="4"/>
      <c r="G59" s="3"/>
      <c r="H59" s="3"/>
      <c r="I59" s="3"/>
      <c r="AS59" s="4"/>
      <c r="AT59" s="4"/>
    </row>
    <row r="60" spans="1:46" ht="16.5" customHeight="1">
      <c r="A60" s="4"/>
      <c r="C60" s="4"/>
      <c r="E60" s="4"/>
      <c r="G60" s="3"/>
      <c r="H60" s="3"/>
      <c r="I60" s="3"/>
      <c r="AS60" s="4"/>
      <c r="AT60" s="4"/>
    </row>
    <row r="61" spans="1:46" ht="16.5" customHeight="1">
      <c r="A61" s="4"/>
      <c r="C61" s="4"/>
      <c r="E61" s="4"/>
      <c r="G61" s="3"/>
      <c r="H61" s="3"/>
      <c r="I61" s="3"/>
      <c r="AS61" s="4"/>
      <c r="AT61" s="4"/>
    </row>
    <row r="62" spans="1:46" ht="16.5" customHeight="1">
      <c r="A62" s="4"/>
      <c r="C62" s="4"/>
      <c r="E62" s="4"/>
      <c r="G62" s="3"/>
      <c r="H62" s="3"/>
      <c r="I62" s="3"/>
      <c r="AS62" s="4"/>
      <c r="AT62" s="4"/>
    </row>
    <row r="63" spans="1:46" ht="16.5" customHeight="1">
      <c r="A63" s="4"/>
      <c r="C63" s="4"/>
      <c r="E63" s="4"/>
      <c r="G63" s="3"/>
      <c r="H63" s="3"/>
      <c r="I63" s="3"/>
      <c r="AS63" s="4"/>
      <c r="AT63" s="4"/>
    </row>
    <row r="64" spans="1:46" ht="16.5" customHeight="1">
      <c r="A64" s="4"/>
      <c r="C64" s="4"/>
      <c r="E64" s="4"/>
      <c r="G64" s="3"/>
      <c r="H64" s="3"/>
      <c r="I64" s="3"/>
      <c r="AS64" s="4"/>
      <c r="AT64" s="4"/>
    </row>
    <row r="65" spans="1:46" ht="16.5" customHeight="1">
      <c r="A65" s="4"/>
      <c r="C65" s="4"/>
      <c r="E65" s="4"/>
      <c r="G65" s="3"/>
      <c r="H65" s="3"/>
      <c r="I65" s="3"/>
      <c r="AS65" s="4"/>
      <c r="AT65" s="4"/>
    </row>
    <row r="66" spans="1:46" ht="16.5" customHeight="1">
      <c r="A66" s="4"/>
      <c r="C66" s="4"/>
      <c r="E66" s="4"/>
      <c r="G66" s="3"/>
      <c r="H66" s="3"/>
      <c r="I66" s="3"/>
      <c r="AS66" s="4"/>
      <c r="AT66" s="4"/>
    </row>
    <row r="67" spans="1:46" ht="16.5" customHeight="1">
      <c r="A67" s="4"/>
      <c r="C67" s="4"/>
      <c r="E67" s="4"/>
      <c r="G67" s="3"/>
      <c r="H67" s="3"/>
      <c r="I67" s="3"/>
      <c r="AS67" s="4"/>
      <c r="AT67" s="4"/>
    </row>
    <row r="68" spans="1:46" ht="16.5" customHeight="1">
      <c r="A68" s="4"/>
      <c r="C68" s="4"/>
      <c r="E68" s="4"/>
      <c r="G68" s="3"/>
      <c r="H68" s="3"/>
      <c r="I68" s="3"/>
      <c r="AS68" s="4"/>
      <c r="AT68" s="4"/>
    </row>
    <row r="69" spans="1:46" ht="16.5" customHeight="1">
      <c r="A69" s="4"/>
      <c r="C69" s="4"/>
      <c r="E69" s="4"/>
      <c r="G69" s="3"/>
      <c r="H69" s="3"/>
      <c r="I69" s="3"/>
      <c r="AS69" s="4"/>
      <c r="AT69" s="4"/>
    </row>
    <row r="70" spans="1:46" ht="16.5" customHeight="1">
      <c r="A70" s="4"/>
      <c r="C70" s="4"/>
      <c r="E70" s="4"/>
      <c r="G70" s="3"/>
      <c r="H70" s="3"/>
      <c r="I70" s="3"/>
      <c r="AS70" s="4"/>
      <c r="AT70" s="4"/>
    </row>
    <row r="71" spans="1:46" ht="16.5" customHeight="1">
      <c r="A71" s="4"/>
      <c r="C71" s="4"/>
      <c r="E71" s="4"/>
      <c r="G71" s="3"/>
      <c r="H71" s="3"/>
      <c r="I71" s="3"/>
      <c r="AS71" s="4"/>
      <c r="AT71" s="4"/>
    </row>
    <row r="72" spans="1:46" ht="16.5" customHeight="1">
      <c r="A72" s="4"/>
      <c r="C72" s="4"/>
      <c r="E72" s="4"/>
      <c r="G72" s="3"/>
      <c r="H72" s="3"/>
      <c r="I72" s="3"/>
      <c r="AS72" s="4"/>
      <c r="AT72" s="4"/>
    </row>
    <row r="73" spans="1:46" ht="16.5" customHeight="1">
      <c r="A73" s="4"/>
      <c r="C73" s="4"/>
      <c r="E73" s="4"/>
      <c r="G73" s="3"/>
      <c r="H73" s="3"/>
      <c r="I73" s="3"/>
      <c r="AS73" s="4"/>
      <c r="AT73" s="4"/>
    </row>
    <row r="74" spans="1:46" ht="16.5" customHeight="1">
      <c r="A74" s="4"/>
      <c r="C74" s="4"/>
      <c r="E74" s="4"/>
      <c r="G74" s="3"/>
      <c r="H74" s="3"/>
      <c r="I74" s="3"/>
      <c r="AS74" s="4"/>
      <c r="AT74" s="4"/>
    </row>
    <row r="75" spans="1:46" ht="16.5" customHeight="1">
      <c r="A75" s="4"/>
      <c r="C75" s="4"/>
      <c r="E75" s="4"/>
      <c r="G75" s="3"/>
      <c r="H75" s="3"/>
      <c r="I75" s="3"/>
      <c r="AS75" s="4"/>
      <c r="AT75" s="4"/>
    </row>
    <row r="76" spans="1:46" ht="16.5" customHeight="1">
      <c r="A76" s="4"/>
      <c r="C76" s="4"/>
      <c r="E76" s="4"/>
      <c r="G76" s="3"/>
      <c r="H76" s="3"/>
      <c r="I76" s="3"/>
      <c r="AS76" s="4"/>
      <c r="AT76" s="4"/>
    </row>
    <row r="77" spans="1:46" ht="16.5" customHeight="1">
      <c r="A77" s="4"/>
      <c r="C77" s="4"/>
      <c r="E77" s="4"/>
      <c r="G77" s="3"/>
      <c r="H77" s="3"/>
      <c r="I77" s="3"/>
      <c r="AS77" s="4"/>
      <c r="AT77" s="4"/>
    </row>
    <row r="78" spans="1:46" ht="16.5" customHeight="1">
      <c r="A78" s="4"/>
      <c r="C78" s="4"/>
      <c r="E78" s="4"/>
      <c r="G78" s="3"/>
      <c r="H78" s="3"/>
      <c r="I78" s="3"/>
      <c r="AS78" s="4"/>
      <c r="AT78" s="4"/>
    </row>
    <row r="79" spans="1:46" ht="16.5" customHeight="1">
      <c r="A79" s="4"/>
      <c r="C79" s="4"/>
      <c r="E79" s="4"/>
      <c r="G79" s="3"/>
      <c r="H79" s="3"/>
      <c r="I79" s="3"/>
      <c r="AS79" s="4"/>
      <c r="AT79" s="4"/>
    </row>
    <row r="80" spans="1:46" ht="16.5" customHeight="1">
      <c r="A80" s="4"/>
      <c r="C80" s="4"/>
      <c r="E80" s="4"/>
      <c r="G80" s="3"/>
      <c r="H80" s="3"/>
      <c r="I80" s="3"/>
      <c r="AS80" s="4"/>
      <c r="AT80" s="4"/>
    </row>
    <row r="81" spans="1:46" ht="16.5" customHeight="1">
      <c r="A81" s="4"/>
      <c r="C81" s="4"/>
      <c r="E81" s="4"/>
      <c r="G81" s="3"/>
      <c r="H81" s="3"/>
      <c r="I81" s="3"/>
      <c r="AS81" s="4"/>
      <c r="AT81" s="4"/>
    </row>
    <row r="82" spans="1:46" ht="16.5" customHeight="1">
      <c r="A82" s="4"/>
      <c r="C82" s="4"/>
      <c r="E82" s="4"/>
      <c r="G82" s="3"/>
      <c r="H82" s="3"/>
      <c r="I82" s="3"/>
      <c r="AS82" s="4"/>
      <c r="AT82" s="4"/>
    </row>
    <row r="83" spans="1:46" ht="16.5" customHeight="1">
      <c r="A83" s="4"/>
      <c r="C83" s="4"/>
      <c r="E83" s="4"/>
      <c r="G83" s="3"/>
      <c r="H83" s="3"/>
      <c r="I83" s="3"/>
      <c r="AS83" s="4"/>
      <c r="AT83" s="4"/>
    </row>
    <row r="84" spans="1:46" ht="16.5" customHeight="1">
      <c r="A84" s="4"/>
      <c r="C84" s="4"/>
      <c r="E84" s="4"/>
      <c r="G84" s="3"/>
      <c r="H84" s="3"/>
      <c r="I84" s="3"/>
      <c r="AS84" s="4"/>
      <c r="AT84" s="4"/>
    </row>
    <row r="85" spans="1:46" ht="16.5" customHeight="1">
      <c r="A85" s="4"/>
      <c r="C85" s="4"/>
      <c r="E85" s="4"/>
      <c r="G85" s="3"/>
      <c r="H85" s="3"/>
      <c r="I85" s="3"/>
      <c r="AS85" s="4"/>
      <c r="AT85" s="4"/>
    </row>
    <row r="86" spans="1:46" ht="16.5" customHeight="1">
      <c r="A86" s="4"/>
      <c r="C86" s="4"/>
      <c r="E86" s="4"/>
      <c r="G86" s="3"/>
      <c r="H86" s="3"/>
      <c r="I86" s="3"/>
      <c r="AS86" s="4"/>
      <c r="AT86" s="4"/>
    </row>
    <row r="87" spans="1:46" ht="16.5" customHeight="1">
      <c r="A87" s="4"/>
      <c r="C87" s="4"/>
      <c r="E87" s="4"/>
      <c r="G87" s="3"/>
      <c r="H87" s="3"/>
      <c r="I87" s="3"/>
      <c r="AS87" s="4"/>
      <c r="AT87" s="4"/>
    </row>
    <row r="88" spans="1:46" ht="16.5" customHeight="1">
      <c r="A88" s="4"/>
      <c r="C88" s="4"/>
      <c r="E88" s="4"/>
      <c r="G88" s="3"/>
      <c r="H88" s="3"/>
      <c r="I88" s="3"/>
      <c r="AS88" s="4"/>
      <c r="AT88" s="4"/>
    </row>
    <row r="89" spans="1:46" ht="16.5" customHeight="1">
      <c r="A89" s="4"/>
      <c r="C89" s="4"/>
      <c r="E89" s="4"/>
      <c r="G89" s="3"/>
      <c r="H89" s="3"/>
      <c r="I89" s="3"/>
      <c r="AS89" s="4"/>
      <c r="AT89" s="4"/>
    </row>
    <row r="90" spans="1:46" ht="16.5" customHeight="1">
      <c r="A90" s="4"/>
      <c r="C90" s="4"/>
      <c r="E90" s="4"/>
      <c r="G90" s="3"/>
      <c r="H90" s="3"/>
      <c r="I90" s="3"/>
      <c r="AS90" s="4"/>
      <c r="AT90" s="4"/>
    </row>
    <row r="91" spans="1:46" ht="16.5" customHeight="1">
      <c r="A91" s="4"/>
      <c r="C91" s="4"/>
      <c r="E91" s="4"/>
      <c r="G91" s="3"/>
      <c r="H91" s="3"/>
      <c r="I91" s="3"/>
      <c r="AS91" s="4"/>
      <c r="AT91" s="4"/>
    </row>
    <row r="92" spans="1:46" ht="16.5" customHeight="1">
      <c r="A92" s="4"/>
      <c r="C92" s="4"/>
      <c r="E92" s="4"/>
      <c r="G92" s="3"/>
      <c r="H92" s="3"/>
      <c r="I92" s="3"/>
      <c r="AS92" s="4"/>
      <c r="AT92" s="4"/>
    </row>
    <row r="93" spans="1:46" ht="16.5" customHeight="1">
      <c r="A93" s="4"/>
      <c r="C93" s="4"/>
      <c r="E93" s="4"/>
      <c r="G93" s="3"/>
      <c r="H93" s="3"/>
      <c r="I93" s="3"/>
      <c r="AS93" s="4"/>
      <c r="AT93" s="4"/>
    </row>
    <row r="94" spans="1:46" ht="16.5" customHeight="1">
      <c r="A94" s="4"/>
      <c r="C94" s="4"/>
      <c r="E94" s="4"/>
      <c r="G94" s="3"/>
      <c r="H94" s="3"/>
      <c r="I94" s="3"/>
      <c r="AS94" s="4"/>
      <c r="AT94" s="4"/>
    </row>
    <row r="95" spans="1:46" ht="16.5" customHeight="1">
      <c r="A95" s="4"/>
      <c r="C95" s="4"/>
      <c r="E95" s="4"/>
      <c r="G95" s="3"/>
      <c r="H95" s="3"/>
      <c r="I95" s="3"/>
      <c r="AS95" s="4"/>
      <c r="AT95" s="4"/>
    </row>
    <row r="96" spans="1:46" ht="16.5" customHeight="1">
      <c r="A96" s="4"/>
      <c r="C96" s="4"/>
      <c r="E96" s="4"/>
      <c r="G96" s="3"/>
      <c r="H96" s="3"/>
      <c r="I96" s="3"/>
      <c r="AS96" s="4"/>
      <c r="AT96" s="4"/>
    </row>
    <row r="97" spans="1:46" ht="16.5" customHeight="1">
      <c r="A97" s="4"/>
      <c r="C97" s="4"/>
      <c r="E97" s="4"/>
      <c r="G97" s="3"/>
      <c r="H97" s="3"/>
      <c r="I97" s="3"/>
      <c r="AS97" s="4"/>
      <c r="AT97" s="4"/>
    </row>
    <row r="98" spans="1:46" ht="16.5" customHeight="1">
      <c r="A98" s="4"/>
      <c r="C98" s="4"/>
      <c r="E98" s="4"/>
      <c r="G98" s="3"/>
      <c r="H98" s="3"/>
      <c r="I98" s="3"/>
      <c r="AS98" s="4"/>
      <c r="AT98" s="4"/>
    </row>
    <row r="99" spans="1:46" ht="16.5" customHeight="1">
      <c r="A99" s="4"/>
      <c r="C99" s="4"/>
      <c r="E99" s="4"/>
      <c r="G99" s="3"/>
      <c r="H99" s="3"/>
      <c r="I99" s="3"/>
      <c r="AS99" s="4"/>
      <c r="AT99" s="4"/>
    </row>
    <row r="100" spans="1:46" ht="16.5" customHeight="1">
      <c r="A100" s="4"/>
      <c r="C100" s="4"/>
      <c r="E100" s="4"/>
      <c r="G100" s="3"/>
      <c r="H100" s="3"/>
      <c r="I100" s="3"/>
      <c r="AS100" s="4"/>
      <c r="AT100" s="4"/>
    </row>
    <row r="101" spans="1:46" ht="16.5" customHeight="1">
      <c r="A101" s="4"/>
      <c r="C101" s="4"/>
      <c r="E101" s="4"/>
      <c r="G101" s="3"/>
      <c r="H101" s="3"/>
      <c r="I101" s="3"/>
      <c r="AS101" s="4"/>
      <c r="AT101" s="4"/>
    </row>
    <row r="102" spans="1:46" ht="16.5" customHeight="1">
      <c r="A102" s="4"/>
      <c r="C102" s="4"/>
      <c r="E102" s="4"/>
      <c r="G102" s="3"/>
      <c r="H102" s="3"/>
      <c r="I102" s="3"/>
      <c r="AS102" s="4"/>
      <c r="AT102" s="4"/>
    </row>
    <row r="103" spans="1:46" ht="16.5" customHeight="1">
      <c r="A103" s="4"/>
      <c r="C103" s="4"/>
      <c r="E103" s="4"/>
      <c r="G103" s="3"/>
      <c r="H103" s="3"/>
      <c r="I103" s="3"/>
      <c r="AS103" s="4"/>
      <c r="AT103" s="4"/>
    </row>
    <row r="104" spans="1:46" ht="16.5" customHeight="1">
      <c r="A104" s="4"/>
      <c r="C104" s="4"/>
      <c r="E104" s="4"/>
      <c r="G104" s="3"/>
      <c r="H104" s="3"/>
      <c r="I104" s="3"/>
      <c r="AS104" s="4"/>
      <c r="AT104" s="4"/>
    </row>
    <row r="105" spans="1:46" ht="16.5" customHeight="1">
      <c r="A105" s="4"/>
      <c r="C105" s="4"/>
      <c r="E105" s="4"/>
      <c r="G105" s="3"/>
      <c r="H105" s="3"/>
      <c r="I105" s="3"/>
      <c r="AS105" s="4"/>
      <c r="AT105" s="4"/>
    </row>
    <row r="106" spans="1:46" ht="16.5" customHeight="1">
      <c r="A106" s="4"/>
      <c r="C106" s="4"/>
      <c r="E106" s="4"/>
      <c r="G106" s="3"/>
      <c r="H106" s="3"/>
      <c r="I106" s="3"/>
      <c r="AS106" s="4"/>
      <c r="AT106" s="4"/>
    </row>
    <row r="107" spans="1:46" ht="16.5" customHeight="1">
      <c r="A107" s="4"/>
      <c r="C107" s="4"/>
      <c r="E107" s="4"/>
      <c r="G107" s="3"/>
      <c r="H107" s="3"/>
      <c r="I107" s="3"/>
      <c r="AS107" s="4"/>
      <c r="AT107" s="4"/>
    </row>
    <row r="108" spans="1:46" ht="16.5" customHeight="1">
      <c r="A108" s="4"/>
      <c r="C108" s="4"/>
      <c r="E108" s="4"/>
      <c r="G108" s="3"/>
      <c r="H108" s="3"/>
      <c r="I108" s="3"/>
      <c r="AS108" s="4"/>
      <c r="AT108" s="4"/>
    </row>
    <row r="109" spans="1:46" ht="16.5" customHeight="1">
      <c r="A109" s="4"/>
      <c r="C109" s="4"/>
      <c r="E109" s="4"/>
      <c r="G109" s="3"/>
      <c r="H109" s="3"/>
      <c r="I109" s="3"/>
      <c r="AS109" s="4"/>
      <c r="AT109" s="4"/>
    </row>
    <row r="110" spans="1:46" ht="16.5" customHeight="1">
      <c r="A110" s="4"/>
      <c r="C110" s="4"/>
      <c r="E110" s="4"/>
      <c r="G110" s="3"/>
      <c r="H110" s="3"/>
      <c r="I110" s="3"/>
      <c r="AS110" s="4"/>
      <c r="AT110" s="4"/>
    </row>
    <row r="111" spans="1:46" ht="16.5" customHeight="1">
      <c r="A111" s="4"/>
      <c r="C111" s="4"/>
      <c r="E111" s="4"/>
      <c r="G111" s="3"/>
      <c r="H111" s="3"/>
      <c r="I111" s="3"/>
      <c r="AS111" s="4"/>
      <c r="AT111" s="4"/>
    </row>
    <row r="112" spans="1:46" ht="16.5" customHeight="1">
      <c r="A112" s="4"/>
      <c r="C112" s="4"/>
      <c r="E112" s="4"/>
      <c r="G112" s="3"/>
      <c r="H112" s="3"/>
      <c r="I112" s="3"/>
      <c r="AS112" s="4"/>
      <c r="AT112" s="4"/>
    </row>
    <row r="113" spans="1:46" ht="16.5" customHeight="1">
      <c r="A113" s="4"/>
      <c r="C113" s="4"/>
      <c r="E113" s="4"/>
      <c r="G113" s="3"/>
      <c r="H113" s="3"/>
      <c r="I113" s="3"/>
      <c r="AS113" s="4"/>
      <c r="AT113" s="4"/>
    </row>
    <row r="114" spans="1:46" ht="16.5" customHeight="1">
      <c r="A114" s="4"/>
      <c r="C114" s="4"/>
      <c r="E114" s="4"/>
      <c r="G114" s="3"/>
      <c r="H114" s="3"/>
      <c r="I114" s="3"/>
      <c r="AS114" s="4"/>
      <c r="AT114" s="4"/>
    </row>
    <row r="115" spans="1:46" ht="16.5" customHeight="1">
      <c r="A115" s="4"/>
      <c r="C115" s="4"/>
      <c r="E115" s="4"/>
      <c r="G115" s="3"/>
      <c r="H115" s="3"/>
      <c r="I115" s="3"/>
      <c r="AS115" s="4"/>
      <c r="AT115" s="4"/>
    </row>
    <row r="116" spans="1:46" ht="16.5" customHeight="1">
      <c r="A116" s="4"/>
      <c r="C116" s="4"/>
      <c r="E116" s="4"/>
      <c r="G116" s="3"/>
      <c r="H116" s="3"/>
      <c r="I116" s="3"/>
      <c r="AS116" s="4"/>
      <c r="AT116" s="4"/>
    </row>
    <row r="117" spans="1:46" ht="16.5" customHeight="1">
      <c r="A117" s="4"/>
      <c r="C117" s="4"/>
      <c r="E117" s="4"/>
      <c r="G117" s="3"/>
      <c r="H117" s="3"/>
      <c r="I117" s="3"/>
      <c r="AS117" s="4"/>
      <c r="AT117" s="4"/>
    </row>
    <row r="118" spans="1:46" ht="16.5" customHeight="1">
      <c r="A118" s="4"/>
      <c r="C118" s="4"/>
      <c r="E118" s="4"/>
      <c r="G118" s="3"/>
      <c r="H118" s="3"/>
      <c r="I118" s="3"/>
      <c r="AS118" s="4"/>
      <c r="AT118" s="4"/>
    </row>
    <row r="119" spans="1:46" ht="16.5" customHeight="1">
      <c r="A119" s="4"/>
      <c r="C119" s="4"/>
      <c r="E119" s="4"/>
      <c r="G119" s="3"/>
      <c r="H119" s="3"/>
      <c r="I119" s="3"/>
      <c r="AS119" s="4"/>
      <c r="AT119" s="4"/>
    </row>
    <row r="120" spans="1:46" ht="16.5" customHeight="1">
      <c r="A120" s="4"/>
      <c r="C120" s="4"/>
      <c r="E120" s="4"/>
      <c r="G120" s="3"/>
      <c r="H120" s="3"/>
      <c r="I120" s="3"/>
      <c r="AS120" s="4"/>
      <c r="AT120" s="4"/>
    </row>
    <row r="121" spans="1:46" ht="16.5" customHeight="1">
      <c r="A121" s="4"/>
      <c r="C121" s="4"/>
      <c r="E121" s="4"/>
      <c r="G121" s="3"/>
      <c r="H121" s="3"/>
      <c r="I121" s="3"/>
      <c r="AS121" s="4"/>
      <c r="AT121" s="4"/>
    </row>
    <row r="122" spans="1:46" ht="16.5" customHeight="1">
      <c r="A122" s="4"/>
      <c r="C122" s="4"/>
      <c r="E122" s="4"/>
      <c r="G122" s="3"/>
      <c r="H122" s="3"/>
      <c r="I122" s="3"/>
      <c r="AS122" s="4"/>
      <c r="AT122" s="4"/>
    </row>
    <row r="123" spans="1:46" ht="16.5" customHeight="1">
      <c r="A123" s="4"/>
      <c r="C123" s="4"/>
      <c r="E123" s="4"/>
      <c r="G123" s="3"/>
      <c r="H123" s="3"/>
      <c r="I123" s="3"/>
      <c r="AS123" s="4"/>
      <c r="AT123" s="4"/>
    </row>
    <row r="124" spans="1:46" ht="16.5" customHeight="1">
      <c r="A124" s="4"/>
      <c r="C124" s="4"/>
      <c r="E124" s="4"/>
      <c r="G124" s="3"/>
      <c r="H124" s="3"/>
      <c r="I124" s="3"/>
      <c r="AS124" s="4"/>
      <c r="AT124" s="4"/>
    </row>
    <row r="125" spans="1:46" ht="16.5" customHeight="1">
      <c r="A125" s="4"/>
      <c r="C125" s="4"/>
      <c r="E125" s="4"/>
      <c r="G125" s="3"/>
      <c r="H125" s="3"/>
      <c r="I125" s="3"/>
      <c r="AS125" s="4"/>
      <c r="AT125" s="4"/>
    </row>
    <row r="126" spans="1:46" ht="16.5" customHeight="1">
      <c r="A126" s="4"/>
      <c r="C126" s="4"/>
      <c r="E126" s="4"/>
      <c r="G126" s="3"/>
      <c r="H126" s="3"/>
      <c r="I126" s="3"/>
      <c r="AS126" s="4"/>
      <c r="AT126" s="4"/>
    </row>
    <row r="127" spans="1:46" ht="16.5" customHeight="1">
      <c r="A127" s="4"/>
      <c r="C127" s="4"/>
      <c r="E127" s="4"/>
      <c r="G127" s="3"/>
      <c r="H127" s="3"/>
      <c r="I127" s="3"/>
      <c r="AS127" s="4"/>
      <c r="AT127" s="4"/>
    </row>
    <row r="128" spans="1:46" ht="16.5" customHeight="1">
      <c r="A128" s="4"/>
      <c r="C128" s="4"/>
      <c r="E128" s="4"/>
      <c r="G128" s="3"/>
      <c r="H128" s="3"/>
      <c r="I128" s="3"/>
      <c r="AS128" s="4"/>
      <c r="AT128" s="4"/>
    </row>
    <row r="129" spans="1:46" ht="16.5" customHeight="1">
      <c r="A129" s="4"/>
      <c r="C129" s="4"/>
      <c r="E129" s="4"/>
      <c r="G129" s="3"/>
      <c r="H129" s="3"/>
      <c r="I129" s="3"/>
      <c r="AS129" s="4"/>
      <c r="AT129" s="4"/>
    </row>
    <row r="130" spans="1:46" ht="16.5" customHeight="1">
      <c r="A130" s="4"/>
      <c r="C130" s="4"/>
      <c r="E130" s="4"/>
      <c r="G130" s="3"/>
      <c r="H130" s="3"/>
      <c r="I130" s="3"/>
      <c r="AS130" s="4"/>
      <c r="AT130" s="4"/>
    </row>
    <row r="131" spans="1:46" ht="16.5" customHeight="1">
      <c r="A131" s="4"/>
      <c r="C131" s="4"/>
      <c r="E131" s="4"/>
      <c r="G131" s="3"/>
      <c r="H131" s="3"/>
      <c r="I131" s="3"/>
      <c r="AS131" s="4"/>
      <c r="AT131" s="4"/>
    </row>
    <row r="132" spans="1:46" ht="16.5" customHeight="1">
      <c r="A132" s="4"/>
      <c r="C132" s="4"/>
      <c r="E132" s="4"/>
      <c r="G132" s="3"/>
      <c r="H132" s="3"/>
      <c r="I132" s="3"/>
      <c r="AS132" s="4"/>
      <c r="AT132" s="4"/>
    </row>
    <row r="133" spans="1:46" ht="16.5" customHeight="1">
      <c r="A133" s="4"/>
      <c r="C133" s="4"/>
      <c r="E133" s="4"/>
      <c r="G133" s="3"/>
      <c r="H133" s="3"/>
      <c r="I133" s="3"/>
      <c r="AS133" s="4"/>
      <c r="AT133" s="4"/>
    </row>
    <row r="134" spans="1:46" ht="16.5" customHeight="1">
      <c r="A134" s="4"/>
      <c r="C134" s="4"/>
      <c r="E134" s="4"/>
      <c r="G134" s="3"/>
      <c r="H134" s="3"/>
      <c r="I134" s="3"/>
      <c r="AS134" s="4"/>
      <c r="AT134" s="4"/>
    </row>
    <row r="135" spans="1:46" ht="16.5" customHeight="1">
      <c r="A135" s="4"/>
      <c r="C135" s="4"/>
      <c r="E135" s="4"/>
      <c r="G135" s="3"/>
      <c r="H135" s="3"/>
      <c r="I135" s="3"/>
      <c r="AS135" s="4"/>
      <c r="AT135" s="4"/>
    </row>
    <row r="136" spans="1:46" ht="16.5" customHeight="1">
      <c r="A136" s="4"/>
      <c r="C136" s="4"/>
      <c r="E136" s="4"/>
      <c r="G136" s="3"/>
      <c r="H136" s="3"/>
      <c r="I136" s="3"/>
      <c r="AS136" s="4"/>
      <c r="AT136" s="4"/>
    </row>
    <row r="137" spans="1:46" ht="16.5" customHeight="1">
      <c r="A137" s="4"/>
      <c r="C137" s="4"/>
      <c r="E137" s="4"/>
      <c r="G137" s="3"/>
      <c r="H137" s="3"/>
      <c r="I137" s="3"/>
      <c r="AS137" s="4"/>
      <c r="AT137" s="4"/>
    </row>
    <row r="138" spans="1:46" ht="16.5" customHeight="1">
      <c r="A138" s="4"/>
      <c r="C138" s="4"/>
      <c r="E138" s="4"/>
      <c r="G138" s="3"/>
      <c r="H138" s="3"/>
      <c r="I138" s="3"/>
      <c r="AS138" s="4"/>
      <c r="AT138" s="4"/>
    </row>
    <row r="139" spans="1:46" ht="16.5" customHeight="1">
      <c r="A139" s="4"/>
      <c r="C139" s="4"/>
      <c r="E139" s="4"/>
      <c r="G139" s="3"/>
      <c r="H139" s="3"/>
      <c r="I139" s="3"/>
      <c r="AS139" s="4"/>
      <c r="AT139" s="4"/>
    </row>
    <row r="140" spans="1:46" ht="16.5" customHeight="1">
      <c r="A140" s="4"/>
      <c r="C140" s="4"/>
      <c r="E140" s="4"/>
      <c r="G140" s="3"/>
      <c r="H140" s="3"/>
      <c r="I140" s="3"/>
      <c r="AS140" s="4"/>
      <c r="AT140" s="4"/>
    </row>
    <row r="141" spans="1:46" ht="16.5" customHeight="1">
      <c r="A141" s="4"/>
      <c r="C141" s="4"/>
      <c r="E141" s="4"/>
      <c r="G141" s="3"/>
      <c r="H141" s="3"/>
      <c r="I141" s="3"/>
      <c r="AS141" s="4"/>
      <c r="AT141" s="4"/>
    </row>
    <row r="142" spans="1:46" ht="16.5" customHeight="1">
      <c r="A142" s="4"/>
      <c r="C142" s="4"/>
      <c r="E142" s="4"/>
      <c r="G142" s="3"/>
      <c r="H142" s="3"/>
      <c r="I142" s="3"/>
      <c r="AS142" s="4"/>
      <c r="AT142" s="4"/>
    </row>
    <row r="143" spans="1:46" ht="16.5" customHeight="1">
      <c r="A143" s="4"/>
      <c r="C143" s="4"/>
      <c r="E143" s="4"/>
      <c r="G143" s="3"/>
      <c r="H143" s="3"/>
      <c r="I143" s="3"/>
      <c r="AS143" s="4"/>
      <c r="AT143" s="4"/>
    </row>
    <row r="144" spans="1:46" ht="16.5" customHeight="1">
      <c r="A144" s="4"/>
      <c r="C144" s="4"/>
      <c r="E144" s="4"/>
      <c r="G144" s="3"/>
      <c r="H144" s="3"/>
      <c r="I144" s="3"/>
      <c r="AS144" s="4"/>
      <c r="AT144" s="4"/>
    </row>
    <row r="145" spans="1:46" ht="16.5" customHeight="1">
      <c r="A145" s="4"/>
      <c r="C145" s="4"/>
      <c r="E145" s="4"/>
      <c r="G145" s="3"/>
      <c r="H145" s="3"/>
      <c r="I145" s="3"/>
      <c r="AS145" s="4"/>
      <c r="AT145" s="4"/>
    </row>
    <row r="146" spans="1:46" ht="16.5" customHeight="1">
      <c r="A146" s="4"/>
      <c r="C146" s="4"/>
      <c r="E146" s="4"/>
      <c r="G146" s="3"/>
      <c r="H146" s="3"/>
      <c r="I146" s="3"/>
      <c r="AS146" s="4"/>
      <c r="AT146" s="4"/>
    </row>
    <row r="147" spans="1:46" ht="16.5" customHeight="1">
      <c r="A147" s="4"/>
      <c r="C147" s="4"/>
      <c r="E147" s="4"/>
      <c r="G147" s="3"/>
      <c r="H147" s="3"/>
      <c r="I147" s="3"/>
      <c r="AS147" s="4"/>
      <c r="AT147" s="4"/>
    </row>
    <row r="148" spans="1:46" ht="16.5" customHeight="1">
      <c r="A148" s="4"/>
      <c r="C148" s="4"/>
      <c r="E148" s="4"/>
      <c r="G148" s="3"/>
      <c r="H148" s="3"/>
      <c r="I148" s="3"/>
      <c r="AS148" s="4"/>
      <c r="AT148" s="4"/>
    </row>
    <row r="149" spans="1:46" ht="16.5" customHeight="1">
      <c r="A149" s="4"/>
      <c r="C149" s="4"/>
      <c r="E149" s="4"/>
      <c r="G149" s="3"/>
      <c r="H149" s="3"/>
      <c r="I149" s="3"/>
      <c r="AS149" s="4"/>
      <c r="AT149" s="4"/>
    </row>
    <row r="150" spans="1:46" ht="16.5" customHeight="1">
      <c r="A150" s="4"/>
      <c r="C150" s="4"/>
      <c r="E150" s="4"/>
      <c r="G150" s="3"/>
      <c r="H150" s="3"/>
      <c r="I150" s="3"/>
      <c r="AS150" s="4"/>
      <c r="AT150" s="4"/>
    </row>
    <row r="151" spans="1:46" ht="16.5" customHeight="1">
      <c r="A151" s="4"/>
      <c r="C151" s="4"/>
      <c r="E151" s="4"/>
      <c r="G151" s="3"/>
      <c r="H151" s="3"/>
      <c r="I151" s="3"/>
      <c r="AS151" s="4"/>
      <c r="AT151" s="4"/>
    </row>
    <row r="152" spans="1:46" ht="16.5" customHeight="1">
      <c r="A152" s="4"/>
      <c r="C152" s="4"/>
      <c r="E152" s="4"/>
      <c r="G152" s="3"/>
      <c r="H152" s="3"/>
      <c r="I152" s="3"/>
      <c r="AS152" s="4"/>
      <c r="AT152" s="4"/>
    </row>
    <row r="153" spans="1:46" ht="16.5" customHeight="1">
      <c r="A153" s="4"/>
      <c r="C153" s="4"/>
      <c r="E153" s="4"/>
      <c r="G153" s="3"/>
      <c r="H153" s="3"/>
      <c r="I153" s="3"/>
      <c r="AS153" s="4"/>
      <c r="AT153" s="4"/>
    </row>
    <row r="154" spans="1:46" ht="16.5" customHeight="1">
      <c r="A154" s="4"/>
      <c r="C154" s="4"/>
      <c r="E154" s="4"/>
      <c r="G154" s="3"/>
      <c r="H154" s="3"/>
      <c r="I154" s="3"/>
      <c r="AS154" s="4"/>
      <c r="AT154" s="4"/>
    </row>
    <row r="155" spans="1:46" ht="16.5" customHeight="1">
      <c r="A155" s="4"/>
      <c r="C155" s="4"/>
      <c r="E155" s="4"/>
      <c r="G155" s="3"/>
      <c r="H155" s="3"/>
      <c r="I155" s="3"/>
      <c r="AS155" s="4"/>
      <c r="AT155" s="4"/>
    </row>
    <row r="156" spans="1:46" ht="16.5" customHeight="1">
      <c r="A156" s="4"/>
      <c r="C156" s="4"/>
      <c r="E156" s="4"/>
      <c r="G156" s="3"/>
      <c r="H156" s="3"/>
      <c r="I156" s="3"/>
      <c r="AS156" s="4"/>
      <c r="AT156" s="4"/>
    </row>
    <row r="157" spans="1:46" ht="16.5" customHeight="1">
      <c r="A157" s="4"/>
      <c r="C157" s="4"/>
      <c r="E157" s="4"/>
      <c r="G157" s="3"/>
      <c r="H157" s="3"/>
      <c r="I157" s="3"/>
      <c r="AS157" s="4"/>
      <c r="AT157" s="4"/>
    </row>
    <row r="158" spans="1:46" ht="16.5" customHeight="1">
      <c r="A158" s="4"/>
      <c r="C158" s="4"/>
      <c r="E158" s="4"/>
      <c r="G158" s="3"/>
      <c r="H158" s="3"/>
      <c r="I158" s="3"/>
      <c r="AS158" s="4"/>
      <c r="AT158" s="4"/>
    </row>
    <row r="159" spans="1:46" ht="16.5" customHeight="1">
      <c r="A159" s="4"/>
      <c r="C159" s="4"/>
      <c r="E159" s="4"/>
      <c r="G159" s="3"/>
      <c r="H159" s="3"/>
      <c r="I159" s="3"/>
      <c r="AS159" s="4"/>
      <c r="AT159" s="4"/>
    </row>
    <row r="160" spans="1:46" ht="16.5" customHeight="1">
      <c r="A160" s="4"/>
      <c r="C160" s="4"/>
      <c r="E160" s="4"/>
      <c r="G160" s="3"/>
      <c r="H160" s="3"/>
      <c r="I160" s="3"/>
      <c r="AS160" s="4"/>
      <c r="AT160" s="4"/>
    </row>
    <row r="161" spans="1:46" ht="16.5" customHeight="1">
      <c r="A161" s="4"/>
      <c r="C161" s="4"/>
      <c r="E161" s="4"/>
      <c r="G161" s="3"/>
      <c r="H161" s="3"/>
      <c r="I161" s="3"/>
      <c r="AS161" s="4"/>
      <c r="AT161" s="4"/>
    </row>
    <row r="162" spans="1:46" ht="16.5" customHeight="1">
      <c r="A162" s="4"/>
      <c r="C162" s="4"/>
      <c r="E162" s="4"/>
      <c r="G162" s="3"/>
      <c r="H162" s="3"/>
      <c r="I162" s="3"/>
      <c r="AS162" s="4"/>
      <c r="AT162" s="4"/>
    </row>
    <row r="163" spans="1:46" ht="16.5" customHeight="1">
      <c r="A163" s="4"/>
      <c r="C163" s="4"/>
      <c r="E163" s="4"/>
      <c r="G163" s="3"/>
      <c r="H163" s="3"/>
      <c r="I163" s="3"/>
      <c r="AS163" s="4"/>
      <c r="AT163" s="4"/>
    </row>
    <row r="164" spans="1:46" ht="16.5" customHeight="1">
      <c r="A164" s="4"/>
      <c r="C164" s="4"/>
      <c r="E164" s="4"/>
      <c r="G164" s="3"/>
      <c r="H164" s="3"/>
      <c r="I164" s="3"/>
      <c r="AS164" s="4"/>
      <c r="AT164" s="4"/>
    </row>
    <row r="165" spans="1:46" ht="16.5" customHeight="1">
      <c r="A165" s="4"/>
      <c r="C165" s="4"/>
      <c r="E165" s="4"/>
      <c r="G165" s="3"/>
      <c r="H165" s="3"/>
      <c r="I165" s="3"/>
      <c r="AS165" s="4"/>
      <c r="AT165" s="4"/>
    </row>
    <row r="166" spans="1:46" ht="16.5" customHeight="1">
      <c r="A166" s="4"/>
      <c r="C166" s="4"/>
      <c r="E166" s="4"/>
      <c r="G166" s="3"/>
      <c r="H166" s="3"/>
      <c r="I166" s="3"/>
      <c r="AS166" s="4"/>
      <c r="AT166" s="4"/>
    </row>
    <row r="167" spans="1:46" ht="16.5" customHeight="1">
      <c r="A167" s="4"/>
      <c r="C167" s="4"/>
      <c r="E167" s="4"/>
      <c r="G167" s="3"/>
      <c r="H167" s="3"/>
      <c r="I167" s="3"/>
      <c r="AS167" s="4"/>
      <c r="AT167" s="4"/>
    </row>
    <row r="168" spans="1:46" ht="16.5" customHeight="1">
      <c r="A168" s="4"/>
      <c r="C168" s="4"/>
      <c r="E168" s="4"/>
      <c r="G168" s="3"/>
      <c r="H168" s="3"/>
      <c r="I168" s="3"/>
      <c r="AS168" s="4"/>
      <c r="AT168" s="4"/>
    </row>
    <row r="169" spans="1:46" ht="16.5" customHeight="1">
      <c r="A169" s="4"/>
      <c r="C169" s="4"/>
      <c r="E169" s="4"/>
      <c r="G169" s="3"/>
      <c r="H169" s="3"/>
      <c r="I169" s="3"/>
      <c r="AS169" s="4"/>
      <c r="AT169" s="4"/>
    </row>
    <row r="170" spans="1:46" ht="16.5" customHeight="1">
      <c r="A170" s="4"/>
      <c r="C170" s="4"/>
      <c r="E170" s="4"/>
      <c r="G170" s="3"/>
      <c r="H170" s="3"/>
      <c r="I170" s="3"/>
      <c r="AS170" s="4"/>
      <c r="AT170" s="4"/>
    </row>
    <row r="171" spans="1:46" ht="16.5" customHeight="1">
      <c r="A171" s="4"/>
      <c r="C171" s="4"/>
      <c r="E171" s="4"/>
      <c r="G171" s="3"/>
      <c r="H171" s="3"/>
      <c r="I171" s="3"/>
      <c r="AS171" s="4"/>
      <c r="AT171" s="4"/>
    </row>
    <row r="172" spans="1:46" ht="16.5" customHeight="1">
      <c r="A172" s="4"/>
      <c r="C172" s="4"/>
      <c r="E172" s="4"/>
      <c r="G172" s="3"/>
      <c r="H172" s="3"/>
      <c r="I172" s="3"/>
      <c r="AS172" s="4"/>
      <c r="AT172" s="4"/>
    </row>
    <row r="173" spans="1:46" ht="16.5" customHeight="1">
      <c r="A173" s="4"/>
      <c r="C173" s="4"/>
      <c r="E173" s="4"/>
      <c r="G173" s="3"/>
      <c r="H173" s="3"/>
      <c r="I173" s="3"/>
      <c r="AS173" s="4"/>
      <c r="AT173" s="4"/>
    </row>
    <row r="174" spans="1:46" ht="16.5" customHeight="1">
      <c r="A174" s="4"/>
      <c r="C174" s="4"/>
      <c r="E174" s="4"/>
      <c r="G174" s="3"/>
      <c r="H174" s="3"/>
      <c r="I174" s="3"/>
      <c r="AS174" s="4"/>
      <c r="AT174" s="4"/>
    </row>
    <row r="175" spans="1:46" ht="16.5" customHeight="1">
      <c r="A175" s="4"/>
      <c r="C175" s="4"/>
      <c r="E175" s="4"/>
      <c r="G175" s="3"/>
      <c r="H175" s="3"/>
      <c r="I175" s="3"/>
      <c r="AS175" s="4"/>
      <c r="AT175" s="4"/>
    </row>
    <row r="176" spans="1:46" ht="16.5" customHeight="1">
      <c r="A176" s="4"/>
      <c r="C176" s="4"/>
      <c r="E176" s="4"/>
      <c r="G176" s="3"/>
      <c r="H176" s="3"/>
      <c r="I176" s="3"/>
      <c r="AS176" s="4"/>
      <c r="AT176" s="4"/>
    </row>
    <row r="177" spans="1:46" ht="16.5" customHeight="1">
      <c r="A177" s="4"/>
      <c r="C177" s="4"/>
      <c r="E177" s="4"/>
      <c r="G177" s="3"/>
      <c r="H177" s="3"/>
      <c r="I177" s="3"/>
      <c r="AS177" s="4"/>
      <c r="AT177" s="4"/>
    </row>
    <row r="178" spans="1:46" ht="16.5" customHeight="1">
      <c r="A178" s="4"/>
      <c r="C178" s="4"/>
      <c r="E178" s="4"/>
      <c r="G178" s="3"/>
      <c r="H178" s="3"/>
      <c r="I178" s="3"/>
      <c r="AS178" s="4"/>
      <c r="AT178" s="4"/>
    </row>
    <row r="179" spans="1:46" ht="16.5" customHeight="1">
      <c r="A179" s="4"/>
      <c r="C179" s="4"/>
      <c r="E179" s="4"/>
      <c r="G179" s="3"/>
      <c r="H179" s="3"/>
      <c r="I179" s="3"/>
      <c r="AS179" s="4"/>
      <c r="AT179" s="4"/>
    </row>
    <row r="180" spans="1:46" ht="16.5" customHeight="1">
      <c r="A180" s="4"/>
      <c r="C180" s="4"/>
      <c r="E180" s="4"/>
      <c r="G180" s="3"/>
      <c r="H180" s="3"/>
      <c r="I180" s="3"/>
      <c r="AS180" s="4"/>
      <c r="AT180" s="4"/>
    </row>
    <row r="181" spans="1:46" ht="16.5" customHeight="1">
      <c r="A181" s="4"/>
      <c r="C181" s="4"/>
      <c r="E181" s="4"/>
      <c r="G181" s="3"/>
      <c r="H181" s="3"/>
      <c r="I181" s="3"/>
      <c r="AS181" s="4"/>
      <c r="AT181" s="4"/>
    </row>
    <row r="182" spans="1:46" ht="16.5" customHeight="1">
      <c r="A182" s="4"/>
      <c r="C182" s="4"/>
      <c r="E182" s="4"/>
      <c r="G182" s="3"/>
      <c r="H182" s="3"/>
      <c r="I182" s="3"/>
      <c r="AS182" s="4"/>
      <c r="AT182" s="4"/>
    </row>
    <row r="183" spans="1:46" ht="16.5" customHeight="1">
      <c r="A183" s="4"/>
      <c r="C183" s="4"/>
      <c r="E183" s="4"/>
      <c r="G183" s="3"/>
      <c r="H183" s="3"/>
      <c r="I183" s="3"/>
      <c r="AS183" s="4"/>
      <c r="AT183" s="4"/>
    </row>
    <row r="184" spans="1:46" ht="16.5" customHeight="1">
      <c r="A184" s="4"/>
      <c r="C184" s="4"/>
      <c r="E184" s="4"/>
      <c r="G184" s="3"/>
      <c r="H184" s="3"/>
      <c r="I184" s="3"/>
      <c r="AS184" s="4"/>
      <c r="AT184" s="4"/>
    </row>
    <row r="185" spans="1:46" ht="16.5" customHeight="1">
      <c r="A185" s="4"/>
      <c r="C185" s="4"/>
      <c r="E185" s="4"/>
      <c r="G185" s="3"/>
      <c r="H185" s="3"/>
      <c r="I185" s="3"/>
      <c r="AS185" s="4"/>
      <c r="AT185" s="4"/>
    </row>
    <row r="186" spans="1:46" ht="16.5" customHeight="1">
      <c r="A186" s="4"/>
      <c r="C186" s="4"/>
      <c r="E186" s="4"/>
      <c r="G186" s="3"/>
      <c r="H186" s="3"/>
      <c r="I186" s="3"/>
      <c r="AS186" s="4"/>
      <c r="AT186" s="4"/>
    </row>
    <row r="187" spans="1:46" ht="16.5" customHeight="1">
      <c r="A187" s="4"/>
      <c r="C187" s="4"/>
      <c r="E187" s="4"/>
      <c r="G187" s="3"/>
      <c r="H187" s="3"/>
      <c r="I187" s="3"/>
      <c r="AS187" s="4"/>
      <c r="AT187" s="4"/>
    </row>
    <row r="188" spans="1:46" ht="16.5" customHeight="1">
      <c r="A188" s="4"/>
      <c r="C188" s="4"/>
      <c r="E188" s="4"/>
      <c r="G188" s="3"/>
      <c r="H188" s="3"/>
      <c r="I188" s="3"/>
      <c r="AS188" s="4"/>
      <c r="AT188" s="4"/>
    </row>
    <row r="189" spans="1:46" ht="16.5" customHeight="1">
      <c r="A189" s="4"/>
      <c r="C189" s="4"/>
      <c r="E189" s="4"/>
      <c r="G189" s="3"/>
      <c r="H189" s="3"/>
      <c r="I189" s="3"/>
      <c r="AS189" s="4"/>
      <c r="AT189" s="4"/>
    </row>
    <row r="190" spans="1:46" ht="16.5" customHeight="1">
      <c r="A190" s="4"/>
      <c r="C190" s="4"/>
      <c r="E190" s="4"/>
      <c r="G190" s="3"/>
      <c r="H190" s="3"/>
      <c r="I190" s="3"/>
      <c r="AS190" s="4"/>
      <c r="AT190" s="4"/>
    </row>
    <row r="191" spans="1:46" ht="16.5" customHeight="1">
      <c r="A191" s="4"/>
      <c r="C191" s="4"/>
      <c r="E191" s="4"/>
      <c r="G191" s="3"/>
      <c r="H191" s="3"/>
      <c r="I191" s="3"/>
      <c r="AS191" s="4"/>
      <c r="AT191" s="4"/>
    </row>
    <row r="192" spans="1:46" ht="16.5" customHeight="1">
      <c r="A192" s="4"/>
      <c r="C192" s="4"/>
      <c r="E192" s="4"/>
      <c r="G192" s="3"/>
      <c r="H192" s="3"/>
      <c r="I192" s="3"/>
      <c r="AS192" s="4"/>
      <c r="AT192" s="4"/>
    </row>
    <row r="193" spans="1:46" ht="16.5" customHeight="1">
      <c r="A193" s="4"/>
      <c r="C193" s="4"/>
      <c r="E193" s="4"/>
      <c r="G193" s="3"/>
      <c r="H193" s="3"/>
      <c r="I193" s="3"/>
      <c r="AS193" s="4"/>
      <c r="AT193" s="4"/>
    </row>
    <row r="194" spans="1:46" ht="16.5" customHeight="1">
      <c r="A194" s="4"/>
      <c r="C194" s="4"/>
      <c r="E194" s="4"/>
      <c r="G194" s="3"/>
      <c r="H194" s="3"/>
      <c r="I194" s="3"/>
      <c r="AS194" s="4"/>
      <c r="AT194" s="4"/>
    </row>
    <row r="195" spans="1:46" ht="16.5" customHeight="1">
      <c r="A195" s="4"/>
      <c r="C195" s="4"/>
      <c r="E195" s="4"/>
      <c r="G195" s="3"/>
      <c r="H195" s="3"/>
      <c r="I195" s="3"/>
      <c r="AS195" s="4"/>
      <c r="AT195" s="4"/>
    </row>
    <row r="196" spans="1:46" ht="16.5" customHeight="1">
      <c r="A196" s="4"/>
      <c r="C196" s="4"/>
      <c r="E196" s="4"/>
      <c r="G196" s="3"/>
      <c r="H196" s="3"/>
      <c r="I196" s="3"/>
      <c r="AS196" s="4"/>
      <c r="AT196" s="4"/>
    </row>
    <row r="197" spans="1:46" ht="16.5" customHeight="1">
      <c r="A197" s="4"/>
      <c r="C197" s="4"/>
      <c r="E197" s="4"/>
      <c r="G197" s="3"/>
      <c r="H197" s="3"/>
      <c r="I197" s="3"/>
      <c r="AS197" s="4"/>
      <c r="AT197" s="4"/>
    </row>
    <row r="198" spans="1:46" ht="16.5" customHeight="1">
      <c r="A198" s="4"/>
      <c r="C198" s="4"/>
      <c r="E198" s="4"/>
      <c r="G198" s="3"/>
      <c r="H198" s="3"/>
      <c r="I198" s="3"/>
      <c r="AS198" s="4"/>
      <c r="AT198" s="4"/>
    </row>
    <row r="199" spans="1:46" ht="16.5" customHeight="1">
      <c r="A199" s="4"/>
      <c r="C199" s="4"/>
      <c r="E199" s="4"/>
      <c r="G199" s="3"/>
      <c r="H199" s="3"/>
      <c r="I199" s="3"/>
      <c r="AS199" s="4"/>
      <c r="AT199" s="4"/>
    </row>
    <row r="200" spans="1:46" ht="16.5" customHeight="1">
      <c r="A200" s="4"/>
      <c r="C200" s="4"/>
      <c r="E200" s="4"/>
      <c r="G200" s="3"/>
      <c r="H200" s="3"/>
      <c r="I200" s="3"/>
      <c r="AS200" s="4"/>
      <c r="AT200" s="4"/>
    </row>
    <row r="201" spans="1:46" ht="16.5" customHeight="1">
      <c r="A201" s="4"/>
      <c r="C201" s="4"/>
      <c r="E201" s="4"/>
      <c r="G201" s="3"/>
      <c r="H201" s="3"/>
      <c r="I201" s="3"/>
      <c r="AS201" s="4"/>
      <c r="AT201" s="4"/>
    </row>
    <row r="202" spans="1:46" ht="16.5" customHeight="1">
      <c r="A202" s="4"/>
      <c r="C202" s="4"/>
      <c r="E202" s="4"/>
      <c r="G202" s="3"/>
      <c r="H202" s="3"/>
      <c r="I202" s="3"/>
      <c r="AS202" s="4"/>
      <c r="AT202" s="4"/>
    </row>
    <row r="203" spans="1:46" ht="16.5" customHeight="1">
      <c r="A203" s="4"/>
      <c r="C203" s="4"/>
      <c r="E203" s="4"/>
      <c r="G203" s="3"/>
      <c r="H203" s="3"/>
      <c r="I203" s="3"/>
      <c r="AS203" s="4"/>
      <c r="AT203" s="4"/>
    </row>
    <row r="204" spans="1:46" ht="16.5" customHeight="1">
      <c r="A204" s="4"/>
      <c r="C204" s="4"/>
      <c r="E204" s="4"/>
      <c r="G204" s="3"/>
      <c r="H204" s="3"/>
      <c r="I204" s="3"/>
      <c r="AS204" s="4"/>
      <c r="AT204" s="4"/>
    </row>
    <row r="205" spans="1:46" ht="16.5" customHeight="1">
      <c r="A205" s="4"/>
      <c r="C205" s="4"/>
      <c r="E205" s="4"/>
      <c r="G205" s="3"/>
      <c r="H205" s="3"/>
      <c r="I205" s="3"/>
      <c r="AS205" s="4"/>
      <c r="AT205" s="4"/>
    </row>
    <row r="206" spans="1:46" ht="16.5" customHeight="1">
      <c r="A206" s="4"/>
      <c r="C206" s="4"/>
      <c r="E206" s="4"/>
      <c r="G206" s="3"/>
      <c r="H206" s="3"/>
      <c r="I206" s="3"/>
      <c r="AS206" s="4"/>
      <c r="AT206" s="4"/>
    </row>
    <row r="207" spans="1:46" ht="16.5" customHeight="1">
      <c r="A207" s="4"/>
      <c r="C207" s="4"/>
      <c r="E207" s="4"/>
      <c r="G207" s="3"/>
      <c r="H207" s="3"/>
      <c r="I207" s="3"/>
      <c r="AS207" s="4"/>
      <c r="AT207" s="4"/>
    </row>
    <row r="208" spans="1:46" ht="16.5" customHeight="1">
      <c r="A208" s="4"/>
      <c r="C208" s="4"/>
      <c r="E208" s="4"/>
      <c r="G208" s="3"/>
      <c r="H208" s="3"/>
      <c r="I208" s="3"/>
      <c r="AS208" s="4"/>
      <c r="AT208" s="4"/>
    </row>
    <row r="209" spans="1:46" ht="16.5" customHeight="1">
      <c r="A209" s="4"/>
      <c r="C209" s="4"/>
      <c r="E209" s="4"/>
      <c r="G209" s="3"/>
      <c r="H209" s="3"/>
      <c r="I209" s="3"/>
      <c r="AS209" s="4"/>
      <c r="AT209" s="4"/>
    </row>
    <row r="210" spans="1:46" ht="16.5" customHeight="1">
      <c r="A210" s="4"/>
      <c r="C210" s="4"/>
      <c r="E210" s="4"/>
      <c r="G210" s="3"/>
      <c r="H210" s="3"/>
      <c r="I210" s="3"/>
      <c r="AS210" s="4"/>
      <c r="AT210" s="4"/>
    </row>
    <row r="211" spans="1:46" ht="16.5" customHeight="1">
      <c r="A211" s="4"/>
      <c r="C211" s="4"/>
      <c r="E211" s="4"/>
      <c r="G211" s="3"/>
      <c r="H211" s="3"/>
      <c r="I211" s="3"/>
      <c r="AS211" s="4"/>
      <c r="AT211" s="4"/>
    </row>
    <row r="212" spans="1:46" ht="16.5" customHeight="1">
      <c r="A212" s="4"/>
      <c r="C212" s="4"/>
      <c r="E212" s="4"/>
      <c r="G212" s="3"/>
      <c r="H212" s="3"/>
      <c r="I212" s="3"/>
      <c r="AS212" s="4"/>
      <c r="AT212" s="4"/>
    </row>
    <row r="213" spans="1:46" ht="16.5" customHeight="1">
      <c r="A213" s="4"/>
      <c r="C213" s="4"/>
      <c r="E213" s="4"/>
      <c r="G213" s="3"/>
      <c r="H213" s="3"/>
      <c r="I213" s="3"/>
      <c r="AS213" s="4"/>
      <c r="AT213" s="4"/>
    </row>
    <row r="214" spans="1:46" ht="16.5" customHeight="1">
      <c r="A214" s="4"/>
      <c r="C214" s="4"/>
      <c r="E214" s="4"/>
      <c r="G214" s="3"/>
      <c r="H214" s="3"/>
      <c r="I214" s="3"/>
      <c r="AS214" s="4"/>
      <c r="AT214" s="4"/>
    </row>
    <row r="215" spans="1:46" ht="16.5" customHeight="1">
      <c r="A215" s="4"/>
      <c r="C215" s="4"/>
      <c r="E215" s="4"/>
      <c r="G215" s="3"/>
      <c r="H215" s="3"/>
      <c r="I215" s="3"/>
      <c r="AS215" s="4"/>
      <c r="AT215" s="4"/>
    </row>
    <row r="216" spans="1:46" ht="16.5" customHeight="1">
      <c r="A216" s="4"/>
      <c r="C216" s="4"/>
      <c r="E216" s="4"/>
      <c r="G216" s="3"/>
      <c r="H216" s="3"/>
      <c r="I216" s="3"/>
      <c r="AS216" s="4"/>
      <c r="AT216" s="4"/>
    </row>
    <row r="217" spans="1:46" ht="16.5" customHeight="1">
      <c r="A217" s="4"/>
      <c r="C217" s="4"/>
      <c r="E217" s="4"/>
      <c r="G217" s="3"/>
      <c r="H217" s="3"/>
      <c r="I217" s="3"/>
      <c r="AS217" s="4"/>
      <c r="AT217" s="4"/>
    </row>
    <row r="218" spans="1:46" ht="16.5" customHeight="1">
      <c r="A218" s="4"/>
      <c r="C218" s="4"/>
      <c r="E218" s="4"/>
      <c r="G218" s="3"/>
      <c r="H218" s="3"/>
      <c r="I218" s="3"/>
      <c r="AS218" s="4"/>
      <c r="AT218" s="4"/>
    </row>
    <row r="219" spans="1:46" ht="16.5" customHeight="1">
      <c r="A219" s="4"/>
      <c r="C219" s="4"/>
      <c r="E219" s="4"/>
      <c r="G219" s="3"/>
      <c r="H219" s="3"/>
      <c r="I219" s="3"/>
      <c r="AS219" s="4"/>
      <c r="AT219" s="4"/>
    </row>
    <row r="220" spans="1:46" ht="16.5" customHeight="1">
      <c r="A220" s="4"/>
      <c r="C220" s="4"/>
      <c r="E220" s="4"/>
      <c r="G220" s="3"/>
      <c r="H220" s="3"/>
      <c r="I220" s="3"/>
      <c r="AS220" s="4"/>
      <c r="AT220" s="4"/>
    </row>
    <row r="221" spans="1:46" ht="16.5" customHeight="1">
      <c r="A221" s="4"/>
      <c r="C221" s="4"/>
      <c r="E221" s="4"/>
      <c r="G221" s="3"/>
      <c r="H221" s="3"/>
      <c r="I221" s="3"/>
      <c r="AS221" s="4"/>
      <c r="AT221" s="4"/>
    </row>
    <row r="222" spans="1:46" ht="16.5" customHeight="1">
      <c r="A222" s="4"/>
      <c r="C222" s="4"/>
      <c r="E222" s="4"/>
      <c r="G222" s="3"/>
      <c r="H222" s="3"/>
      <c r="I222" s="3"/>
      <c r="AS222" s="4"/>
      <c r="AT222" s="4"/>
    </row>
    <row r="223" spans="1:46" ht="16.5" customHeight="1">
      <c r="A223" s="4"/>
      <c r="C223" s="4"/>
      <c r="E223" s="4"/>
      <c r="G223" s="3"/>
      <c r="H223" s="3"/>
      <c r="I223" s="3"/>
      <c r="AS223" s="4"/>
      <c r="AT223" s="4"/>
    </row>
    <row r="224" spans="1:46" ht="16.5" customHeight="1">
      <c r="A224" s="4"/>
      <c r="C224" s="4"/>
      <c r="E224" s="4"/>
      <c r="G224" s="3"/>
      <c r="H224" s="3"/>
      <c r="I224" s="3"/>
      <c r="AS224" s="4"/>
      <c r="AT224" s="4"/>
    </row>
    <row r="225" spans="1:46" ht="16.5" customHeight="1">
      <c r="A225" s="4"/>
      <c r="C225" s="4"/>
      <c r="E225" s="4"/>
      <c r="G225" s="3"/>
      <c r="H225" s="3"/>
      <c r="I225" s="3"/>
      <c r="AS225" s="4"/>
      <c r="AT225" s="4"/>
    </row>
    <row r="226" spans="1:46" ht="16.5" customHeight="1">
      <c r="A226" s="4"/>
      <c r="C226" s="4"/>
      <c r="E226" s="4"/>
      <c r="G226" s="3"/>
      <c r="H226" s="3"/>
      <c r="I226" s="3"/>
      <c r="AS226" s="4"/>
      <c r="AT226" s="4"/>
    </row>
    <row r="227" spans="1:46" ht="16.5" customHeight="1">
      <c r="A227" s="4"/>
      <c r="C227" s="4"/>
      <c r="E227" s="4"/>
      <c r="G227" s="3"/>
      <c r="H227" s="3"/>
      <c r="I227" s="3"/>
      <c r="AS227" s="4"/>
      <c r="AT227" s="4"/>
    </row>
    <row r="228" spans="1:46" ht="16.5" customHeight="1">
      <c r="A228" s="4"/>
      <c r="C228" s="4"/>
      <c r="E228" s="4"/>
      <c r="G228" s="3"/>
      <c r="H228" s="3"/>
      <c r="I228" s="3"/>
      <c r="AS228" s="4"/>
      <c r="AT228" s="4"/>
    </row>
    <row r="229" spans="1:46" ht="16.5" customHeight="1">
      <c r="A229" s="4"/>
      <c r="C229" s="4"/>
      <c r="E229" s="4"/>
      <c r="G229" s="3"/>
      <c r="H229" s="3"/>
      <c r="I229" s="3"/>
      <c r="AS229" s="4"/>
      <c r="AT229" s="4"/>
    </row>
    <row r="230" spans="1:46" ht="16.5" customHeight="1">
      <c r="A230" s="4"/>
      <c r="C230" s="4"/>
      <c r="E230" s="4"/>
      <c r="G230" s="3"/>
      <c r="H230" s="3"/>
      <c r="I230" s="3"/>
      <c r="AS230" s="4"/>
      <c r="AT230" s="4"/>
    </row>
    <row r="231" spans="1:46" ht="16.5" customHeight="1">
      <c r="A231" s="4"/>
      <c r="C231" s="4"/>
      <c r="E231" s="4"/>
      <c r="G231" s="3"/>
      <c r="H231" s="3"/>
      <c r="I231" s="3"/>
      <c r="AS231" s="4"/>
      <c r="AT231" s="4"/>
    </row>
    <row r="232" spans="1:46" ht="16.5" customHeight="1">
      <c r="A232" s="4"/>
      <c r="C232" s="4"/>
      <c r="E232" s="4"/>
      <c r="G232" s="3"/>
      <c r="H232" s="3"/>
      <c r="I232" s="3"/>
      <c r="AS232" s="4"/>
      <c r="AT232" s="4"/>
    </row>
    <row r="233" spans="1:46" ht="16.5" customHeight="1">
      <c r="A233" s="4"/>
      <c r="C233" s="4"/>
      <c r="E233" s="4"/>
      <c r="G233" s="3"/>
      <c r="H233" s="3"/>
      <c r="I233" s="3"/>
      <c r="AS233" s="4"/>
      <c r="AT233" s="4"/>
    </row>
    <row r="234" spans="1:46" ht="16.5" customHeight="1">
      <c r="A234" s="4"/>
      <c r="C234" s="4"/>
      <c r="E234" s="4"/>
      <c r="G234" s="3"/>
      <c r="H234" s="3"/>
      <c r="I234" s="3"/>
      <c r="AS234" s="4"/>
      <c r="AT234" s="4"/>
    </row>
    <row r="235" spans="1:46" ht="16.5" customHeight="1">
      <c r="A235" s="4"/>
      <c r="C235" s="4"/>
      <c r="E235" s="4"/>
      <c r="G235" s="3"/>
      <c r="H235" s="3"/>
      <c r="I235" s="3"/>
      <c r="AS235" s="4"/>
      <c r="AT235" s="4"/>
    </row>
    <row r="236" spans="1:46" ht="16.5" customHeight="1">
      <c r="A236" s="4"/>
      <c r="C236" s="4"/>
      <c r="E236" s="4"/>
      <c r="G236" s="3"/>
      <c r="H236" s="3"/>
      <c r="I236" s="3"/>
      <c r="AS236" s="4"/>
      <c r="AT236" s="4"/>
    </row>
    <row r="237" spans="1:46" ht="16.5" customHeight="1">
      <c r="A237" s="4"/>
      <c r="C237" s="4"/>
      <c r="E237" s="4"/>
      <c r="G237" s="3"/>
      <c r="H237" s="3"/>
      <c r="I237" s="3"/>
      <c r="AS237" s="4"/>
      <c r="AT237" s="4"/>
    </row>
    <row r="238" spans="1:46" ht="16.5" customHeight="1">
      <c r="A238" s="4"/>
      <c r="C238" s="4"/>
      <c r="E238" s="4"/>
      <c r="G238" s="3"/>
      <c r="H238" s="3"/>
      <c r="I238" s="3"/>
      <c r="AS238" s="4"/>
      <c r="AT238" s="4"/>
    </row>
    <row r="239" spans="1:46" ht="16.5" customHeight="1">
      <c r="A239" s="4"/>
      <c r="C239" s="4"/>
      <c r="E239" s="4"/>
      <c r="G239" s="3"/>
      <c r="H239" s="3"/>
      <c r="I239" s="3"/>
      <c r="AS239" s="4"/>
      <c r="AT239" s="4"/>
    </row>
    <row r="240" spans="1:46" ht="16.5" customHeight="1">
      <c r="A240" s="4"/>
      <c r="C240" s="4"/>
      <c r="E240" s="4"/>
      <c r="G240" s="3"/>
      <c r="H240" s="3"/>
      <c r="I240" s="3"/>
      <c r="AS240" s="4"/>
      <c r="AT240" s="4"/>
    </row>
    <row r="241" spans="1:46" ht="16.5" customHeight="1">
      <c r="A241" s="4"/>
      <c r="C241" s="4"/>
      <c r="E241" s="4"/>
      <c r="G241" s="3"/>
      <c r="H241" s="3"/>
      <c r="I241" s="3"/>
      <c r="AS241" s="4"/>
      <c r="AT241" s="4"/>
    </row>
    <row r="242" spans="1:46" ht="16.5" customHeight="1">
      <c r="A242" s="4"/>
      <c r="C242" s="4"/>
      <c r="E242" s="4"/>
      <c r="G242" s="3"/>
      <c r="H242" s="3"/>
      <c r="I242" s="3"/>
      <c r="AS242" s="4"/>
      <c r="AT242" s="4"/>
    </row>
    <row r="243" spans="1:46" ht="16.5" customHeight="1">
      <c r="A243" s="4"/>
      <c r="C243" s="4"/>
      <c r="E243" s="4"/>
      <c r="G243" s="3"/>
      <c r="H243" s="3"/>
      <c r="I243" s="3"/>
      <c r="AS243" s="4"/>
      <c r="AT243" s="4"/>
    </row>
    <row r="244" spans="1:46" ht="16.5" customHeight="1">
      <c r="A244" s="4"/>
      <c r="C244" s="4"/>
      <c r="E244" s="4"/>
      <c r="G244" s="3"/>
      <c r="H244" s="3"/>
      <c r="I244" s="3"/>
      <c r="AS244" s="4"/>
      <c r="AT244" s="4"/>
    </row>
    <row r="245" spans="1:46" ht="16.5" customHeight="1">
      <c r="A245" s="4"/>
      <c r="C245" s="4"/>
      <c r="E245" s="4"/>
      <c r="G245" s="3"/>
      <c r="H245" s="3"/>
      <c r="I245" s="3"/>
      <c r="AS245" s="4"/>
      <c r="AT245" s="4"/>
    </row>
    <row r="246" spans="1:46" ht="16.5" customHeight="1">
      <c r="A246" s="4"/>
      <c r="C246" s="4"/>
      <c r="E246" s="4"/>
      <c r="G246" s="3"/>
      <c r="H246" s="3"/>
      <c r="I246" s="3"/>
      <c r="AS246" s="4"/>
      <c r="AT246" s="4"/>
    </row>
    <row r="247" spans="1:46" ht="16.5" customHeight="1">
      <c r="A247" s="4"/>
      <c r="C247" s="4"/>
      <c r="E247" s="4"/>
      <c r="G247" s="3"/>
      <c r="H247" s="3"/>
      <c r="I247" s="3"/>
      <c r="AS247" s="4"/>
      <c r="AT247" s="4"/>
    </row>
    <row r="248" spans="1:46" ht="16.5" customHeight="1">
      <c r="A248" s="4"/>
      <c r="C248" s="4"/>
      <c r="E248" s="4"/>
      <c r="G248" s="3"/>
      <c r="H248" s="3"/>
      <c r="I248" s="3"/>
      <c r="AS248" s="4"/>
      <c r="AT248" s="4"/>
    </row>
    <row r="249" spans="1:46" ht="16.5" customHeight="1">
      <c r="A249" s="4"/>
      <c r="C249" s="4"/>
      <c r="E249" s="4"/>
      <c r="G249" s="3"/>
      <c r="H249" s="3"/>
      <c r="I249" s="3"/>
      <c r="AS249" s="4"/>
      <c r="AT249" s="4"/>
    </row>
    <row r="250" spans="1:46" ht="16.5" customHeight="1">
      <c r="A250" s="4"/>
      <c r="C250" s="4"/>
      <c r="E250" s="4"/>
      <c r="G250" s="3"/>
      <c r="H250" s="3"/>
      <c r="I250" s="3"/>
      <c r="AS250" s="4"/>
      <c r="AT250" s="4"/>
    </row>
    <row r="251" spans="1:46" ht="16.5" customHeight="1">
      <c r="A251" s="4"/>
      <c r="C251" s="4"/>
      <c r="E251" s="4"/>
      <c r="G251" s="3"/>
      <c r="H251" s="3"/>
      <c r="I251" s="3"/>
      <c r="AS251" s="4"/>
      <c r="AT251" s="4"/>
    </row>
    <row r="252" spans="1:46" ht="16.5" customHeight="1">
      <c r="A252" s="4"/>
      <c r="C252" s="4"/>
      <c r="E252" s="4"/>
      <c r="G252" s="3"/>
      <c r="H252" s="3"/>
      <c r="I252" s="3"/>
      <c r="AS252" s="4"/>
      <c r="AT252" s="4"/>
    </row>
    <row r="253" spans="1:46" ht="16.5" customHeight="1">
      <c r="A253" s="4"/>
      <c r="C253" s="4"/>
      <c r="E253" s="4"/>
      <c r="G253" s="3"/>
      <c r="H253" s="3"/>
      <c r="I253" s="3"/>
      <c r="AS253" s="4"/>
      <c r="AT253" s="4"/>
    </row>
    <row r="254" spans="1:46" ht="16.5" customHeight="1">
      <c r="A254" s="4"/>
      <c r="C254" s="4"/>
      <c r="E254" s="4"/>
      <c r="G254" s="3"/>
      <c r="H254" s="3"/>
      <c r="I254" s="3"/>
      <c r="AS254" s="4"/>
      <c r="AT254" s="4"/>
    </row>
    <row r="255" spans="1:46" ht="16.5" customHeight="1">
      <c r="A255" s="4"/>
      <c r="C255" s="4"/>
      <c r="E255" s="4"/>
      <c r="G255" s="3"/>
      <c r="H255" s="3"/>
      <c r="I255" s="3"/>
      <c r="AS255" s="4"/>
      <c r="AT255" s="4"/>
    </row>
    <row r="256" spans="1:46" ht="16.5" customHeight="1">
      <c r="A256" s="4"/>
      <c r="C256" s="4"/>
      <c r="E256" s="4"/>
      <c r="G256" s="3"/>
      <c r="H256" s="3"/>
      <c r="I256" s="3"/>
      <c r="AS256" s="4"/>
      <c r="AT256" s="4"/>
    </row>
    <row r="257" spans="1:46" ht="16.5" customHeight="1">
      <c r="A257" s="4"/>
      <c r="C257" s="4"/>
      <c r="E257" s="4"/>
      <c r="G257" s="3"/>
      <c r="H257" s="3"/>
      <c r="I257" s="3"/>
      <c r="AS257" s="4"/>
      <c r="AT257" s="4"/>
    </row>
    <row r="258" spans="1:46" ht="16.5" customHeight="1">
      <c r="A258" s="4"/>
      <c r="C258" s="4"/>
      <c r="E258" s="4"/>
      <c r="G258" s="3"/>
      <c r="H258" s="3"/>
      <c r="I258" s="3"/>
      <c r="AS258" s="4"/>
      <c r="AT258" s="4"/>
    </row>
    <row r="259" spans="1:46" ht="16.5" customHeight="1">
      <c r="A259" s="4"/>
      <c r="C259" s="4"/>
      <c r="E259" s="4"/>
      <c r="G259" s="3"/>
      <c r="H259" s="3"/>
      <c r="I259" s="3"/>
      <c r="AS259" s="4"/>
      <c r="AT259" s="4"/>
    </row>
    <row r="260" spans="1:46" ht="16.5" customHeight="1">
      <c r="A260" s="4"/>
      <c r="C260" s="4"/>
      <c r="E260" s="4"/>
      <c r="G260" s="3"/>
      <c r="H260" s="3"/>
      <c r="I260" s="3"/>
      <c r="AS260" s="4"/>
      <c r="AT260" s="4"/>
    </row>
    <row r="261" spans="1:46" ht="16.5" customHeight="1">
      <c r="A261" s="4"/>
      <c r="C261" s="4"/>
      <c r="E261" s="4"/>
      <c r="G261" s="3"/>
      <c r="H261" s="3"/>
      <c r="I261" s="3"/>
      <c r="AS261" s="4"/>
      <c r="AT261" s="4"/>
    </row>
    <row r="262" spans="1:46" ht="16.5" customHeight="1">
      <c r="A262" s="4"/>
      <c r="C262" s="4"/>
      <c r="E262" s="4"/>
      <c r="G262" s="3"/>
      <c r="H262" s="3"/>
      <c r="I262" s="3"/>
      <c r="AS262" s="4"/>
      <c r="AT262" s="4"/>
    </row>
    <row r="263" spans="1:46" ht="16.5" customHeight="1">
      <c r="A263" s="4"/>
      <c r="C263" s="4"/>
      <c r="E263" s="4"/>
      <c r="G263" s="3"/>
      <c r="H263" s="3"/>
      <c r="I263" s="3"/>
      <c r="AS263" s="4"/>
      <c r="AT263" s="4"/>
    </row>
    <row r="264" spans="1:46" ht="16.5" customHeight="1">
      <c r="A264" s="4"/>
      <c r="C264" s="4"/>
      <c r="E264" s="4"/>
      <c r="G264" s="3"/>
      <c r="H264" s="3"/>
      <c r="I264" s="3"/>
      <c r="AS264" s="4"/>
      <c r="AT264" s="4"/>
    </row>
    <row r="265" spans="1:46" ht="16.5" customHeight="1">
      <c r="A265" s="4"/>
      <c r="C265" s="4"/>
      <c r="E265" s="4"/>
      <c r="G265" s="3"/>
      <c r="H265" s="3"/>
      <c r="I265" s="3"/>
      <c r="AS265" s="4"/>
      <c r="AT265" s="4"/>
    </row>
    <row r="266" spans="1:46" ht="16.5" customHeight="1">
      <c r="A266" s="4"/>
      <c r="C266" s="4"/>
      <c r="E266" s="4"/>
      <c r="G266" s="3"/>
      <c r="H266" s="3"/>
      <c r="I266" s="3"/>
      <c r="AS266" s="4"/>
      <c r="AT266" s="4"/>
    </row>
    <row r="267" spans="1:46" ht="16.5" customHeight="1">
      <c r="A267" s="4"/>
      <c r="C267" s="4"/>
      <c r="E267" s="4"/>
      <c r="G267" s="3"/>
      <c r="H267" s="3"/>
      <c r="I267" s="3"/>
      <c r="AS267" s="4"/>
      <c r="AT267" s="4"/>
    </row>
    <row r="268" spans="1:46" ht="16.5" customHeight="1">
      <c r="A268" s="4"/>
      <c r="C268" s="4"/>
      <c r="E268" s="4"/>
      <c r="G268" s="3"/>
      <c r="H268" s="3"/>
      <c r="I268" s="3"/>
      <c r="AS268" s="4"/>
      <c r="AT268" s="4"/>
    </row>
    <row r="269" spans="1:46" ht="16.5" customHeight="1">
      <c r="A269" s="4"/>
      <c r="C269" s="4"/>
      <c r="E269" s="4"/>
      <c r="G269" s="3"/>
      <c r="H269" s="3"/>
      <c r="I269" s="3"/>
      <c r="AS269" s="4"/>
      <c r="AT269" s="4"/>
    </row>
    <row r="270" spans="1:46" ht="16.5" customHeight="1">
      <c r="A270" s="4"/>
      <c r="C270" s="4"/>
      <c r="E270" s="4"/>
      <c r="G270" s="3"/>
      <c r="H270" s="3"/>
      <c r="I270" s="3"/>
      <c r="AS270" s="4"/>
      <c r="AT270" s="4"/>
    </row>
    <row r="271" spans="1:46" ht="16.5" customHeight="1">
      <c r="A271" s="4"/>
      <c r="C271" s="4"/>
      <c r="E271" s="4"/>
      <c r="G271" s="3"/>
      <c r="H271" s="3"/>
      <c r="I271" s="3"/>
      <c r="AS271" s="4"/>
      <c r="AT271" s="4"/>
    </row>
    <row r="272" spans="1:46" ht="16.5" customHeight="1">
      <c r="A272" s="4"/>
      <c r="C272" s="4"/>
      <c r="E272" s="4"/>
      <c r="G272" s="3"/>
      <c r="H272" s="3"/>
      <c r="I272" s="3"/>
      <c r="AS272" s="4"/>
      <c r="AT272" s="4"/>
    </row>
    <row r="273" spans="1:46" ht="16.5" customHeight="1">
      <c r="A273" s="4"/>
      <c r="C273" s="4"/>
      <c r="E273" s="4"/>
      <c r="G273" s="3"/>
      <c r="H273" s="3"/>
      <c r="I273" s="3"/>
      <c r="AS273" s="4"/>
      <c r="AT273" s="4"/>
    </row>
    <row r="274" spans="1:46" ht="16.5" customHeight="1">
      <c r="A274" s="4"/>
      <c r="C274" s="4"/>
      <c r="E274" s="4"/>
      <c r="G274" s="3"/>
      <c r="H274" s="3"/>
      <c r="I274" s="3"/>
      <c r="AS274" s="4"/>
      <c r="AT274" s="4"/>
    </row>
    <row r="275" spans="1:46" ht="16.5" customHeight="1">
      <c r="A275" s="4"/>
      <c r="C275" s="4"/>
      <c r="E275" s="4"/>
      <c r="G275" s="3"/>
      <c r="H275" s="3"/>
      <c r="I275" s="3"/>
      <c r="AS275" s="4"/>
      <c r="AT275" s="4"/>
    </row>
    <row r="276" spans="1:46" ht="16.5" customHeight="1">
      <c r="A276" s="4"/>
      <c r="C276" s="4"/>
      <c r="E276" s="4"/>
      <c r="G276" s="3"/>
      <c r="H276" s="3"/>
      <c r="I276" s="3"/>
      <c r="AS276" s="4"/>
      <c r="AT276" s="4"/>
    </row>
    <row r="277" spans="1:46" ht="16.5" customHeight="1">
      <c r="A277" s="4"/>
      <c r="C277" s="4"/>
      <c r="E277" s="4"/>
      <c r="G277" s="3"/>
      <c r="H277" s="3"/>
      <c r="I277" s="3"/>
      <c r="AS277" s="4"/>
      <c r="AT277" s="4"/>
    </row>
    <row r="278" spans="1:46" ht="16.5" customHeight="1">
      <c r="A278" s="4"/>
      <c r="C278" s="4"/>
      <c r="E278" s="4"/>
      <c r="G278" s="3"/>
      <c r="H278" s="3"/>
      <c r="I278" s="3"/>
      <c r="AS278" s="4"/>
      <c r="AT278" s="4"/>
    </row>
    <row r="279" spans="1:46" ht="16.5" customHeight="1">
      <c r="A279" s="4"/>
      <c r="C279" s="4"/>
      <c r="E279" s="4"/>
      <c r="G279" s="3"/>
      <c r="H279" s="3"/>
      <c r="I279" s="3"/>
      <c r="AS279" s="4"/>
      <c r="AT279" s="4"/>
    </row>
    <row r="280" spans="1:46" ht="16.5" customHeight="1">
      <c r="A280" s="4"/>
      <c r="C280" s="4"/>
      <c r="E280" s="4"/>
      <c r="G280" s="3"/>
      <c r="H280" s="3"/>
      <c r="I280" s="3"/>
      <c r="AS280" s="4"/>
      <c r="AT280" s="4"/>
    </row>
    <row r="281" spans="1:46" ht="16.5" customHeight="1">
      <c r="A281" s="4"/>
      <c r="C281" s="4"/>
      <c r="E281" s="4"/>
      <c r="G281" s="3"/>
      <c r="H281" s="3"/>
      <c r="I281" s="3"/>
      <c r="AS281" s="4"/>
      <c r="AT281" s="4"/>
    </row>
    <row r="282" spans="1:46" ht="16.5" customHeight="1">
      <c r="A282" s="4"/>
      <c r="C282" s="4"/>
      <c r="E282" s="4"/>
      <c r="G282" s="3"/>
      <c r="H282" s="3"/>
      <c r="I282" s="3"/>
      <c r="AS282" s="4"/>
      <c r="AT282" s="4"/>
    </row>
    <row r="283" spans="1:46" ht="16.5" customHeight="1">
      <c r="A283" s="4"/>
      <c r="C283" s="4"/>
      <c r="E283" s="4"/>
      <c r="G283" s="3"/>
      <c r="H283" s="3"/>
      <c r="I283" s="3"/>
      <c r="AS283" s="4"/>
      <c r="AT283" s="4"/>
    </row>
    <row r="284" spans="1:46" ht="16.5" customHeight="1">
      <c r="A284" s="4"/>
      <c r="C284" s="4"/>
      <c r="E284" s="4"/>
      <c r="G284" s="3"/>
      <c r="H284" s="3"/>
      <c r="I284" s="3"/>
      <c r="AS284" s="4"/>
      <c r="AT284" s="4"/>
    </row>
    <row r="285" spans="1:46" ht="16.5" customHeight="1">
      <c r="A285" s="4"/>
      <c r="C285" s="4"/>
      <c r="E285" s="4"/>
      <c r="G285" s="3"/>
      <c r="H285" s="3"/>
      <c r="I285" s="3"/>
      <c r="AS285" s="4"/>
      <c r="AT285" s="4"/>
    </row>
    <row r="286" spans="1:46" ht="16.5" customHeight="1">
      <c r="A286" s="4"/>
      <c r="C286" s="4"/>
      <c r="E286" s="4"/>
      <c r="G286" s="3"/>
      <c r="H286" s="3"/>
      <c r="I286" s="3"/>
      <c r="AS286" s="4"/>
      <c r="AT286" s="4"/>
    </row>
    <row r="287" spans="1:46" ht="16.5" customHeight="1">
      <c r="A287" s="4"/>
      <c r="C287" s="4"/>
      <c r="E287" s="4"/>
      <c r="G287" s="3"/>
      <c r="H287" s="3"/>
      <c r="I287" s="3"/>
      <c r="AS287" s="4"/>
      <c r="AT287" s="4"/>
    </row>
    <row r="288" spans="1:46" ht="16.5" customHeight="1">
      <c r="A288" s="4"/>
      <c r="C288" s="4"/>
      <c r="E288" s="4"/>
      <c r="G288" s="3"/>
      <c r="H288" s="3"/>
      <c r="I288" s="3"/>
      <c r="AS288" s="4"/>
      <c r="AT288" s="4"/>
    </row>
    <row r="289" spans="1:46" ht="16.5" customHeight="1">
      <c r="A289" s="4"/>
      <c r="C289" s="4"/>
      <c r="E289" s="4"/>
      <c r="G289" s="3"/>
      <c r="H289" s="3"/>
      <c r="I289" s="3"/>
      <c r="AS289" s="4"/>
      <c r="AT289" s="4"/>
    </row>
    <row r="290" spans="1:46" ht="16.5" customHeight="1">
      <c r="A290" s="4"/>
      <c r="C290" s="4"/>
      <c r="E290" s="4"/>
      <c r="G290" s="3"/>
      <c r="H290" s="3"/>
      <c r="I290" s="3"/>
      <c r="AS290" s="4"/>
      <c r="AT290" s="4"/>
    </row>
    <row r="291" spans="1:46" ht="16.5" customHeight="1">
      <c r="A291" s="4"/>
      <c r="C291" s="4"/>
      <c r="E291" s="4"/>
      <c r="G291" s="3"/>
      <c r="H291" s="3"/>
      <c r="I291" s="3"/>
      <c r="AS291" s="4"/>
      <c r="AT291" s="4"/>
    </row>
    <row r="292" spans="1:46" ht="16.5" customHeight="1">
      <c r="A292" s="4"/>
      <c r="C292" s="4"/>
      <c r="E292" s="4"/>
      <c r="G292" s="3"/>
      <c r="H292" s="3"/>
      <c r="I292" s="3"/>
      <c r="AS292" s="4"/>
      <c r="AT292" s="4"/>
    </row>
    <row r="293" spans="1:46" ht="16.5" customHeight="1">
      <c r="A293" s="4"/>
      <c r="C293" s="4"/>
      <c r="E293" s="4"/>
      <c r="G293" s="3"/>
      <c r="H293" s="3"/>
      <c r="I293" s="3"/>
      <c r="AS293" s="4"/>
      <c r="AT293" s="4"/>
    </row>
    <row r="294" spans="1:46" ht="16.5" customHeight="1">
      <c r="A294" s="4"/>
      <c r="C294" s="4"/>
      <c r="E294" s="4"/>
      <c r="G294" s="3"/>
      <c r="H294" s="3"/>
      <c r="I294" s="3"/>
      <c r="AS294" s="4"/>
      <c r="AT294" s="4"/>
    </row>
    <row r="295" spans="1:46" ht="16.5" customHeight="1">
      <c r="A295" s="4"/>
      <c r="C295" s="4"/>
      <c r="E295" s="4"/>
      <c r="G295" s="3"/>
      <c r="H295" s="3"/>
      <c r="I295" s="3"/>
      <c r="AS295" s="4"/>
      <c r="AT295" s="4"/>
    </row>
    <row r="296" spans="1:46" ht="16.5" customHeight="1">
      <c r="A296" s="4"/>
      <c r="C296" s="4"/>
      <c r="E296" s="4"/>
      <c r="G296" s="3"/>
      <c r="H296" s="3"/>
      <c r="I296" s="3"/>
      <c r="AS296" s="4"/>
      <c r="AT296" s="4"/>
    </row>
    <row r="297" spans="1:46" ht="16.5" customHeight="1">
      <c r="A297" s="4"/>
      <c r="C297" s="4"/>
      <c r="E297" s="4"/>
      <c r="G297" s="3"/>
      <c r="H297" s="3"/>
      <c r="I297" s="3"/>
      <c r="AS297" s="4"/>
      <c r="AT297" s="4"/>
    </row>
    <row r="298" spans="1:46" ht="16.5" customHeight="1">
      <c r="A298" s="4"/>
      <c r="C298" s="4"/>
      <c r="E298" s="4"/>
      <c r="G298" s="3"/>
      <c r="H298" s="3"/>
      <c r="I298" s="3"/>
      <c r="AS298" s="4"/>
      <c r="AT298" s="4"/>
    </row>
    <row r="299" spans="1:46" ht="16.5" customHeight="1">
      <c r="A299" s="4"/>
      <c r="C299" s="4"/>
      <c r="E299" s="4"/>
      <c r="G299" s="3"/>
      <c r="H299" s="3"/>
      <c r="I299" s="3"/>
      <c r="AS299" s="4"/>
      <c r="AT299" s="4"/>
    </row>
    <row r="300" spans="1:46" ht="16.5" customHeight="1">
      <c r="A300" s="4"/>
      <c r="C300" s="4"/>
      <c r="E300" s="4"/>
      <c r="G300" s="3"/>
      <c r="H300" s="3"/>
      <c r="I300" s="3"/>
      <c r="AS300" s="4"/>
      <c r="AT300" s="4"/>
    </row>
    <row r="301" spans="1:46" ht="16.5" customHeight="1">
      <c r="A301" s="4"/>
      <c r="C301" s="4"/>
      <c r="E301" s="4"/>
      <c r="G301" s="3"/>
      <c r="H301" s="3"/>
      <c r="I301" s="3"/>
      <c r="AS301" s="4"/>
      <c r="AT301" s="4"/>
    </row>
    <row r="302" spans="1:46" ht="16.5" customHeight="1">
      <c r="A302" s="4"/>
      <c r="C302" s="4"/>
      <c r="E302" s="4"/>
      <c r="G302" s="3"/>
      <c r="H302" s="3"/>
      <c r="I302" s="3"/>
      <c r="AS302" s="4"/>
      <c r="AT302" s="4"/>
    </row>
    <row r="303" spans="1:46" ht="16.5" customHeight="1">
      <c r="A303" s="4"/>
      <c r="C303" s="4"/>
      <c r="E303" s="4"/>
      <c r="G303" s="3"/>
      <c r="H303" s="3"/>
      <c r="I303" s="3"/>
      <c r="AS303" s="4"/>
      <c r="AT303" s="4"/>
    </row>
    <row r="304" spans="1:46" ht="16.5" customHeight="1">
      <c r="A304" s="4"/>
      <c r="C304" s="4"/>
      <c r="E304" s="4"/>
      <c r="G304" s="3"/>
      <c r="H304" s="3"/>
      <c r="I304" s="3"/>
      <c r="AS304" s="4"/>
      <c r="AT304" s="4"/>
    </row>
    <row r="305" spans="1:46" ht="16.5" customHeight="1">
      <c r="A305" s="4"/>
      <c r="C305" s="4"/>
      <c r="E305" s="4"/>
      <c r="G305" s="3"/>
      <c r="H305" s="3"/>
      <c r="I305" s="3"/>
      <c r="AS305" s="4"/>
      <c r="AT305" s="4"/>
    </row>
    <row r="306" spans="1:46" ht="16.5" customHeight="1">
      <c r="A306" s="4"/>
      <c r="C306" s="4"/>
      <c r="E306" s="4"/>
      <c r="G306" s="3"/>
      <c r="H306" s="3"/>
      <c r="I306" s="3"/>
      <c r="AS306" s="4"/>
      <c r="AT306" s="4"/>
    </row>
    <row r="307" spans="1:46" ht="16.5" customHeight="1">
      <c r="A307" s="4"/>
      <c r="C307" s="4"/>
      <c r="E307" s="4"/>
      <c r="G307" s="3"/>
      <c r="H307" s="3"/>
      <c r="I307" s="3"/>
      <c r="AS307" s="4"/>
      <c r="AT307" s="4"/>
    </row>
    <row r="308" spans="1:46" ht="16.5" customHeight="1">
      <c r="A308" s="4"/>
      <c r="C308" s="4"/>
      <c r="E308" s="4"/>
      <c r="G308" s="3"/>
      <c r="H308" s="3"/>
      <c r="I308" s="3"/>
      <c r="AS308" s="4"/>
      <c r="AT308" s="4"/>
    </row>
    <row r="309" spans="1:46" ht="16.5" customHeight="1">
      <c r="A309" s="4"/>
      <c r="C309" s="4"/>
      <c r="E309" s="4"/>
      <c r="G309" s="3"/>
      <c r="H309" s="3"/>
      <c r="I309" s="3"/>
      <c r="AS309" s="4"/>
      <c r="AT309" s="4"/>
    </row>
    <row r="310" spans="1:46" ht="16.5" customHeight="1">
      <c r="A310" s="4"/>
      <c r="C310" s="4"/>
      <c r="E310" s="4"/>
      <c r="G310" s="3"/>
      <c r="H310" s="3"/>
      <c r="I310" s="3"/>
      <c r="AS310" s="4"/>
      <c r="AT310" s="4"/>
    </row>
    <row r="311" spans="1:46" ht="16.5" customHeight="1">
      <c r="A311" s="4"/>
      <c r="C311" s="4"/>
      <c r="E311" s="4"/>
      <c r="G311" s="3"/>
      <c r="H311" s="3"/>
      <c r="I311" s="3"/>
      <c r="AS311" s="4"/>
      <c r="AT311" s="4"/>
    </row>
    <row r="312" spans="1:46" ht="16.5" customHeight="1">
      <c r="A312" s="4"/>
      <c r="C312" s="4"/>
      <c r="E312" s="4"/>
      <c r="G312" s="3"/>
      <c r="H312" s="3"/>
      <c r="I312" s="3"/>
      <c r="AS312" s="4"/>
      <c r="AT312" s="4"/>
    </row>
    <row r="313" spans="1:46" ht="16.5" customHeight="1">
      <c r="A313" s="4"/>
      <c r="C313" s="4"/>
      <c r="E313" s="4"/>
      <c r="G313" s="3"/>
      <c r="H313" s="3"/>
      <c r="I313" s="3"/>
      <c r="AS313" s="4"/>
      <c r="AT313" s="4"/>
    </row>
    <row r="314" spans="1:46" ht="16.5" customHeight="1">
      <c r="A314" s="4"/>
      <c r="C314" s="4"/>
      <c r="E314" s="4"/>
      <c r="G314" s="3"/>
      <c r="H314" s="3"/>
      <c r="I314" s="3"/>
      <c r="AS314" s="4"/>
      <c r="AT314" s="4"/>
    </row>
    <row r="315" spans="1:46" ht="16.5" customHeight="1">
      <c r="A315" s="4"/>
      <c r="C315" s="4"/>
      <c r="E315" s="4"/>
      <c r="G315" s="3"/>
      <c r="H315" s="3"/>
      <c r="I315" s="3"/>
      <c r="AS315" s="4"/>
      <c r="AT315" s="4"/>
    </row>
    <row r="316" spans="1:46" ht="16.5" customHeight="1">
      <c r="A316" s="4"/>
      <c r="C316" s="4"/>
      <c r="E316" s="4"/>
      <c r="G316" s="3"/>
      <c r="H316" s="3"/>
      <c r="I316" s="3"/>
      <c r="AS316" s="4"/>
      <c r="AT316" s="4"/>
    </row>
    <row r="317" spans="1:46" ht="16.5" customHeight="1">
      <c r="A317" s="4"/>
      <c r="C317" s="4"/>
      <c r="E317" s="4"/>
      <c r="G317" s="3"/>
      <c r="H317" s="3"/>
      <c r="I317" s="3"/>
      <c r="AS317" s="4"/>
      <c r="AT317" s="4"/>
    </row>
    <row r="318" spans="1:46" ht="16.5" customHeight="1">
      <c r="A318" s="4"/>
      <c r="C318" s="4"/>
      <c r="E318" s="4"/>
      <c r="G318" s="3"/>
      <c r="H318" s="3"/>
      <c r="I318" s="3"/>
      <c r="AS318" s="4"/>
      <c r="AT318" s="4"/>
    </row>
    <row r="319" spans="1:46" ht="16.5" customHeight="1">
      <c r="A319" s="4"/>
      <c r="C319" s="4"/>
      <c r="E319" s="4"/>
      <c r="G319" s="3"/>
      <c r="H319" s="3"/>
      <c r="I319" s="3"/>
      <c r="AS319" s="4"/>
      <c r="AT319" s="4"/>
    </row>
    <row r="320" spans="1:46" ht="16.5" customHeight="1">
      <c r="A320" s="4"/>
      <c r="C320" s="4"/>
      <c r="E320" s="4"/>
      <c r="G320" s="3"/>
      <c r="H320" s="3"/>
      <c r="I320" s="3"/>
      <c r="AS320" s="4"/>
      <c r="AT320" s="4"/>
    </row>
    <row r="321" spans="1:46" ht="16.5" customHeight="1">
      <c r="A321" s="4"/>
      <c r="C321" s="4"/>
      <c r="E321" s="4"/>
      <c r="G321" s="3"/>
      <c r="H321" s="3"/>
      <c r="I321" s="3"/>
      <c r="AS321" s="4"/>
      <c r="AT321" s="4"/>
    </row>
    <row r="322" spans="1:46" ht="16.5" customHeight="1">
      <c r="A322" s="4"/>
      <c r="C322" s="4"/>
      <c r="E322" s="4"/>
      <c r="G322" s="3"/>
      <c r="H322" s="3"/>
      <c r="I322" s="3"/>
      <c r="AS322" s="4"/>
      <c r="AT322" s="4"/>
    </row>
    <row r="323" spans="1:46" ht="16.5" customHeight="1">
      <c r="A323" s="4"/>
      <c r="C323" s="4"/>
      <c r="E323" s="4"/>
      <c r="G323" s="3"/>
      <c r="H323" s="3"/>
      <c r="I323" s="3"/>
      <c r="AS323" s="4"/>
      <c r="AT323" s="4"/>
    </row>
    <row r="324" spans="1:46" ht="16.5" customHeight="1">
      <c r="A324" s="4"/>
      <c r="C324" s="4"/>
      <c r="E324" s="4"/>
      <c r="G324" s="3"/>
      <c r="H324" s="3"/>
      <c r="I324" s="3"/>
      <c r="AS324" s="4"/>
      <c r="AT324" s="4"/>
    </row>
    <row r="325" spans="1:46" ht="16.5" customHeight="1">
      <c r="A325" s="4"/>
      <c r="C325" s="4"/>
      <c r="E325" s="4"/>
      <c r="G325" s="3"/>
      <c r="H325" s="3"/>
      <c r="I325" s="3"/>
      <c r="AS325" s="4"/>
      <c r="AT325" s="4"/>
    </row>
    <row r="326" spans="1:46" ht="16.5" customHeight="1">
      <c r="A326" s="4"/>
      <c r="C326" s="4"/>
      <c r="E326" s="4"/>
      <c r="G326" s="3"/>
      <c r="H326" s="3"/>
      <c r="I326" s="3"/>
      <c r="AS326" s="4"/>
      <c r="AT326" s="4"/>
    </row>
    <row r="327" spans="1:46" ht="16.5" customHeight="1">
      <c r="A327" s="4"/>
      <c r="C327" s="4"/>
      <c r="E327" s="4"/>
      <c r="G327" s="3"/>
      <c r="H327" s="3"/>
      <c r="I327" s="3"/>
      <c r="AS327" s="4"/>
      <c r="AT327" s="4"/>
    </row>
    <row r="328" spans="1:46" ht="16.5" customHeight="1">
      <c r="A328" s="4"/>
      <c r="C328" s="4"/>
      <c r="E328" s="4"/>
      <c r="G328" s="3"/>
      <c r="H328" s="3"/>
      <c r="I328" s="3"/>
      <c r="AS328" s="4"/>
      <c r="AT328" s="4"/>
    </row>
    <row r="329" spans="1:46" ht="16.5" customHeight="1">
      <c r="A329" s="4"/>
      <c r="C329" s="4"/>
      <c r="E329" s="4"/>
      <c r="G329" s="3"/>
      <c r="H329" s="3"/>
      <c r="I329" s="3"/>
      <c r="AS329" s="4"/>
      <c r="AT329" s="4"/>
    </row>
    <row r="330" spans="1:46" ht="16.5" customHeight="1">
      <c r="A330" s="4"/>
      <c r="C330" s="4"/>
      <c r="E330" s="4"/>
      <c r="G330" s="3"/>
      <c r="H330" s="3"/>
      <c r="I330" s="3"/>
      <c r="AS330" s="4"/>
      <c r="AT330" s="4"/>
    </row>
    <row r="331" spans="1:46" ht="16.5" customHeight="1">
      <c r="A331" s="4"/>
      <c r="C331" s="4"/>
      <c r="E331" s="4"/>
      <c r="G331" s="3"/>
      <c r="H331" s="3"/>
      <c r="I331" s="3"/>
      <c r="AS331" s="4"/>
      <c r="AT331" s="4"/>
    </row>
    <row r="332" spans="1:46" ht="16.5" customHeight="1">
      <c r="A332" s="4"/>
      <c r="C332" s="4"/>
      <c r="E332" s="4"/>
      <c r="G332" s="3"/>
      <c r="H332" s="3"/>
      <c r="I332" s="3"/>
      <c r="AS332" s="4"/>
      <c r="AT332" s="4"/>
    </row>
    <row r="333" spans="1:46" ht="16.5" customHeight="1">
      <c r="A333" s="4"/>
      <c r="C333" s="4"/>
      <c r="E333" s="4"/>
      <c r="G333" s="3"/>
      <c r="H333" s="3"/>
      <c r="I333" s="3"/>
      <c r="AS333" s="4"/>
      <c r="AT333" s="4"/>
    </row>
    <row r="334" spans="1:46" ht="16.5" customHeight="1">
      <c r="A334" s="4"/>
      <c r="C334" s="4"/>
      <c r="E334" s="4"/>
      <c r="G334" s="3"/>
      <c r="H334" s="3"/>
      <c r="I334" s="3"/>
      <c r="AS334" s="4"/>
      <c r="AT334" s="4"/>
    </row>
    <row r="335" spans="1:46" ht="16.5" customHeight="1">
      <c r="A335" s="4"/>
      <c r="C335" s="4"/>
      <c r="E335" s="4"/>
      <c r="G335" s="3"/>
      <c r="H335" s="3"/>
      <c r="I335" s="3"/>
      <c r="AS335" s="4"/>
      <c r="AT335" s="4"/>
    </row>
    <row r="336" spans="1:46" ht="16.5" customHeight="1">
      <c r="A336" s="4"/>
      <c r="C336" s="4"/>
      <c r="E336" s="4"/>
      <c r="G336" s="3"/>
      <c r="H336" s="3"/>
      <c r="I336" s="3"/>
      <c r="AS336" s="4"/>
      <c r="AT336" s="4"/>
    </row>
    <row r="337" spans="1:46" ht="16.5" customHeight="1">
      <c r="A337" s="4"/>
      <c r="C337" s="4"/>
      <c r="E337" s="4"/>
      <c r="G337" s="3"/>
      <c r="H337" s="3"/>
      <c r="I337" s="3"/>
      <c r="AS337" s="4"/>
      <c r="AT337" s="4"/>
    </row>
    <row r="338" spans="1:46" ht="16.5" customHeight="1">
      <c r="A338" s="4"/>
      <c r="C338" s="4"/>
      <c r="E338" s="4"/>
      <c r="G338" s="3"/>
      <c r="H338" s="3"/>
      <c r="I338" s="3"/>
      <c r="AS338" s="4"/>
      <c r="AT338" s="4"/>
    </row>
    <row r="339" spans="1:46" ht="16.5" customHeight="1">
      <c r="A339" s="4"/>
      <c r="C339" s="4"/>
      <c r="E339" s="4"/>
      <c r="G339" s="3"/>
      <c r="H339" s="3"/>
      <c r="I339" s="3"/>
      <c r="AS339" s="4"/>
      <c r="AT339" s="4"/>
    </row>
    <row r="340" spans="1:46" ht="16.5" customHeight="1">
      <c r="A340" s="4"/>
      <c r="C340" s="4"/>
      <c r="E340" s="4"/>
      <c r="G340" s="3"/>
      <c r="H340" s="3"/>
      <c r="I340" s="3"/>
      <c r="AS340" s="4"/>
      <c r="AT340" s="4"/>
    </row>
    <row r="341" spans="1:46" ht="16.5" customHeight="1">
      <c r="A341" s="4"/>
      <c r="C341" s="4"/>
      <c r="E341" s="4"/>
      <c r="G341" s="3"/>
      <c r="H341" s="3"/>
      <c r="I341" s="3"/>
      <c r="AS341" s="4"/>
      <c r="AT341" s="4"/>
    </row>
    <row r="342" spans="1:46" ht="16.5" customHeight="1">
      <c r="A342" s="4"/>
      <c r="C342" s="4"/>
      <c r="E342" s="4"/>
      <c r="G342" s="3"/>
      <c r="H342" s="3"/>
      <c r="I342" s="3"/>
      <c r="AS342" s="4"/>
      <c r="AT342" s="4"/>
    </row>
    <row r="343" spans="1:46" ht="16.5" customHeight="1">
      <c r="A343" s="4"/>
      <c r="C343" s="4"/>
      <c r="E343" s="4"/>
      <c r="G343" s="3"/>
      <c r="H343" s="3"/>
      <c r="I343" s="3"/>
      <c r="AS343" s="4"/>
      <c r="AT343" s="4"/>
    </row>
    <row r="344" spans="1:46" ht="16.5" customHeight="1">
      <c r="A344" s="4"/>
      <c r="C344" s="4"/>
      <c r="E344" s="4"/>
      <c r="G344" s="3"/>
      <c r="H344" s="3"/>
      <c r="I344" s="3"/>
      <c r="AS344" s="4"/>
      <c r="AT344" s="4"/>
    </row>
    <row r="345" spans="1:46" ht="16.5" customHeight="1">
      <c r="A345" s="4"/>
      <c r="C345" s="4"/>
      <c r="E345" s="4"/>
      <c r="G345" s="3"/>
      <c r="H345" s="3"/>
      <c r="I345" s="3"/>
      <c r="AS345" s="4"/>
      <c r="AT345" s="4"/>
    </row>
    <row r="346" spans="1:46" ht="16.5" customHeight="1">
      <c r="A346" s="4"/>
      <c r="C346" s="4"/>
      <c r="E346" s="4"/>
      <c r="G346" s="3"/>
      <c r="H346" s="3"/>
      <c r="I346" s="3"/>
      <c r="AS346" s="4"/>
      <c r="AT346" s="4"/>
    </row>
    <row r="347" spans="1:46" ht="16.5" customHeight="1">
      <c r="A347" s="4"/>
      <c r="C347" s="4"/>
      <c r="E347" s="4"/>
      <c r="G347" s="3"/>
      <c r="H347" s="3"/>
      <c r="I347" s="3"/>
      <c r="AS347" s="4"/>
      <c r="AT347" s="4"/>
    </row>
    <row r="348" spans="1:46" ht="16.5" customHeight="1">
      <c r="A348" s="4"/>
      <c r="C348" s="4"/>
      <c r="E348" s="4"/>
      <c r="G348" s="3"/>
      <c r="H348" s="3"/>
      <c r="I348" s="3"/>
      <c r="AS348" s="4"/>
      <c r="AT348" s="4"/>
    </row>
    <row r="349" spans="1:46" ht="16.5" customHeight="1">
      <c r="A349" s="4"/>
      <c r="C349" s="4"/>
      <c r="E349" s="4"/>
      <c r="G349" s="3"/>
      <c r="H349" s="3"/>
      <c r="I349" s="3"/>
      <c r="AS349" s="4"/>
      <c r="AT349" s="4"/>
    </row>
    <row r="350" spans="1:46" ht="16.5" customHeight="1">
      <c r="A350" s="4"/>
      <c r="C350" s="4"/>
      <c r="E350" s="4"/>
      <c r="G350" s="3"/>
      <c r="H350" s="3"/>
      <c r="I350" s="3"/>
      <c r="AS350" s="4"/>
      <c r="AT350" s="4"/>
    </row>
    <row r="351" spans="1:46" ht="16.5" customHeight="1">
      <c r="A351" s="4"/>
      <c r="C351" s="4"/>
      <c r="E351" s="4"/>
      <c r="G351" s="3"/>
      <c r="H351" s="3"/>
      <c r="I351" s="3"/>
      <c r="AS351" s="4"/>
      <c r="AT351" s="4"/>
    </row>
    <row r="352" spans="1:46" ht="16.5" customHeight="1">
      <c r="A352" s="4"/>
      <c r="C352" s="4"/>
      <c r="E352" s="4"/>
      <c r="G352" s="3"/>
      <c r="H352" s="3"/>
      <c r="I352" s="3"/>
      <c r="AS352" s="4"/>
      <c r="AT352" s="4"/>
    </row>
    <row r="353" spans="1:46" ht="16.5" customHeight="1">
      <c r="A353" s="4"/>
      <c r="C353" s="4"/>
      <c r="E353" s="4"/>
      <c r="G353" s="3"/>
      <c r="H353" s="3"/>
      <c r="I353" s="3"/>
      <c r="AS353" s="4"/>
      <c r="AT353" s="4"/>
    </row>
    <row r="354" spans="1:46" ht="16.5" customHeight="1">
      <c r="A354" s="4"/>
      <c r="C354" s="4"/>
      <c r="E354" s="4"/>
      <c r="G354" s="3"/>
      <c r="H354" s="3"/>
      <c r="I354" s="3"/>
      <c r="AS354" s="4"/>
      <c r="AT354" s="4"/>
    </row>
    <row r="355" spans="1:46" ht="16.5" customHeight="1">
      <c r="A355" s="4"/>
      <c r="C355" s="4"/>
      <c r="E355" s="4"/>
      <c r="G355" s="3"/>
      <c r="H355" s="3"/>
      <c r="I355" s="3"/>
      <c r="AS355" s="4"/>
      <c r="AT355" s="4"/>
    </row>
    <row r="356" spans="1:46" ht="16.5" customHeight="1">
      <c r="A356" s="4"/>
      <c r="C356" s="4"/>
      <c r="E356" s="4"/>
      <c r="G356" s="3"/>
      <c r="H356" s="3"/>
      <c r="I356" s="3"/>
      <c r="AS356" s="4"/>
      <c r="AT356" s="4"/>
    </row>
    <row r="357" spans="1:46" ht="16.5" customHeight="1">
      <c r="A357" s="4"/>
      <c r="C357" s="4"/>
      <c r="E357" s="4"/>
      <c r="G357" s="3"/>
      <c r="H357" s="3"/>
      <c r="I357" s="3"/>
      <c r="AS357" s="4"/>
      <c r="AT357" s="4"/>
    </row>
    <row r="358" spans="1:46" ht="16.5" customHeight="1">
      <c r="A358" s="4"/>
      <c r="C358" s="4"/>
      <c r="E358" s="4"/>
      <c r="G358" s="3"/>
      <c r="H358" s="3"/>
      <c r="I358" s="3"/>
      <c r="AS358" s="4"/>
      <c r="AT358" s="4"/>
    </row>
    <row r="359" spans="1:46" ht="16.5" customHeight="1">
      <c r="A359" s="4"/>
      <c r="C359" s="4"/>
      <c r="E359" s="4"/>
      <c r="G359" s="3"/>
      <c r="H359" s="3"/>
      <c r="I359" s="3"/>
      <c r="AS359" s="4"/>
      <c r="AT359" s="4"/>
    </row>
    <row r="360" spans="1:46" ht="16.5" customHeight="1">
      <c r="A360" s="4"/>
      <c r="C360" s="4"/>
      <c r="E360" s="4"/>
      <c r="G360" s="3"/>
      <c r="H360" s="3"/>
      <c r="I360" s="3"/>
      <c r="AS360" s="4"/>
      <c r="AT360" s="4"/>
    </row>
    <row r="361" spans="1:46" ht="16.5" customHeight="1">
      <c r="A361" s="4"/>
      <c r="C361" s="4"/>
      <c r="E361" s="4"/>
      <c r="G361" s="3"/>
      <c r="H361" s="3"/>
      <c r="I361" s="3"/>
      <c r="AS361" s="4"/>
      <c r="AT361" s="4"/>
    </row>
    <row r="362" spans="1:46" ht="16.5" customHeight="1">
      <c r="A362" s="4"/>
      <c r="C362" s="4"/>
      <c r="E362" s="4"/>
      <c r="G362" s="3"/>
      <c r="H362" s="3"/>
      <c r="I362" s="3"/>
      <c r="AS362" s="4"/>
      <c r="AT362" s="4"/>
    </row>
    <row r="363" spans="1:46" ht="16.5" customHeight="1">
      <c r="A363" s="4"/>
      <c r="C363" s="4"/>
      <c r="E363" s="4"/>
      <c r="G363" s="3"/>
      <c r="H363" s="3"/>
      <c r="I363" s="3"/>
      <c r="AS363" s="4"/>
      <c r="AT363" s="4"/>
    </row>
    <row r="364" spans="1:46" ht="16.5" customHeight="1">
      <c r="A364" s="4"/>
      <c r="C364" s="4"/>
      <c r="E364" s="4"/>
      <c r="G364" s="3"/>
      <c r="H364" s="3"/>
      <c r="I364" s="3"/>
      <c r="AS364" s="4"/>
      <c r="AT364" s="4"/>
    </row>
    <row r="365" spans="1:46" ht="16.5" customHeight="1">
      <c r="A365" s="4"/>
      <c r="C365" s="4"/>
      <c r="E365" s="4"/>
      <c r="G365" s="3"/>
      <c r="H365" s="3"/>
      <c r="I365" s="3"/>
      <c r="AS365" s="4"/>
      <c r="AT365" s="4"/>
    </row>
    <row r="366" spans="1:46" ht="16.5" customHeight="1">
      <c r="A366" s="4"/>
      <c r="C366" s="4"/>
      <c r="E366" s="4"/>
      <c r="G366" s="3"/>
      <c r="H366" s="3"/>
      <c r="I366" s="3"/>
      <c r="AS366" s="4"/>
      <c r="AT366" s="4"/>
    </row>
    <row r="367" spans="1:46" ht="16.5" customHeight="1">
      <c r="A367" s="4"/>
      <c r="C367" s="4"/>
      <c r="E367" s="4"/>
      <c r="G367" s="3"/>
      <c r="H367" s="3"/>
      <c r="I367" s="3"/>
      <c r="AS367" s="4"/>
      <c r="AT367" s="4"/>
    </row>
    <row r="368" spans="1:46" ht="16.5" customHeight="1">
      <c r="A368" s="4"/>
      <c r="C368" s="4"/>
      <c r="E368" s="4"/>
      <c r="G368" s="3"/>
      <c r="H368" s="3"/>
      <c r="I368" s="3"/>
      <c r="AS368" s="4"/>
      <c r="AT368" s="4"/>
    </row>
    <row r="369" spans="1:46" ht="16.5" customHeight="1">
      <c r="A369" s="4"/>
      <c r="C369" s="4"/>
      <c r="E369" s="4"/>
      <c r="G369" s="3"/>
      <c r="H369" s="3"/>
      <c r="I369" s="3"/>
      <c r="AS369" s="4"/>
      <c r="AT369" s="4"/>
    </row>
    <row r="370" spans="1:46" ht="16.5" customHeight="1">
      <c r="A370" s="4"/>
      <c r="C370" s="4"/>
      <c r="E370" s="4"/>
      <c r="G370" s="3"/>
      <c r="H370" s="3"/>
      <c r="I370" s="3"/>
      <c r="AS370" s="4"/>
      <c r="AT370" s="4"/>
    </row>
    <row r="371" spans="1:46" ht="16.5" customHeight="1">
      <c r="A371" s="4"/>
      <c r="C371" s="4"/>
      <c r="E371" s="4"/>
      <c r="G371" s="3"/>
      <c r="H371" s="3"/>
      <c r="I371" s="3"/>
      <c r="AS371" s="4"/>
      <c r="AT371" s="4"/>
    </row>
    <row r="372" spans="1:46" ht="16.5" customHeight="1">
      <c r="A372" s="4"/>
      <c r="C372" s="4"/>
      <c r="E372" s="4"/>
      <c r="G372" s="3"/>
      <c r="H372" s="3"/>
      <c r="I372" s="3"/>
      <c r="AS372" s="4"/>
      <c r="AT372" s="4"/>
    </row>
    <row r="373" spans="1:46" ht="16.5" customHeight="1">
      <c r="A373" s="4"/>
      <c r="C373" s="4"/>
      <c r="E373" s="4"/>
      <c r="G373" s="3"/>
      <c r="H373" s="3"/>
      <c r="I373" s="3"/>
      <c r="AS373" s="4"/>
      <c r="AT373" s="4"/>
    </row>
    <row r="374" spans="1:46" ht="16.5" customHeight="1">
      <c r="A374" s="4"/>
      <c r="C374" s="4"/>
      <c r="E374" s="4"/>
      <c r="G374" s="3"/>
      <c r="H374" s="3"/>
      <c r="I374" s="3"/>
      <c r="AS374" s="4"/>
      <c r="AT374" s="4"/>
    </row>
    <row r="375" spans="1:46" ht="16.5" customHeight="1">
      <c r="A375" s="4"/>
      <c r="C375" s="4"/>
      <c r="E375" s="4"/>
      <c r="G375" s="3"/>
      <c r="H375" s="3"/>
      <c r="I375" s="3"/>
      <c r="AS375" s="4"/>
      <c r="AT375" s="4"/>
    </row>
    <row r="376" spans="1:46" ht="16.5" customHeight="1">
      <c r="A376" s="4"/>
      <c r="C376" s="4"/>
      <c r="E376" s="4"/>
      <c r="G376" s="3"/>
      <c r="H376" s="3"/>
      <c r="I376" s="3"/>
      <c r="AS376" s="4"/>
      <c r="AT376" s="4"/>
    </row>
    <row r="377" spans="1:46" ht="16.5" customHeight="1">
      <c r="A377" s="4"/>
      <c r="C377" s="4"/>
      <c r="E377" s="4"/>
      <c r="G377" s="3"/>
      <c r="H377" s="3"/>
      <c r="I377" s="3"/>
      <c r="AS377" s="4"/>
      <c r="AT377" s="4"/>
    </row>
    <row r="378" spans="1:46" ht="16.5" customHeight="1">
      <c r="A378" s="4"/>
      <c r="C378" s="4"/>
      <c r="E378" s="4"/>
      <c r="G378" s="3"/>
      <c r="H378" s="3"/>
      <c r="I378" s="3"/>
      <c r="AS378" s="4"/>
      <c r="AT378" s="4"/>
    </row>
    <row r="379" spans="1:46" ht="16.5" customHeight="1">
      <c r="A379" s="4"/>
      <c r="C379" s="4"/>
      <c r="E379" s="4"/>
      <c r="G379" s="3"/>
      <c r="H379" s="3"/>
      <c r="I379" s="3"/>
      <c r="AS379" s="4"/>
      <c r="AT379" s="4"/>
    </row>
    <row r="380" spans="1:46" ht="16.5" customHeight="1">
      <c r="A380" s="4"/>
      <c r="C380" s="4"/>
      <c r="E380" s="4"/>
      <c r="G380" s="3"/>
      <c r="H380" s="3"/>
      <c r="I380" s="3"/>
      <c r="AS380" s="4"/>
      <c r="AT380" s="4"/>
    </row>
    <row r="381" spans="1:46" ht="16.5" customHeight="1">
      <c r="A381" s="4"/>
      <c r="C381" s="4"/>
      <c r="E381" s="4"/>
      <c r="G381" s="3"/>
      <c r="H381" s="3"/>
      <c r="I381" s="3"/>
      <c r="AS381" s="4"/>
      <c r="AT381" s="4"/>
    </row>
    <row r="382" spans="1:46" ht="16.5" customHeight="1">
      <c r="A382" s="4"/>
      <c r="C382" s="4"/>
      <c r="E382" s="4"/>
      <c r="G382" s="3"/>
      <c r="H382" s="3"/>
      <c r="I382" s="3"/>
      <c r="AS382" s="4"/>
      <c r="AT382" s="4"/>
    </row>
    <row r="383" spans="1:46" ht="16.5" customHeight="1">
      <c r="A383" s="4"/>
      <c r="C383" s="4"/>
      <c r="E383" s="4"/>
      <c r="G383" s="3"/>
      <c r="H383" s="3"/>
      <c r="I383" s="3"/>
      <c r="AS383" s="4"/>
      <c r="AT383" s="4"/>
    </row>
    <row r="384" spans="1:46" ht="16.5" customHeight="1">
      <c r="A384" s="4"/>
      <c r="C384" s="4"/>
      <c r="E384" s="4"/>
      <c r="G384" s="3"/>
      <c r="H384" s="3"/>
      <c r="I384" s="3"/>
      <c r="AS384" s="4"/>
      <c r="AT384" s="4"/>
    </row>
    <row r="385" spans="1:46" ht="16.5" customHeight="1">
      <c r="A385" s="4"/>
      <c r="C385" s="4"/>
      <c r="E385" s="4"/>
      <c r="G385" s="3"/>
      <c r="H385" s="3"/>
      <c r="I385" s="3"/>
      <c r="AS385" s="4"/>
      <c r="AT385" s="4"/>
    </row>
    <row r="386" spans="1:46" ht="16.5" customHeight="1">
      <c r="A386" s="4"/>
      <c r="C386" s="4"/>
      <c r="E386" s="4"/>
      <c r="G386" s="3"/>
      <c r="H386" s="3"/>
      <c r="I386" s="3"/>
      <c r="AS386" s="4"/>
      <c r="AT386" s="4"/>
    </row>
    <row r="387" spans="1:46" ht="16.5" customHeight="1">
      <c r="A387" s="4"/>
      <c r="C387" s="4"/>
      <c r="E387" s="4"/>
      <c r="G387" s="3"/>
      <c r="H387" s="3"/>
      <c r="I387" s="3"/>
      <c r="AS387" s="4"/>
      <c r="AT387" s="4"/>
    </row>
    <row r="388" spans="1:46" ht="16.5" customHeight="1">
      <c r="A388" s="4"/>
      <c r="C388" s="4"/>
      <c r="E388" s="4"/>
      <c r="G388" s="3"/>
      <c r="H388" s="3"/>
      <c r="I388" s="3"/>
      <c r="AS388" s="4"/>
      <c r="AT388" s="4"/>
    </row>
    <row r="389" spans="1:46" ht="16.5" customHeight="1">
      <c r="A389" s="4"/>
      <c r="C389" s="4"/>
      <c r="E389" s="4"/>
      <c r="G389" s="3"/>
      <c r="H389" s="3"/>
      <c r="I389" s="3"/>
      <c r="AS389" s="4"/>
      <c r="AT389" s="4"/>
    </row>
    <row r="390" spans="1:46" ht="16.5" customHeight="1">
      <c r="A390" s="4"/>
      <c r="C390" s="4"/>
      <c r="E390" s="4"/>
      <c r="G390" s="3"/>
      <c r="H390" s="3"/>
      <c r="I390" s="3"/>
      <c r="AS390" s="4"/>
      <c r="AT390" s="4"/>
    </row>
    <row r="391" spans="1:46" ht="16.5" customHeight="1">
      <c r="A391" s="4"/>
      <c r="C391" s="4"/>
      <c r="E391" s="4"/>
      <c r="G391" s="3"/>
      <c r="H391" s="3"/>
      <c r="I391" s="3"/>
      <c r="AS391" s="4"/>
      <c r="AT391" s="4"/>
    </row>
    <row r="392" spans="1:46" ht="16.5" customHeight="1">
      <c r="A392" s="4"/>
      <c r="C392" s="4"/>
      <c r="E392" s="4"/>
      <c r="G392" s="3"/>
      <c r="H392" s="3"/>
      <c r="I392" s="3"/>
      <c r="AS392" s="4"/>
      <c r="AT392" s="4"/>
    </row>
    <row r="393" spans="1:46" ht="16.5" customHeight="1">
      <c r="A393" s="4"/>
      <c r="C393" s="4"/>
      <c r="E393" s="4"/>
      <c r="G393" s="3"/>
      <c r="H393" s="3"/>
      <c r="I393" s="3"/>
      <c r="AS393" s="4"/>
      <c r="AT393" s="4"/>
    </row>
    <row r="394" spans="1:46" ht="16.5" customHeight="1">
      <c r="A394" s="4"/>
      <c r="C394" s="4"/>
      <c r="E394" s="4"/>
      <c r="G394" s="3"/>
      <c r="H394" s="3"/>
      <c r="I394" s="3"/>
      <c r="AS394" s="4"/>
      <c r="AT394" s="4"/>
    </row>
    <row r="395" spans="1:46" ht="16.5" customHeight="1">
      <c r="A395" s="4"/>
      <c r="C395" s="4"/>
      <c r="E395" s="4"/>
      <c r="G395" s="3"/>
      <c r="H395" s="3"/>
      <c r="I395" s="3"/>
      <c r="AS395" s="4"/>
      <c r="AT395" s="4"/>
    </row>
    <row r="396" spans="1:46" ht="16.5" customHeight="1">
      <c r="A396" s="4"/>
      <c r="C396" s="4"/>
      <c r="E396" s="4"/>
      <c r="G396" s="3"/>
      <c r="H396" s="3"/>
      <c r="I396" s="3"/>
      <c r="AS396" s="4"/>
      <c r="AT396" s="4"/>
    </row>
    <row r="397" spans="1:46" ht="16.5" customHeight="1">
      <c r="A397" s="4"/>
      <c r="C397" s="4"/>
      <c r="E397" s="4"/>
      <c r="G397" s="3"/>
      <c r="H397" s="3"/>
      <c r="I397" s="3"/>
      <c r="AS397" s="4"/>
      <c r="AT397" s="4"/>
    </row>
    <row r="398" spans="1:46" ht="16.5" customHeight="1">
      <c r="A398" s="4"/>
      <c r="C398" s="4"/>
      <c r="E398" s="4"/>
      <c r="G398" s="3"/>
      <c r="H398" s="3"/>
      <c r="I398" s="3"/>
      <c r="AS398" s="4"/>
      <c r="AT398" s="4"/>
    </row>
    <row r="399" spans="1:46" ht="16.5" customHeight="1">
      <c r="A399" s="4"/>
      <c r="C399" s="4"/>
      <c r="E399" s="4"/>
      <c r="G399" s="3"/>
      <c r="H399" s="3"/>
      <c r="I399" s="3"/>
      <c r="AS399" s="4"/>
      <c r="AT399" s="4"/>
    </row>
    <row r="400" spans="1:46" ht="16.5" customHeight="1">
      <c r="A400" s="4"/>
      <c r="C400" s="4"/>
      <c r="E400" s="4"/>
      <c r="G400" s="3"/>
      <c r="H400" s="3"/>
      <c r="I400" s="3"/>
      <c r="AS400" s="4"/>
      <c r="AT400" s="4"/>
    </row>
    <row r="401" spans="1:46" ht="16.5" customHeight="1">
      <c r="A401" s="4"/>
      <c r="C401" s="4"/>
      <c r="E401" s="4"/>
      <c r="G401" s="3"/>
      <c r="H401" s="3"/>
      <c r="I401" s="3"/>
      <c r="AS401" s="4"/>
      <c r="AT401" s="4"/>
    </row>
    <row r="402" spans="1:46" ht="16.5" customHeight="1">
      <c r="A402" s="4"/>
      <c r="C402" s="4"/>
      <c r="E402" s="4"/>
      <c r="G402" s="3"/>
      <c r="H402" s="3"/>
      <c r="I402" s="3"/>
      <c r="AS402" s="4"/>
      <c r="AT402" s="4"/>
    </row>
    <row r="403" spans="1:46" ht="16.5" customHeight="1">
      <c r="A403" s="4"/>
      <c r="C403" s="4"/>
      <c r="E403" s="4"/>
      <c r="G403" s="3"/>
      <c r="H403" s="3"/>
      <c r="I403" s="3"/>
      <c r="AS403" s="4"/>
      <c r="AT403" s="4"/>
    </row>
    <row r="404" spans="1:46" ht="16.5" customHeight="1">
      <c r="A404" s="4"/>
      <c r="C404" s="4"/>
      <c r="E404" s="4"/>
      <c r="G404" s="3"/>
      <c r="H404" s="3"/>
      <c r="I404" s="3"/>
      <c r="AS404" s="4"/>
      <c r="AT404" s="4"/>
    </row>
    <row r="405" spans="1:46" ht="16.5" customHeight="1">
      <c r="A405" s="4"/>
      <c r="C405" s="4"/>
      <c r="E405" s="4"/>
      <c r="G405" s="3"/>
      <c r="H405" s="3"/>
      <c r="I405" s="3"/>
      <c r="AS405" s="4"/>
      <c r="AT405" s="4"/>
    </row>
    <row r="406" spans="1:46" ht="16.5" customHeight="1">
      <c r="A406" s="4"/>
      <c r="C406" s="4"/>
      <c r="E406" s="4"/>
      <c r="G406" s="3"/>
      <c r="H406" s="3"/>
      <c r="I406" s="3"/>
      <c r="AS406" s="4"/>
      <c r="AT406" s="4"/>
    </row>
    <row r="407" spans="1:46" ht="16.5" customHeight="1">
      <c r="A407" s="4"/>
      <c r="C407" s="4"/>
      <c r="E407" s="4"/>
      <c r="G407" s="3"/>
      <c r="H407" s="3"/>
      <c r="I407" s="3"/>
      <c r="AS407" s="4"/>
      <c r="AT407" s="4"/>
    </row>
    <row r="408" spans="1:46" ht="16.5" customHeight="1">
      <c r="A408" s="4"/>
      <c r="C408" s="4"/>
      <c r="E408" s="4"/>
      <c r="G408" s="3"/>
      <c r="H408" s="3"/>
      <c r="I408" s="3"/>
      <c r="AS408" s="4"/>
      <c r="AT408" s="4"/>
    </row>
    <row r="409" spans="1:46" ht="16.5" customHeight="1">
      <c r="A409" s="4"/>
      <c r="C409" s="4"/>
      <c r="E409" s="4"/>
      <c r="G409" s="3"/>
      <c r="H409" s="3"/>
      <c r="I409" s="3"/>
      <c r="AS409" s="4"/>
      <c r="AT409" s="4"/>
    </row>
    <row r="410" spans="1:46" ht="16.5" customHeight="1">
      <c r="A410" s="4"/>
      <c r="C410" s="4"/>
      <c r="E410" s="4"/>
      <c r="G410" s="3"/>
      <c r="H410" s="3"/>
      <c r="I410" s="3"/>
      <c r="AS410" s="4"/>
      <c r="AT410" s="4"/>
    </row>
    <row r="411" spans="1:46" ht="16.5" customHeight="1">
      <c r="A411" s="4"/>
      <c r="C411" s="4"/>
      <c r="E411" s="4"/>
      <c r="G411" s="3"/>
      <c r="H411" s="3"/>
      <c r="I411" s="3"/>
      <c r="AS411" s="4"/>
      <c r="AT411" s="4"/>
    </row>
    <row r="412" spans="1:46" ht="16.5" customHeight="1">
      <c r="A412" s="4"/>
      <c r="C412" s="4"/>
      <c r="E412" s="4"/>
      <c r="G412" s="3"/>
      <c r="H412" s="3"/>
      <c r="I412" s="3"/>
      <c r="AS412" s="4"/>
      <c r="AT412" s="4"/>
    </row>
    <row r="413" spans="1:46" ht="16.5" customHeight="1">
      <c r="A413" s="4"/>
      <c r="C413" s="4"/>
      <c r="E413" s="4"/>
      <c r="G413" s="3"/>
      <c r="H413" s="3"/>
      <c r="I413" s="3"/>
      <c r="AS413" s="4"/>
      <c r="AT413" s="4"/>
    </row>
    <row r="414" spans="1:46" ht="16.5" customHeight="1">
      <c r="A414" s="4"/>
      <c r="C414" s="4"/>
      <c r="E414" s="4"/>
      <c r="G414" s="3"/>
      <c r="H414" s="3"/>
      <c r="I414" s="3"/>
      <c r="AS414" s="4"/>
      <c r="AT414" s="4"/>
    </row>
    <row r="415" spans="1:46" ht="16.5" customHeight="1">
      <c r="A415" s="4"/>
      <c r="C415" s="4"/>
      <c r="E415" s="4"/>
      <c r="G415" s="3"/>
      <c r="H415" s="3"/>
      <c r="I415" s="3"/>
      <c r="AS415" s="4"/>
      <c r="AT415" s="4"/>
    </row>
    <row r="416" spans="1:46" ht="16.5" customHeight="1">
      <c r="A416" s="4"/>
      <c r="C416" s="4"/>
      <c r="E416" s="4"/>
      <c r="G416" s="3"/>
      <c r="H416" s="3"/>
      <c r="I416" s="3"/>
      <c r="AS416" s="4"/>
      <c r="AT416" s="4"/>
    </row>
    <row r="417" spans="1:46" ht="16.5" customHeight="1">
      <c r="A417" s="4"/>
      <c r="C417" s="4"/>
      <c r="E417" s="4"/>
      <c r="G417" s="3"/>
      <c r="H417" s="3"/>
      <c r="I417" s="3"/>
      <c r="AS417" s="4"/>
      <c r="AT417" s="4"/>
    </row>
    <row r="418" spans="1:46" ht="16.5" customHeight="1">
      <c r="A418" s="4"/>
      <c r="C418" s="4"/>
      <c r="E418" s="4"/>
      <c r="G418" s="3"/>
      <c r="H418" s="3"/>
      <c r="I418" s="3"/>
      <c r="AS418" s="4"/>
      <c r="AT418" s="4"/>
    </row>
    <row r="419" spans="1:46" ht="16.5" customHeight="1">
      <c r="A419" s="4"/>
      <c r="C419" s="4"/>
      <c r="E419" s="4"/>
      <c r="G419" s="3"/>
      <c r="H419" s="3"/>
      <c r="I419" s="3"/>
      <c r="AS419" s="4"/>
      <c r="AT419" s="4"/>
    </row>
    <row r="420" spans="1:46" ht="16.5" customHeight="1">
      <c r="A420" s="4"/>
      <c r="C420" s="4"/>
      <c r="E420" s="4"/>
      <c r="G420" s="3"/>
      <c r="H420" s="3"/>
      <c r="I420" s="3"/>
      <c r="AS420" s="4"/>
      <c r="AT420" s="4"/>
    </row>
    <row r="421" spans="1:46" ht="16.5" customHeight="1">
      <c r="A421" s="4"/>
      <c r="C421" s="4"/>
      <c r="E421" s="4"/>
      <c r="G421" s="3"/>
      <c r="H421" s="3"/>
      <c r="I421" s="3"/>
      <c r="AS421" s="4"/>
      <c r="AT421" s="4"/>
    </row>
    <row r="422" spans="1:46" ht="16.5" customHeight="1">
      <c r="A422" s="4"/>
      <c r="C422" s="4"/>
      <c r="E422" s="4"/>
      <c r="G422" s="3"/>
      <c r="H422" s="3"/>
      <c r="I422" s="3"/>
      <c r="AS422" s="4"/>
      <c r="AT422" s="4"/>
    </row>
    <row r="423" spans="1:46" ht="16.5" customHeight="1">
      <c r="A423" s="4"/>
      <c r="C423" s="4"/>
      <c r="E423" s="4"/>
      <c r="G423" s="3"/>
      <c r="H423" s="3"/>
      <c r="I423" s="3"/>
      <c r="AS423" s="4"/>
      <c r="AT423" s="4"/>
    </row>
    <row r="424" spans="1:46" ht="16.5" customHeight="1">
      <c r="A424" s="4"/>
      <c r="C424" s="4"/>
      <c r="E424" s="4"/>
      <c r="G424" s="3"/>
      <c r="H424" s="3"/>
      <c r="I424" s="3"/>
      <c r="AS424" s="4"/>
      <c r="AT424" s="4"/>
    </row>
    <row r="425" spans="1:46" ht="16.5" customHeight="1">
      <c r="A425" s="4"/>
      <c r="C425" s="4"/>
      <c r="E425" s="4"/>
      <c r="G425" s="3"/>
      <c r="H425" s="3"/>
      <c r="I425" s="3"/>
      <c r="AS425" s="4"/>
      <c r="AT425" s="4"/>
    </row>
    <row r="426" spans="1:46" ht="16.5" customHeight="1">
      <c r="A426" s="4"/>
      <c r="C426" s="4"/>
      <c r="E426" s="4"/>
      <c r="G426" s="3"/>
      <c r="H426" s="3"/>
      <c r="I426" s="3"/>
      <c r="AS426" s="4"/>
      <c r="AT426" s="4"/>
    </row>
    <row r="427" spans="1:46" ht="16.5" customHeight="1">
      <c r="A427" s="4"/>
      <c r="C427" s="4"/>
      <c r="E427" s="4"/>
      <c r="G427" s="3"/>
      <c r="H427" s="3"/>
      <c r="I427" s="3"/>
      <c r="AS427" s="4"/>
      <c r="AT427" s="4"/>
    </row>
    <row r="428" spans="1:46" ht="16.5" customHeight="1">
      <c r="A428" s="4"/>
      <c r="C428" s="4"/>
      <c r="E428" s="4"/>
      <c r="G428" s="3"/>
      <c r="H428" s="3"/>
      <c r="I428" s="3"/>
      <c r="AS428" s="4"/>
      <c r="AT428" s="4"/>
    </row>
    <row r="429" spans="1:46" ht="16.5" customHeight="1">
      <c r="A429" s="4"/>
      <c r="C429" s="4"/>
      <c r="E429" s="4"/>
      <c r="G429" s="3"/>
      <c r="H429" s="3"/>
      <c r="I429" s="3"/>
      <c r="AS429" s="4"/>
      <c r="AT429" s="4"/>
    </row>
    <row r="430" spans="1:46" ht="16.5" customHeight="1">
      <c r="A430" s="4"/>
      <c r="C430" s="4"/>
      <c r="E430" s="4"/>
      <c r="G430" s="3"/>
      <c r="H430" s="3"/>
      <c r="I430" s="3"/>
      <c r="AS430" s="4"/>
      <c r="AT430" s="4"/>
    </row>
    <row r="431" spans="1:46" ht="16.5" customHeight="1">
      <c r="A431" s="4"/>
      <c r="C431" s="4"/>
      <c r="E431" s="4"/>
      <c r="G431" s="3"/>
      <c r="H431" s="3"/>
      <c r="I431" s="3"/>
      <c r="AS431" s="4"/>
      <c r="AT431" s="4"/>
    </row>
    <row r="432" spans="1:46" ht="16.5" customHeight="1">
      <c r="A432" s="4"/>
      <c r="C432" s="4"/>
      <c r="E432" s="4"/>
      <c r="G432" s="3"/>
      <c r="H432" s="3"/>
      <c r="I432" s="3"/>
      <c r="AS432" s="4"/>
      <c r="AT432" s="4"/>
    </row>
    <row r="433" spans="1:46" ht="16.5" customHeight="1">
      <c r="A433" s="4"/>
      <c r="C433" s="4"/>
      <c r="E433" s="4"/>
      <c r="G433" s="3"/>
      <c r="H433" s="3"/>
      <c r="I433" s="3"/>
      <c r="AS433" s="4"/>
      <c r="AT433" s="4"/>
    </row>
    <row r="434" spans="1:46" ht="16.5" customHeight="1">
      <c r="A434" s="4"/>
      <c r="C434" s="4"/>
      <c r="E434" s="4"/>
      <c r="G434" s="3"/>
      <c r="H434" s="3"/>
      <c r="I434" s="3"/>
      <c r="AS434" s="4"/>
      <c r="AT434" s="4"/>
    </row>
    <row r="435" spans="1:46" ht="16.5" customHeight="1">
      <c r="A435" s="4"/>
      <c r="C435" s="4"/>
      <c r="E435" s="4"/>
      <c r="G435" s="3"/>
      <c r="H435" s="3"/>
      <c r="I435" s="3"/>
      <c r="AS435" s="4"/>
      <c r="AT435" s="4"/>
    </row>
    <row r="436" spans="1:46" ht="16.5" customHeight="1">
      <c r="A436" s="4"/>
      <c r="C436" s="4"/>
      <c r="E436" s="4"/>
      <c r="G436" s="3"/>
      <c r="H436" s="3"/>
      <c r="I436" s="3"/>
      <c r="AS436" s="4"/>
      <c r="AT436" s="4"/>
    </row>
    <row r="437" spans="1:46" ht="16.5" customHeight="1">
      <c r="A437" s="4"/>
      <c r="C437" s="4"/>
      <c r="E437" s="4"/>
      <c r="G437" s="3"/>
      <c r="H437" s="3"/>
      <c r="I437" s="3"/>
      <c r="AS437" s="4"/>
      <c r="AT437" s="4"/>
    </row>
    <row r="438" spans="1:46" ht="16.5" customHeight="1">
      <c r="A438" s="4"/>
      <c r="C438" s="4"/>
      <c r="E438" s="4"/>
      <c r="G438" s="3"/>
      <c r="H438" s="3"/>
      <c r="I438" s="3"/>
      <c r="AS438" s="4"/>
      <c r="AT438" s="4"/>
    </row>
    <row r="439" spans="1:46" ht="16.5" customHeight="1">
      <c r="A439" s="4"/>
      <c r="C439" s="4"/>
      <c r="E439" s="4"/>
      <c r="G439" s="3"/>
      <c r="H439" s="3"/>
      <c r="I439" s="3"/>
      <c r="AS439" s="4"/>
      <c r="AT439" s="4"/>
    </row>
    <row r="440" spans="1:46" ht="16.5" customHeight="1">
      <c r="A440" s="4"/>
      <c r="C440" s="4"/>
      <c r="E440" s="4"/>
      <c r="G440" s="3"/>
      <c r="H440" s="3"/>
      <c r="I440" s="3"/>
      <c r="AS440" s="4"/>
      <c r="AT440" s="4"/>
    </row>
    <row r="441" spans="1:46" ht="16.5" customHeight="1">
      <c r="A441" s="4"/>
      <c r="C441" s="4"/>
      <c r="E441" s="4"/>
      <c r="G441" s="3"/>
      <c r="H441" s="3"/>
      <c r="I441" s="3"/>
      <c r="AS441" s="4"/>
      <c r="AT441" s="4"/>
    </row>
    <row r="442" spans="1:46" ht="16.5" customHeight="1">
      <c r="A442" s="4"/>
      <c r="C442" s="4"/>
      <c r="E442" s="4"/>
      <c r="G442" s="3"/>
      <c r="H442" s="3"/>
      <c r="I442" s="3"/>
      <c r="AS442" s="4"/>
      <c r="AT442" s="4"/>
    </row>
    <row r="443" spans="1:46" ht="16.5" customHeight="1">
      <c r="A443" s="4"/>
      <c r="C443" s="4"/>
      <c r="E443" s="4"/>
      <c r="G443" s="3"/>
      <c r="H443" s="3"/>
      <c r="I443" s="3"/>
      <c r="AS443" s="4"/>
      <c r="AT443" s="4"/>
    </row>
    <row r="444" spans="1:46" ht="16.5" customHeight="1">
      <c r="A444" s="4"/>
      <c r="C444" s="4"/>
      <c r="E444" s="4"/>
      <c r="G444" s="3"/>
      <c r="H444" s="3"/>
      <c r="I444" s="3"/>
      <c r="AS444" s="4"/>
      <c r="AT444" s="4"/>
    </row>
    <row r="445" spans="1:46" ht="16.5" customHeight="1">
      <c r="A445" s="4"/>
      <c r="C445" s="4"/>
      <c r="E445" s="4"/>
      <c r="G445" s="3"/>
      <c r="H445" s="3"/>
      <c r="I445" s="3"/>
      <c r="AS445" s="4"/>
      <c r="AT445" s="4"/>
    </row>
    <row r="446" spans="1:46" ht="16.5" customHeight="1">
      <c r="A446" s="4"/>
      <c r="C446" s="4"/>
      <c r="E446" s="4"/>
      <c r="G446" s="3"/>
      <c r="H446" s="3"/>
      <c r="I446" s="3"/>
      <c r="AS446" s="4"/>
      <c r="AT446" s="4"/>
    </row>
    <row r="447" spans="1:46" ht="16.5" customHeight="1">
      <c r="A447" s="4"/>
      <c r="C447" s="4"/>
      <c r="E447" s="4"/>
      <c r="G447" s="3"/>
      <c r="H447" s="3"/>
      <c r="I447" s="3"/>
      <c r="AS447" s="4"/>
      <c r="AT447" s="4"/>
    </row>
    <row r="448" spans="1:46" ht="16.5" customHeight="1">
      <c r="A448" s="4"/>
      <c r="C448" s="4"/>
      <c r="E448" s="4"/>
      <c r="G448" s="3"/>
      <c r="H448" s="3"/>
      <c r="I448" s="3"/>
      <c r="AS448" s="4"/>
      <c r="AT448" s="4"/>
    </row>
    <row r="449" spans="1:46" ht="16.5" customHeight="1">
      <c r="A449" s="4"/>
      <c r="C449" s="4"/>
      <c r="E449" s="4"/>
      <c r="G449" s="3"/>
      <c r="H449" s="3"/>
      <c r="I449" s="3"/>
      <c r="AS449" s="4"/>
      <c r="AT449" s="4"/>
    </row>
    <row r="450" spans="1:46" ht="16.5" customHeight="1">
      <c r="A450" s="4"/>
      <c r="C450" s="4"/>
      <c r="E450" s="4"/>
      <c r="G450" s="3"/>
      <c r="H450" s="3"/>
      <c r="I450" s="3"/>
      <c r="AS450" s="4"/>
      <c r="AT450" s="4"/>
    </row>
    <row r="451" spans="1:46" ht="16.5" customHeight="1">
      <c r="A451" s="4"/>
      <c r="C451" s="4"/>
      <c r="E451" s="4"/>
      <c r="G451" s="3"/>
      <c r="H451" s="3"/>
      <c r="I451" s="3"/>
      <c r="AS451" s="4"/>
      <c r="AT451" s="4"/>
    </row>
    <row r="452" spans="1:46" ht="16.5" customHeight="1">
      <c r="A452" s="4"/>
      <c r="C452" s="4"/>
      <c r="E452" s="4"/>
      <c r="G452" s="3"/>
      <c r="H452" s="3"/>
      <c r="I452" s="3"/>
      <c r="AS452" s="4"/>
      <c r="AT452" s="4"/>
    </row>
    <row r="453" spans="1:46" ht="16.5" customHeight="1">
      <c r="A453" s="4"/>
      <c r="C453" s="4"/>
      <c r="E453" s="4"/>
      <c r="G453" s="3"/>
      <c r="H453" s="3"/>
      <c r="I453" s="3"/>
      <c r="AS453" s="4"/>
      <c r="AT453" s="4"/>
    </row>
    <row r="454" spans="1:46" ht="16.5" customHeight="1">
      <c r="A454" s="4"/>
      <c r="C454" s="4"/>
      <c r="E454" s="4"/>
      <c r="G454" s="3"/>
      <c r="H454" s="3"/>
      <c r="I454" s="3"/>
      <c r="AS454" s="4"/>
      <c r="AT454" s="4"/>
    </row>
    <row r="455" spans="1:46" ht="16.5" customHeight="1">
      <c r="A455" s="4"/>
      <c r="C455" s="4"/>
      <c r="E455" s="4"/>
      <c r="G455" s="3"/>
      <c r="H455" s="3"/>
      <c r="I455" s="3"/>
      <c r="AS455" s="4"/>
      <c r="AT455" s="4"/>
    </row>
    <row r="456" spans="1:46" ht="16.5" customHeight="1">
      <c r="A456" s="4"/>
      <c r="C456" s="4"/>
      <c r="E456" s="4"/>
      <c r="G456" s="3"/>
      <c r="H456" s="3"/>
      <c r="I456" s="3"/>
      <c r="AS456" s="4"/>
      <c r="AT456" s="4"/>
    </row>
    <row r="457" spans="1:46" ht="16.5" customHeight="1">
      <c r="A457" s="4"/>
      <c r="C457" s="4"/>
      <c r="E457" s="4"/>
      <c r="G457" s="3"/>
      <c r="H457" s="3"/>
      <c r="I457" s="3"/>
      <c r="AS457" s="4"/>
      <c r="AT457" s="4"/>
    </row>
    <row r="458" spans="1:46" ht="16.5" customHeight="1">
      <c r="A458" s="4"/>
      <c r="C458" s="4"/>
      <c r="E458" s="4"/>
      <c r="G458" s="3"/>
      <c r="H458" s="3"/>
      <c r="I458" s="3"/>
      <c r="AS458" s="4"/>
      <c r="AT458" s="4"/>
    </row>
    <row r="459" spans="1:46" ht="16.5" customHeight="1">
      <c r="A459" s="4"/>
      <c r="C459" s="4"/>
      <c r="E459" s="4"/>
      <c r="G459" s="3"/>
      <c r="H459" s="3"/>
      <c r="I459" s="3"/>
      <c r="AS459" s="4"/>
      <c r="AT459" s="4"/>
    </row>
    <row r="460" spans="1:46" ht="16.5" customHeight="1">
      <c r="A460" s="4"/>
      <c r="C460" s="4"/>
      <c r="E460" s="4"/>
      <c r="G460" s="3"/>
      <c r="H460" s="3"/>
      <c r="I460" s="3"/>
      <c r="AS460" s="4"/>
      <c r="AT460" s="4"/>
    </row>
    <row r="461" spans="1:46" ht="16.5" customHeight="1">
      <c r="A461" s="4"/>
      <c r="C461" s="4"/>
      <c r="E461" s="4"/>
      <c r="G461" s="3"/>
      <c r="H461" s="3"/>
      <c r="I461" s="3"/>
      <c r="AS461" s="4"/>
      <c r="AT461" s="4"/>
    </row>
    <row r="462" spans="1:46" ht="16.5" customHeight="1">
      <c r="A462" s="4"/>
      <c r="C462" s="4"/>
      <c r="E462" s="4"/>
      <c r="G462" s="3"/>
      <c r="H462" s="3"/>
      <c r="I462" s="3"/>
      <c r="AS462" s="4"/>
      <c r="AT462" s="4"/>
    </row>
    <row r="463" spans="1:46" ht="16.5" customHeight="1">
      <c r="A463" s="4"/>
      <c r="C463" s="4"/>
      <c r="E463" s="4"/>
      <c r="G463" s="3"/>
      <c r="H463" s="3"/>
      <c r="I463" s="3"/>
      <c r="AS463" s="4"/>
      <c r="AT463" s="4"/>
    </row>
    <row r="464" spans="1:46" ht="16.5" customHeight="1">
      <c r="A464" s="4"/>
      <c r="C464" s="4"/>
      <c r="E464" s="4"/>
      <c r="G464" s="3"/>
      <c r="H464" s="3"/>
      <c r="I464" s="3"/>
      <c r="AS464" s="4"/>
      <c r="AT464" s="4"/>
    </row>
    <row r="465" spans="1:46" ht="16.5" customHeight="1">
      <c r="A465" s="4"/>
      <c r="C465" s="4"/>
      <c r="E465" s="4"/>
      <c r="G465" s="3"/>
      <c r="H465" s="3"/>
      <c r="I465" s="3"/>
      <c r="AS465" s="4"/>
      <c r="AT465" s="4"/>
    </row>
    <row r="466" spans="1:46" ht="16.5" customHeight="1">
      <c r="A466" s="4"/>
      <c r="C466" s="4"/>
      <c r="E466" s="4"/>
      <c r="G466" s="3"/>
      <c r="H466" s="3"/>
      <c r="I466" s="3"/>
      <c r="AS466" s="4"/>
      <c r="AT466" s="4"/>
    </row>
    <row r="467" spans="1:46" ht="16.5" customHeight="1">
      <c r="A467" s="4"/>
      <c r="C467" s="4"/>
      <c r="E467" s="4"/>
      <c r="G467" s="3"/>
      <c r="H467" s="3"/>
      <c r="I467" s="3"/>
      <c r="AS467" s="4"/>
      <c r="AT467" s="4"/>
    </row>
    <row r="468" spans="1:46" ht="16.5" customHeight="1">
      <c r="A468" s="4"/>
      <c r="C468" s="4"/>
      <c r="E468" s="4"/>
      <c r="G468" s="3"/>
      <c r="H468" s="3"/>
      <c r="I468" s="3"/>
      <c r="AS468" s="4"/>
      <c r="AT468" s="4"/>
    </row>
    <row r="469" spans="1:46" ht="16.5" customHeight="1">
      <c r="A469" s="4"/>
      <c r="C469" s="4"/>
      <c r="E469" s="4"/>
      <c r="G469" s="3"/>
      <c r="H469" s="3"/>
      <c r="I469" s="3"/>
      <c r="AS469" s="4"/>
      <c r="AT469" s="4"/>
    </row>
    <row r="470" spans="1:46" ht="16.5" customHeight="1">
      <c r="A470" s="4"/>
      <c r="C470" s="4"/>
      <c r="E470" s="4"/>
      <c r="G470" s="3"/>
      <c r="H470" s="3"/>
      <c r="I470" s="3"/>
      <c r="AS470" s="4"/>
      <c r="AT470" s="4"/>
    </row>
    <row r="471" spans="1:46" ht="16.5" customHeight="1">
      <c r="A471" s="4"/>
      <c r="C471" s="4"/>
      <c r="E471" s="4"/>
      <c r="G471" s="3"/>
      <c r="H471" s="3"/>
      <c r="I471" s="3"/>
      <c r="AS471" s="4"/>
      <c r="AT471" s="4"/>
    </row>
    <row r="472" spans="1:46" ht="16.5" customHeight="1">
      <c r="A472" s="4"/>
      <c r="C472" s="4"/>
      <c r="E472" s="4"/>
      <c r="G472" s="3"/>
      <c r="H472" s="3"/>
      <c r="I472" s="3"/>
      <c r="AS472" s="4"/>
      <c r="AT472" s="4"/>
    </row>
    <row r="473" spans="1:46" ht="16.5" customHeight="1">
      <c r="A473" s="4"/>
      <c r="C473" s="4"/>
      <c r="E473" s="4"/>
      <c r="G473" s="3"/>
      <c r="H473" s="3"/>
      <c r="I473" s="3"/>
      <c r="AS473" s="4"/>
      <c r="AT473" s="4"/>
    </row>
    <row r="474" spans="1:46" ht="16.5" customHeight="1">
      <c r="A474" s="4"/>
      <c r="C474" s="4"/>
      <c r="E474" s="4"/>
      <c r="G474" s="3"/>
      <c r="H474" s="3"/>
      <c r="I474" s="3"/>
      <c r="AS474" s="4"/>
      <c r="AT474" s="4"/>
    </row>
    <row r="475" spans="1:46" ht="16.5" customHeight="1">
      <c r="A475" s="4"/>
      <c r="C475" s="4"/>
      <c r="E475" s="4"/>
      <c r="G475" s="3"/>
      <c r="H475" s="3"/>
      <c r="I475" s="3"/>
      <c r="AS475" s="4"/>
      <c r="AT475" s="4"/>
    </row>
    <row r="476" spans="1:46" ht="16.5" customHeight="1">
      <c r="A476" s="4"/>
      <c r="C476" s="4"/>
      <c r="E476" s="4"/>
      <c r="G476" s="3"/>
      <c r="H476" s="3"/>
      <c r="I476" s="3"/>
      <c r="AS476" s="4"/>
      <c r="AT476" s="4"/>
    </row>
    <row r="477" spans="1:46" ht="16.5" customHeight="1">
      <c r="A477" s="4"/>
      <c r="C477" s="4"/>
      <c r="E477" s="4"/>
      <c r="G477" s="3"/>
      <c r="H477" s="3"/>
      <c r="I477" s="3"/>
      <c r="AS477" s="4"/>
      <c r="AT477" s="4"/>
    </row>
    <row r="478" spans="1:46" ht="16.5" customHeight="1">
      <c r="A478" s="4"/>
      <c r="C478" s="4"/>
      <c r="E478" s="4"/>
      <c r="G478" s="3"/>
      <c r="H478" s="3"/>
      <c r="I478" s="3"/>
      <c r="AS478" s="4"/>
      <c r="AT478" s="4"/>
    </row>
    <row r="479" spans="1:46" ht="16.5" customHeight="1">
      <c r="A479" s="4"/>
      <c r="C479" s="4"/>
      <c r="E479" s="4"/>
      <c r="G479" s="3"/>
      <c r="H479" s="3"/>
      <c r="I479" s="3"/>
      <c r="AS479" s="4"/>
      <c r="AT479" s="4"/>
    </row>
    <row r="480" spans="1:46" ht="16.5" customHeight="1">
      <c r="A480" s="4"/>
      <c r="C480" s="4"/>
      <c r="E480" s="4"/>
      <c r="G480" s="3"/>
      <c r="H480" s="3"/>
      <c r="I480" s="3"/>
      <c r="AS480" s="4"/>
      <c r="AT480" s="4"/>
    </row>
    <row r="481" spans="1:46" ht="16.5" customHeight="1">
      <c r="A481" s="4"/>
      <c r="C481" s="4"/>
      <c r="E481" s="4"/>
      <c r="G481" s="3"/>
      <c r="H481" s="3"/>
      <c r="I481" s="3"/>
      <c r="AS481" s="4"/>
      <c r="AT481" s="4"/>
    </row>
    <row r="482" spans="1:46" ht="16.5" customHeight="1">
      <c r="A482" s="4"/>
      <c r="C482" s="4"/>
      <c r="E482" s="4"/>
      <c r="G482" s="3"/>
      <c r="H482" s="3"/>
      <c r="I482" s="3"/>
      <c r="AS482" s="4"/>
      <c r="AT482" s="4"/>
    </row>
    <row r="483" spans="1:46" ht="16.5" customHeight="1">
      <c r="A483" s="4"/>
      <c r="C483" s="4"/>
      <c r="E483" s="4"/>
      <c r="G483" s="3"/>
      <c r="H483" s="3"/>
      <c r="I483" s="3"/>
      <c r="AS483" s="4"/>
      <c r="AT483" s="4"/>
    </row>
    <row r="484" spans="1:46" ht="16.5" customHeight="1">
      <c r="A484" s="4"/>
      <c r="C484" s="4"/>
      <c r="E484" s="4"/>
      <c r="G484" s="3"/>
      <c r="H484" s="3"/>
      <c r="I484" s="3"/>
      <c r="AS484" s="4"/>
      <c r="AT484" s="4"/>
    </row>
    <row r="485" spans="1:46" ht="16.5" customHeight="1">
      <c r="A485" s="4"/>
      <c r="C485" s="4"/>
      <c r="E485" s="4"/>
      <c r="G485" s="3"/>
      <c r="H485" s="3"/>
      <c r="I485" s="3"/>
      <c r="AS485" s="4"/>
      <c r="AT485" s="4"/>
    </row>
    <row r="486" spans="1:46" ht="16.5" customHeight="1">
      <c r="A486" s="4"/>
      <c r="C486" s="4"/>
      <c r="E486" s="4"/>
      <c r="G486" s="3"/>
      <c r="H486" s="3"/>
      <c r="I486" s="3"/>
      <c r="AS486" s="4"/>
      <c r="AT486" s="4"/>
    </row>
    <row r="487" spans="1:46" ht="16.5" customHeight="1">
      <c r="A487" s="4"/>
      <c r="C487" s="4"/>
      <c r="E487" s="4"/>
      <c r="G487" s="3"/>
      <c r="H487" s="3"/>
      <c r="I487" s="3"/>
      <c r="AS487" s="4"/>
      <c r="AT487" s="4"/>
    </row>
    <row r="488" spans="1:46" ht="16.5" customHeight="1">
      <c r="A488" s="4"/>
      <c r="C488" s="4"/>
      <c r="E488" s="4"/>
      <c r="G488" s="3"/>
      <c r="H488" s="3"/>
      <c r="I488" s="3"/>
      <c r="AS488" s="4"/>
      <c r="AT488" s="4"/>
    </row>
    <row r="489" spans="1:46" ht="16.5" customHeight="1">
      <c r="A489" s="4"/>
      <c r="C489" s="4"/>
      <c r="E489" s="4"/>
      <c r="G489" s="3"/>
      <c r="H489" s="3"/>
      <c r="I489" s="3"/>
      <c r="AS489" s="4"/>
      <c r="AT489" s="4"/>
    </row>
    <row r="490" spans="1:46" ht="16.5" customHeight="1">
      <c r="A490" s="4"/>
      <c r="C490" s="4"/>
      <c r="E490" s="4"/>
      <c r="G490" s="3"/>
      <c r="H490" s="3"/>
      <c r="I490" s="3"/>
      <c r="AS490" s="4"/>
      <c r="AT490" s="4"/>
    </row>
    <row r="491" spans="1:46" ht="16.5" customHeight="1">
      <c r="A491" s="4"/>
      <c r="C491" s="4"/>
      <c r="E491" s="4"/>
      <c r="G491" s="3"/>
      <c r="H491" s="3"/>
      <c r="I491" s="3"/>
      <c r="AS491" s="4"/>
      <c r="AT491" s="4"/>
    </row>
    <row r="492" spans="1:46" ht="16.5" customHeight="1">
      <c r="A492" s="4"/>
      <c r="C492" s="4"/>
      <c r="E492" s="4"/>
      <c r="G492" s="3"/>
      <c r="H492" s="3"/>
      <c r="I492" s="3"/>
      <c r="AS492" s="4"/>
      <c r="AT492" s="4"/>
    </row>
    <row r="493" spans="1:46" ht="16.5" customHeight="1">
      <c r="A493" s="4"/>
      <c r="C493" s="4"/>
      <c r="E493" s="4"/>
      <c r="G493" s="3"/>
      <c r="H493" s="3"/>
      <c r="I493" s="3"/>
      <c r="AS493" s="4"/>
      <c r="AT493" s="4"/>
    </row>
    <row r="494" spans="1:46" ht="16.5" customHeight="1">
      <c r="A494" s="4"/>
      <c r="C494" s="4"/>
      <c r="E494" s="4"/>
      <c r="G494" s="3"/>
      <c r="H494" s="3"/>
      <c r="I494" s="3"/>
      <c r="AS494" s="4"/>
      <c r="AT494" s="4"/>
    </row>
    <row r="495" spans="1:46" ht="16.5" customHeight="1">
      <c r="A495" s="4"/>
      <c r="C495" s="4"/>
      <c r="E495" s="4"/>
      <c r="G495" s="3"/>
      <c r="H495" s="3"/>
      <c r="I495" s="3"/>
      <c r="AS495" s="4"/>
      <c r="AT495" s="4"/>
    </row>
    <row r="496" spans="1:46" ht="16.5" customHeight="1">
      <c r="A496" s="4"/>
      <c r="C496" s="4"/>
      <c r="E496" s="4"/>
      <c r="G496" s="3"/>
      <c r="H496" s="3"/>
      <c r="I496" s="3"/>
      <c r="AS496" s="4"/>
      <c r="AT496" s="4"/>
    </row>
    <row r="497" spans="1:46" ht="16.5" customHeight="1">
      <c r="A497" s="4"/>
      <c r="C497" s="4"/>
      <c r="E497" s="4"/>
      <c r="G497" s="3"/>
      <c r="H497" s="3"/>
      <c r="I497" s="3"/>
      <c r="AS497" s="4"/>
      <c r="AT497" s="4"/>
    </row>
    <row r="498" spans="1:46" ht="16.5" customHeight="1">
      <c r="A498" s="4"/>
      <c r="C498" s="4"/>
      <c r="E498" s="4"/>
      <c r="G498" s="3"/>
      <c r="H498" s="3"/>
      <c r="I498" s="3"/>
      <c r="AS498" s="4"/>
      <c r="AT498" s="4"/>
    </row>
    <row r="499" spans="1:46" ht="16.5" customHeight="1">
      <c r="A499" s="4"/>
      <c r="C499" s="4"/>
      <c r="E499" s="4"/>
      <c r="G499" s="3"/>
      <c r="H499" s="3"/>
      <c r="I499" s="3"/>
      <c r="AS499" s="4"/>
      <c r="AT499" s="4"/>
    </row>
    <row r="500" spans="1:46" ht="16.5" customHeight="1">
      <c r="A500" s="4"/>
      <c r="C500" s="4"/>
      <c r="E500" s="4"/>
      <c r="G500" s="3"/>
      <c r="H500" s="3"/>
      <c r="I500" s="3"/>
      <c r="AS500" s="4"/>
      <c r="AT500" s="4"/>
    </row>
    <row r="501" spans="1:46" ht="16.5" customHeight="1">
      <c r="A501" s="4"/>
      <c r="C501" s="4"/>
      <c r="E501" s="4"/>
      <c r="G501" s="3"/>
      <c r="H501" s="3"/>
      <c r="I501" s="3"/>
      <c r="AS501" s="4"/>
      <c r="AT501" s="4"/>
    </row>
    <row r="502" spans="1:46" ht="16.5" customHeight="1">
      <c r="A502" s="4"/>
      <c r="C502" s="4"/>
      <c r="E502" s="4"/>
      <c r="G502" s="3"/>
      <c r="H502" s="3"/>
      <c r="I502" s="3"/>
      <c r="AS502" s="4"/>
      <c r="AT502" s="4"/>
    </row>
    <row r="503" spans="1:46" ht="16.5" customHeight="1">
      <c r="A503" s="4"/>
      <c r="C503" s="4"/>
      <c r="E503" s="4"/>
      <c r="G503" s="3"/>
      <c r="H503" s="3"/>
      <c r="I503" s="3"/>
      <c r="AS503" s="4"/>
      <c r="AT503" s="4"/>
    </row>
    <row r="504" spans="1:46" ht="16.5" customHeight="1">
      <c r="A504" s="4"/>
      <c r="C504" s="4"/>
      <c r="E504" s="4"/>
      <c r="G504" s="3"/>
      <c r="H504" s="3"/>
      <c r="I504" s="3"/>
      <c r="AS504" s="4"/>
      <c r="AT504" s="4"/>
    </row>
    <row r="505" spans="1:46" ht="16.5" customHeight="1">
      <c r="A505" s="4"/>
      <c r="C505" s="4"/>
      <c r="E505" s="4"/>
      <c r="G505" s="3"/>
      <c r="H505" s="3"/>
      <c r="I505" s="3"/>
      <c r="AS505" s="4"/>
      <c r="AT505" s="4"/>
    </row>
    <row r="506" spans="1:46" ht="16.5" customHeight="1">
      <c r="A506" s="4"/>
      <c r="C506" s="4"/>
      <c r="E506" s="4"/>
      <c r="G506" s="3"/>
      <c r="H506" s="3"/>
      <c r="I506" s="3"/>
      <c r="AS506" s="4"/>
      <c r="AT506" s="4"/>
    </row>
    <row r="507" spans="1:46" ht="16.5" customHeight="1">
      <c r="A507" s="4"/>
      <c r="C507" s="4"/>
      <c r="E507" s="4"/>
      <c r="G507" s="3"/>
      <c r="H507" s="3"/>
      <c r="I507" s="3"/>
      <c r="AS507" s="4"/>
      <c r="AT507" s="4"/>
    </row>
    <row r="508" spans="1:46" ht="16.5" customHeight="1">
      <c r="A508" s="4"/>
      <c r="C508" s="4"/>
      <c r="E508" s="4"/>
      <c r="G508" s="3"/>
      <c r="H508" s="3"/>
      <c r="I508" s="3"/>
      <c r="AS508" s="4"/>
      <c r="AT508" s="4"/>
    </row>
    <row r="509" spans="1:46" ht="16.5" customHeight="1">
      <c r="A509" s="4"/>
      <c r="C509" s="4"/>
      <c r="E509" s="4"/>
      <c r="G509" s="3"/>
      <c r="H509" s="3"/>
      <c r="I509" s="3"/>
      <c r="AS509" s="4"/>
      <c r="AT509" s="4"/>
    </row>
    <row r="510" spans="1:46" ht="16.5" customHeight="1">
      <c r="A510" s="4"/>
      <c r="C510" s="4"/>
      <c r="E510" s="4"/>
      <c r="G510" s="3"/>
      <c r="H510" s="3"/>
      <c r="I510" s="3"/>
      <c r="AS510" s="4"/>
      <c r="AT510" s="4"/>
    </row>
    <row r="511" spans="1:46" ht="16.5" customHeight="1">
      <c r="A511" s="4"/>
      <c r="C511" s="4"/>
      <c r="E511" s="4"/>
      <c r="G511" s="3"/>
      <c r="H511" s="3"/>
      <c r="I511" s="3"/>
      <c r="AS511" s="4"/>
      <c r="AT511" s="4"/>
    </row>
    <row r="512" spans="1:46" ht="16.5" customHeight="1">
      <c r="A512" s="4"/>
      <c r="C512" s="4"/>
      <c r="E512" s="4"/>
      <c r="G512" s="3"/>
      <c r="H512" s="3"/>
      <c r="I512" s="3"/>
      <c r="AS512" s="4"/>
      <c r="AT512" s="4"/>
    </row>
    <row r="513" spans="1:46" ht="16.5" customHeight="1">
      <c r="A513" s="4"/>
      <c r="C513" s="4"/>
      <c r="E513" s="4"/>
      <c r="G513" s="3"/>
      <c r="H513" s="3"/>
      <c r="I513" s="3"/>
      <c r="AS513" s="4"/>
      <c r="AT513" s="4"/>
    </row>
    <row r="514" spans="1:46" ht="16.5" customHeight="1">
      <c r="A514" s="4"/>
      <c r="C514" s="4"/>
      <c r="E514" s="4"/>
      <c r="G514" s="3"/>
      <c r="H514" s="3"/>
      <c r="I514" s="3"/>
      <c r="AS514" s="4"/>
      <c r="AT514" s="4"/>
    </row>
    <row r="515" spans="1:46" ht="16.5" customHeight="1">
      <c r="A515" s="4"/>
      <c r="C515" s="4"/>
      <c r="E515" s="4"/>
      <c r="G515" s="3"/>
      <c r="H515" s="3"/>
      <c r="I515" s="3"/>
      <c r="AS515" s="4"/>
      <c r="AT515" s="4"/>
    </row>
    <row r="516" spans="1:46" ht="16.5" customHeight="1">
      <c r="A516" s="4"/>
      <c r="C516" s="4"/>
      <c r="E516" s="4"/>
      <c r="G516" s="3"/>
      <c r="H516" s="3"/>
      <c r="I516" s="3"/>
      <c r="AS516" s="4"/>
      <c r="AT516" s="4"/>
    </row>
    <row r="517" spans="1:46" ht="16.5" customHeight="1">
      <c r="A517" s="4"/>
      <c r="C517" s="4"/>
      <c r="E517" s="4"/>
      <c r="G517" s="3"/>
      <c r="H517" s="3"/>
      <c r="I517" s="3"/>
      <c r="AS517" s="4"/>
      <c r="AT517" s="4"/>
    </row>
    <row r="518" spans="1:46" ht="16.5" customHeight="1">
      <c r="A518" s="4"/>
      <c r="C518" s="4"/>
      <c r="E518" s="4"/>
      <c r="G518" s="3"/>
      <c r="H518" s="3"/>
      <c r="I518" s="3"/>
      <c r="AS518" s="4"/>
      <c r="AT518" s="4"/>
    </row>
    <row r="519" spans="1:46" ht="16.5" customHeight="1">
      <c r="A519" s="4"/>
      <c r="C519" s="4"/>
      <c r="E519" s="4"/>
      <c r="G519" s="3"/>
      <c r="H519" s="3"/>
      <c r="I519" s="3"/>
      <c r="AS519" s="4"/>
      <c r="AT519" s="4"/>
    </row>
    <row r="520" spans="1:46" ht="16.5" customHeight="1">
      <c r="A520" s="4"/>
      <c r="C520" s="4"/>
      <c r="E520" s="4"/>
      <c r="G520" s="3"/>
      <c r="H520" s="3"/>
      <c r="I520" s="3"/>
      <c r="AS520" s="4"/>
      <c r="AT520" s="4"/>
    </row>
    <row r="521" spans="1:46" ht="16.5" customHeight="1">
      <c r="A521" s="4"/>
      <c r="C521" s="4"/>
      <c r="E521" s="4"/>
      <c r="G521" s="3"/>
      <c r="H521" s="3"/>
      <c r="I521" s="3"/>
      <c r="AS521" s="4"/>
      <c r="AT521" s="4"/>
    </row>
    <row r="522" spans="1:46" ht="16.5" customHeight="1">
      <c r="A522" s="4"/>
      <c r="C522" s="4"/>
      <c r="E522" s="4"/>
      <c r="G522" s="3"/>
      <c r="H522" s="3"/>
      <c r="I522" s="3"/>
      <c r="AS522" s="4"/>
      <c r="AT522" s="4"/>
    </row>
    <row r="523" spans="1:46" ht="16.5" customHeight="1">
      <c r="A523" s="4"/>
      <c r="C523" s="4"/>
      <c r="E523" s="4"/>
      <c r="G523" s="3"/>
      <c r="H523" s="3"/>
      <c r="I523" s="3"/>
      <c r="AS523" s="4"/>
      <c r="AT523" s="4"/>
    </row>
    <row r="524" spans="1:46" ht="16.5" customHeight="1">
      <c r="A524" s="4"/>
      <c r="C524" s="4"/>
      <c r="E524" s="4"/>
      <c r="G524" s="3"/>
      <c r="H524" s="3"/>
      <c r="I524" s="3"/>
      <c r="AS524" s="4"/>
      <c r="AT524" s="4"/>
    </row>
    <row r="525" spans="1:46" ht="16.5" customHeight="1">
      <c r="A525" s="4"/>
      <c r="C525" s="4"/>
      <c r="E525" s="4"/>
      <c r="G525" s="3"/>
      <c r="H525" s="3"/>
      <c r="I525" s="3"/>
      <c r="AS525" s="4"/>
      <c r="AT525" s="4"/>
    </row>
    <row r="526" spans="1:46" ht="16.5" customHeight="1">
      <c r="A526" s="4"/>
      <c r="C526" s="4"/>
      <c r="E526" s="4"/>
      <c r="G526" s="3"/>
      <c r="H526" s="3"/>
      <c r="I526" s="3"/>
      <c r="AS526" s="4"/>
      <c r="AT526" s="4"/>
    </row>
    <row r="527" spans="1:46" ht="16.5" customHeight="1">
      <c r="A527" s="4"/>
      <c r="C527" s="4"/>
      <c r="E527" s="4"/>
      <c r="G527" s="3"/>
      <c r="H527" s="3"/>
      <c r="I527" s="3"/>
      <c r="AS527" s="4"/>
      <c r="AT527" s="4"/>
    </row>
    <row r="528" spans="1:46" ht="16.5" customHeight="1">
      <c r="A528" s="4"/>
      <c r="C528" s="4"/>
      <c r="E528" s="4"/>
      <c r="G528" s="3"/>
      <c r="H528" s="3"/>
      <c r="I528" s="3"/>
      <c r="AS528" s="4"/>
      <c r="AT528" s="4"/>
    </row>
    <row r="529" spans="1:46" ht="16.5" customHeight="1">
      <c r="A529" s="4"/>
      <c r="C529" s="4"/>
      <c r="E529" s="4"/>
      <c r="G529" s="3"/>
      <c r="H529" s="3"/>
      <c r="I529" s="3"/>
      <c r="AS529" s="4"/>
      <c r="AT529" s="4"/>
    </row>
    <row r="530" spans="1:46" ht="16.5" customHeight="1">
      <c r="A530" s="4"/>
      <c r="C530" s="4"/>
      <c r="E530" s="4"/>
      <c r="G530" s="3"/>
      <c r="H530" s="3"/>
      <c r="I530" s="3"/>
      <c r="AS530" s="4"/>
      <c r="AT530" s="4"/>
    </row>
    <row r="531" spans="1:46" ht="16.5" customHeight="1">
      <c r="A531" s="4"/>
      <c r="C531" s="4"/>
      <c r="E531" s="4"/>
      <c r="G531" s="3"/>
      <c r="H531" s="3"/>
      <c r="I531" s="3"/>
      <c r="AS531" s="4"/>
      <c r="AT531" s="4"/>
    </row>
    <row r="532" spans="1:46" ht="16.5" customHeight="1">
      <c r="A532" s="4"/>
      <c r="C532" s="4"/>
      <c r="E532" s="4"/>
      <c r="G532" s="3"/>
      <c r="H532" s="3"/>
      <c r="I532" s="3"/>
      <c r="AS532" s="4"/>
      <c r="AT532" s="4"/>
    </row>
    <row r="533" spans="1:46" ht="16.5" customHeight="1">
      <c r="A533" s="4"/>
      <c r="C533" s="4"/>
      <c r="E533" s="4"/>
      <c r="G533" s="3"/>
      <c r="H533" s="3"/>
      <c r="I533" s="3"/>
      <c r="AS533" s="4"/>
      <c r="AT533" s="4"/>
    </row>
    <row r="534" spans="1:46" ht="16.5" customHeight="1">
      <c r="A534" s="4"/>
      <c r="C534" s="4"/>
      <c r="E534" s="4"/>
      <c r="G534" s="3"/>
      <c r="H534" s="3"/>
      <c r="I534" s="3"/>
      <c r="AS534" s="4"/>
      <c r="AT534" s="4"/>
    </row>
    <row r="535" spans="1:46" ht="16.5" customHeight="1">
      <c r="A535" s="4"/>
      <c r="C535" s="4"/>
      <c r="E535" s="4"/>
      <c r="G535" s="3"/>
      <c r="H535" s="3"/>
      <c r="I535" s="3"/>
      <c r="AS535" s="4"/>
      <c r="AT535" s="4"/>
    </row>
    <row r="536" spans="1:46" ht="16.5" customHeight="1">
      <c r="A536" s="4"/>
      <c r="C536" s="4"/>
      <c r="E536" s="4"/>
      <c r="G536" s="3"/>
      <c r="H536" s="3"/>
      <c r="I536" s="3"/>
      <c r="AS536" s="4"/>
      <c r="AT536" s="4"/>
    </row>
    <row r="537" spans="1:46" ht="16.5" customHeight="1">
      <c r="A537" s="4"/>
      <c r="C537" s="4"/>
      <c r="E537" s="4"/>
      <c r="G537" s="3"/>
      <c r="H537" s="3"/>
      <c r="I537" s="3"/>
      <c r="AS537" s="4"/>
      <c r="AT537" s="4"/>
    </row>
    <row r="538" spans="1:46" ht="16.5" customHeight="1">
      <c r="A538" s="4"/>
      <c r="C538" s="4"/>
      <c r="E538" s="4"/>
      <c r="G538" s="3"/>
      <c r="H538" s="3"/>
      <c r="I538" s="3"/>
      <c r="AS538" s="4"/>
      <c r="AT538" s="4"/>
    </row>
    <row r="539" spans="1:46" ht="16.5" customHeight="1">
      <c r="A539" s="4"/>
      <c r="C539" s="4"/>
      <c r="E539" s="4"/>
      <c r="G539" s="3"/>
      <c r="H539" s="3"/>
      <c r="I539" s="3"/>
      <c r="AS539" s="4"/>
      <c r="AT539" s="4"/>
    </row>
    <row r="540" spans="1:46" ht="16.5" customHeight="1">
      <c r="A540" s="4"/>
      <c r="C540" s="4"/>
      <c r="E540" s="4"/>
      <c r="G540" s="3"/>
      <c r="H540" s="3"/>
      <c r="I540" s="3"/>
      <c r="AS540" s="4"/>
      <c r="AT540" s="4"/>
    </row>
    <row r="541" spans="1:46" ht="16.5" customHeight="1">
      <c r="A541" s="4"/>
      <c r="C541" s="4"/>
      <c r="E541" s="4"/>
      <c r="G541" s="3"/>
      <c r="H541" s="3"/>
      <c r="I541" s="3"/>
      <c r="AS541" s="4"/>
      <c r="AT541" s="4"/>
    </row>
    <row r="542" spans="1:46" ht="16.5" customHeight="1">
      <c r="A542" s="4"/>
      <c r="C542" s="4"/>
      <c r="E542" s="4"/>
      <c r="G542" s="3"/>
      <c r="H542" s="3"/>
      <c r="I542" s="3"/>
      <c r="AS542" s="4"/>
      <c r="AT542" s="4"/>
    </row>
    <row r="543" spans="1:46" ht="16.5" customHeight="1">
      <c r="A543" s="4"/>
      <c r="C543" s="4"/>
      <c r="E543" s="4"/>
      <c r="G543" s="3"/>
      <c r="H543" s="3"/>
      <c r="I543" s="3"/>
      <c r="AS543" s="4"/>
      <c r="AT543" s="4"/>
    </row>
    <row r="544" spans="1:46" ht="16.5" customHeight="1">
      <c r="A544" s="4"/>
      <c r="C544" s="4"/>
      <c r="E544" s="4"/>
      <c r="G544" s="3"/>
      <c r="H544" s="3"/>
      <c r="I544" s="3"/>
      <c r="AS544" s="4"/>
      <c r="AT544" s="4"/>
    </row>
    <row r="545" spans="1:46" ht="16.5" customHeight="1">
      <c r="A545" s="4"/>
      <c r="C545" s="4"/>
      <c r="E545" s="4"/>
      <c r="G545" s="3"/>
      <c r="H545" s="3"/>
      <c r="I545" s="3"/>
      <c r="AS545" s="4"/>
      <c r="AT545" s="4"/>
    </row>
    <row r="546" spans="1:46" ht="16.5" customHeight="1">
      <c r="A546" s="4"/>
      <c r="C546" s="4"/>
      <c r="E546" s="4"/>
      <c r="G546" s="3"/>
      <c r="H546" s="3"/>
      <c r="I546" s="3"/>
      <c r="AS546" s="4"/>
      <c r="AT546" s="4"/>
    </row>
    <row r="547" spans="1:46" ht="16.5" customHeight="1">
      <c r="A547" s="4"/>
      <c r="C547" s="4"/>
      <c r="E547" s="4"/>
      <c r="G547" s="3"/>
      <c r="H547" s="3"/>
      <c r="I547" s="3"/>
      <c r="AS547" s="4"/>
      <c r="AT547" s="4"/>
    </row>
    <row r="548" spans="1:46" ht="16.5" customHeight="1">
      <c r="A548" s="4"/>
      <c r="C548" s="4"/>
      <c r="E548" s="4"/>
      <c r="G548" s="3"/>
      <c r="H548" s="3"/>
      <c r="I548" s="3"/>
      <c r="AS548" s="4"/>
      <c r="AT548" s="4"/>
    </row>
    <row r="549" spans="1:46" ht="16.5" customHeight="1">
      <c r="A549" s="4"/>
      <c r="C549" s="4"/>
      <c r="E549" s="4"/>
      <c r="G549" s="3"/>
      <c r="H549" s="3"/>
      <c r="I549" s="3"/>
      <c r="AS549" s="4"/>
      <c r="AT549" s="4"/>
    </row>
    <row r="550" spans="1:46" ht="16.5" customHeight="1">
      <c r="A550" s="4"/>
      <c r="C550" s="4"/>
      <c r="E550" s="4"/>
      <c r="G550" s="3"/>
      <c r="H550" s="3"/>
      <c r="I550" s="3"/>
      <c r="AS550" s="4"/>
      <c r="AT550" s="4"/>
    </row>
    <row r="551" spans="1:46" ht="16.5" customHeight="1">
      <c r="A551" s="4"/>
      <c r="C551" s="4"/>
      <c r="E551" s="4"/>
      <c r="G551" s="3"/>
      <c r="H551" s="3"/>
      <c r="I551" s="3"/>
      <c r="AS551" s="4"/>
      <c r="AT551" s="4"/>
    </row>
    <row r="552" spans="1:46" ht="16.5" customHeight="1">
      <c r="A552" s="4"/>
      <c r="C552" s="4"/>
      <c r="E552" s="4"/>
      <c r="G552" s="3"/>
      <c r="H552" s="3"/>
      <c r="I552" s="3"/>
      <c r="AS552" s="4"/>
      <c r="AT552" s="4"/>
    </row>
    <row r="553" spans="1:46" ht="16.5" customHeight="1">
      <c r="A553" s="4"/>
      <c r="C553" s="4"/>
      <c r="E553" s="4"/>
      <c r="G553" s="3"/>
      <c r="H553" s="3"/>
      <c r="I553" s="3"/>
      <c r="AS553" s="4"/>
      <c r="AT553" s="4"/>
    </row>
    <row r="554" spans="1:46" ht="16.5" customHeight="1">
      <c r="A554" s="4"/>
      <c r="C554" s="4"/>
      <c r="E554" s="4"/>
      <c r="G554" s="3"/>
      <c r="H554" s="3"/>
      <c r="I554" s="3"/>
      <c r="AS554" s="4"/>
      <c r="AT554" s="4"/>
    </row>
    <row r="555" spans="1:46" ht="16.5" customHeight="1">
      <c r="A555" s="4"/>
      <c r="C555" s="4"/>
      <c r="E555" s="4"/>
      <c r="G555" s="3"/>
      <c r="H555" s="3"/>
      <c r="I555" s="3"/>
      <c r="AS555" s="4"/>
      <c r="AT555" s="4"/>
    </row>
    <row r="556" spans="1:46" ht="16.5" customHeight="1">
      <c r="A556" s="4"/>
      <c r="C556" s="4"/>
      <c r="E556" s="4"/>
      <c r="G556" s="3"/>
      <c r="H556" s="3"/>
      <c r="I556" s="3"/>
      <c r="AS556" s="4"/>
      <c r="AT556" s="4"/>
    </row>
    <row r="557" spans="1:46" ht="16.5" customHeight="1">
      <c r="A557" s="4"/>
      <c r="C557" s="4"/>
      <c r="E557" s="4"/>
      <c r="G557" s="3"/>
      <c r="H557" s="3"/>
      <c r="I557" s="3"/>
      <c r="AS557" s="4"/>
      <c r="AT557" s="4"/>
    </row>
    <row r="558" spans="1:46" ht="16.5" customHeight="1">
      <c r="A558" s="4"/>
      <c r="C558" s="4"/>
      <c r="E558" s="4"/>
      <c r="G558" s="3"/>
      <c r="H558" s="3"/>
      <c r="I558" s="3"/>
      <c r="AS558" s="4"/>
      <c r="AT558" s="4"/>
    </row>
    <row r="559" spans="1:46" ht="16.5" customHeight="1">
      <c r="A559" s="4"/>
      <c r="C559" s="4"/>
      <c r="E559" s="4"/>
      <c r="G559" s="3"/>
      <c r="H559" s="3"/>
      <c r="I559" s="3"/>
      <c r="AS559" s="4"/>
      <c r="AT559" s="4"/>
    </row>
    <row r="560" spans="1:46" ht="16.5" customHeight="1">
      <c r="A560" s="4"/>
      <c r="C560" s="4"/>
      <c r="E560" s="4"/>
      <c r="G560" s="3"/>
      <c r="H560" s="3"/>
      <c r="I560" s="3"/>
      <c r="AS560" s="4"/>
      <c r="AT560" s="4"/>
    </row>
    <row r="561" spans="1:46" ht="16.5" customHeight="1">
      <c r="A561" s="4"/>
      <c r="C561" s="4"/>
      <c r="E561" s="4"/>
      <c r="G561" s="3"/>
      <c r="H561" s="3"/>
      <c r="I561" s="3"/>
      <c r="AS561" s="4"/>
      <c r="AT561" s="4"/>
    </row>
    <row r="562" spans="1:46" ht="16.5" customHeight="1">
      <c r="A562" s="4"/>
      <c r="C562" s="4"/>
      <c r="E562" s="4"/>
      <c r="G562" s="3"/>
      <c r="H562" s="3"/>
      <c r="I562" s="3"/>
      <c r="AS562" s="4"/>
      <c r="AT562" s="4"/>
    </row>
    <row r="563" spans="1:46" ht="16.5" customHeight="1">
      <c r="A563" s="4"/>
      <c r="C563" s="4"/>
      <c r="E563" s="4"/>
      <c r="G563" s="3"/>
      <c r="H563" s="3"/>
      <c r="I563" s="3"/>
      <c r="AS563" s="4"/>
      <c r="AT563" s="4"/>
    </row>
    <row r="564" spans="1:46" ht="16.5" customHeight="1">
      <c r="A564" s="4"/>
      <c r="C564" s="4"/>
      <c r="E564" s="4"/>
      <c r="G564" s="3"/>
      <c r="H564" s="3"/>
      <c r="I564" s="3"/>
      <c r="AS564" s="4"/>
      <c r="AT564" s="4"/>
    </row>
    <row r="565" spans="1:46" ht="16.5" customHeight="1">
      <c r="A565" s="4"/>
      <c r="C565" s="4"/>
      <c r="E565" s="4"/>
      <c r="G565" s="3"/>
      <c r="H565" s="3"/>
      <c r="I565" s="3"/>
      <c r="AS565" s="4"/>
      <c r="AT565" s="4"/>
    </row>
    <row r="566" spans="1:46" ht="16.5" customHeight="1">
      <c r="A566" s="4"/>
      <c r="C566" s="4"/>
      <c r="E566" s="4"/>
      <c r="G566" s="3"/>
      <c r="H566" s="3"/>
      <c r="I566" s="3"/>
      <c r="AS566" s="4"/>
      <c r="AT566" s="4"/>
    </row>
    <row r="567" spans="1:46" ht="16.5" customHeight="1">
      <c r="A567" s="4"/>
      <c r="C567" s="4"/>
      <c r="E567" s="4"/>
      <c r="G567" s="3"/>
      <c r="H567" s="3"/>
      <c r="I567" s="3"/>
      <c r="AS567" s="4"/>
      <c r="AT567" s="4"/>
    </row>
    <row r="568" spans="1:46" ht="16.5" customHeight="1">
      <c r="A568" s="4"/>
      <c r="C568" s="4"/>
      <c r="E568" s="4"/>
      <c r="G568" s="3"/>
      <c r="H568" s="3"/>
      <c r="I568" s="3"/>
      <c r="AS568" s="4"/>
      <c r="AT568" s="4"/>
    </row>
    <row r="569" spans="1:46" ht="16.5" customHeight="1">
      <c r="A569" s="4"/>
      <c r="C569" s="4"/>
      <c r="E569" s="4"/>
      <c r="G569" s="3"/>
      <c r="H569" s="3"/>
      <c r="I569" s="3"/>
      <c r="AS569" s="4"/>
      <c r="AT569" s="4"/>
    </row>
    <row r="570" spans="1:46" ht="16.5" customHeight="1">
      <c r="A570" s="4"/>
      <c r="C570" s="4"/>
      <c r="E570" s="4"/>
      <c r="G570" s="3"/>
      <c r="H570" s="3"/>
      <c r="I570" s="3"/>
      <c r="AS570" s="4"/>
      <c r="AT570" s="4"/>
    </row>
    <row r="571" spans="1:46" ht="16.5" customHeight="1">
      <c r="A571" s="4"/>
      <c r="C571" s="4"/>
      <c r="E571" s="4"/>
      <c r="G571" s="3"/>
      <c r="H571" s="3"/>
      <c r="I571" s="3"/>
      <c r="AS571" s="4"/>
      <c r="AT571" s="4"/>
    </row>
    <row r="572" spans="1:46" ht="16.5" customHeight="1">
      <c r="A572" s="4"/>
      <c r="C572" s="4"/>
      <c r="E572" s="4"/>
      <c r="G572" s="3"/>
      <c r="H572" s="3"/>
      <c r="I572" s="3"/>
      <c r="AS572" s="4"/>
      <c r="AT572" s="4"/>
    </row>
    <row r="573" spans="1:46" ht="16.5" customHeight="1">
      <c r="A573" s="4"/>
      <c r="C573" s="4"/>
      <c r="E573" s="4"/>
      <c r="G573" s="3"/>
      <c r="H573" s="3"/>
      <c r="I573" s="3"/>
      <c r="AS573" s="4"/>
      <c r="AT573" s="4"/>
    </row>
    <row r="574" spans="1:46" ht="16.5" customHeight="1">
      <c r="A574" s="4"/>
      <c r="C574" s="4"/>
      <c r="E574" s="4"/>
      <c r="G574" s="3"/>
      <c r="H574" s="3"/>
      <c r="I574" s="3"/>
      <c r="AS574" s="4"/>
      <c r="AT574" s="4"/>
    </row>
    <row r="575" spans="1:46" ht="16.5" customHeight="1">
      <c r="A575" s="4"/>
      <c r="C575" s="4"/>
      <c r="E575" s="4"/>
      <c r="G575" s="3"/>
      <c r="H575" s="3"/>
      <c r="I575" s="3"/>
      <c r="AS575" s="4"/>
      <c r="AT575" s="4"/>
    </row>
    <row r="576" spans="1:46" ht="16.5" customHeight="1">
      <c r="A576" s="4"/>
      <c r="C576" s="4"/>
      <c r="E576" s="4"/>
      <c r="G576" s="3"/>
      <c r="H576" s="3"/>
      <c r="I576" s="3"/>
      <c r="AS576" s="4"/>
      <c r="AT576" s="4"/>
    </row>
    <row r="577" spans="1:46" ht="16.5" customHeight="1">
      <c r="A577" s="4"/>
      <c r="C577" s="4"/>
      <c r="E577" s="4"/>
      <c r="G577" s="3"/>
      <c r="H577" s="3"/>
      <c r="I577" s="3"/>
      <c r="AS577" s="4"/>
      <c r="AT577" s="4"/>
    </row>
    <row r="578" spans="1:46" ht="16.5" customHeight="1">
      <c r="A578" s="4"/>
      <c r="C578" s="4"/>
      <c r="E578" s="4"/>
      <c r="G578" s="3"/>
      <c r="H578" s="3"/>
      <c r="I578" s="3"/>
      <c r="AS578" s="4"/>
      <c r="AT578" s="4"/>
    </row>
    <row r="579" spans="1:46" ht="16.5" customHeight="1">
      <c r="A579" s="4"/>
      <c r="C579" s="4"/>
      <c r="E579" s="4"/>
      <c r="G579" s="3"/>
      <c r="H579" s="3"/>
      <c r="I579" s="3"/>
      <c r="AS579" s="4"/>
      <c r="AT579" s="4"/>
    </row>
    <row r="580" spans="1:46" ht="16.5" customHeight="1">
      <c r="A580" s="4"/>
      <c r="C580" s="4"/>
      <c r="E580" s="4"/>
      <c r="G580" s="3"/>
      <c r="H580" s="3"/>
      <c r="I580" s="3"/>
      <c r="AS580" s="4"/>
      <c r="AT580" s="4"/>
    </row>
    <row r="581" spans="1:46" ht="16.5" customHeight="1">
      <c r="A581" s="4"/>
      <c r="C581" s="4"/>
      <c r="E581" s="4"/>
      <c r="G581" s="3"/>
      <c r="H581" s="3"/>
      <c r="I581" s="3"/>
      <c r="AS581" s="4"/>
      <c r="AT581" s="4"/>
    </row>
    <row r="582" spans="1:46" ht="16.5" customHeight="1">
      <c r="A582" s="4"/>
      <c r="C582" s="4"/>
      <c r="E582" s="4"/>
      <c r="G582" s="3"/>
      <c r="H582" s="3"/>
      <c r="I582" s="3"/>
      <c r="AS582" s="4"/>
      <c r="AT582" s="4"/>
    </row>
    <row r="583" spans="1:46" ht="16.5" customHeight="1">
      <c r="A583" s="4"/>
      <c r="C583" s="4"/>
      <c r="E583" s="4"/>
      <c r="G583" s="3"/>
      <c r="H583" s="3"/>
      <c r="I583" s="3"/>
      <c r="AS583" s="4"/>
      <c r="AT583" s="4"/>
    </row>
    <row r="584" spans="1:46" ht="16.5" customHeight="1">
      <c r="A584" s="4"/>
      <c r="C584" s="4"/>
      <c r="E584" s="4"/>
      <c r="G584" s="3"/>
      <c r="H584" s="3"/>
      <c r="I584" s="3"/>
      <c r="AS584" s="4"/>
      <c r="AT584" s="4"/>
    </row>
    <row r="585" spans="1:46" ht="16.5" customHeight="1">
      <c r="A585" s="4"/>
      <c r="C585" s="4"/>
      <c r="E585" s="4"/>
      <c r="G585" s="3"/>
      <c r="H585" s="3"/>
      <c r="I585" s="3"/>
      <c r="AS585" s="4"/>
      <c r="AT585" s="4"/>
    </row>
    <row r="586" spans="1:46" ht="16.5" customHeight="1">
      <c r="A586" s="4"/>
      <c r="C586" s="4"/>
      <c r="E586" s="4"/>
      <c r="G586" s="3"/>
      <c r="H586" s="3"/>
      <c r="I586" s="3"/>
      <c r="AS586" s="4"/>
      <c r="AT586" s="4"/>
    </row>
    <row r="587" spans="1:46" ht="16.5" customHeight="1">
      <c r="A587" s="4"/>
      <c r="C587" s="4"/>
      <c r="E587" s="4"/>
      <c r="G587" s="3"/>
      <c r="H587" s="3"/>
      <c r="I587" s="3"/>
      <c r="AS587" s="4"/>
      <c r="AT587" s="4"/>
    </row>
    <row r="588" spans="1:46" ht="16.5" customHeight="1">
      <c r="A588" s="4"/>
      <c r="C588" s="4"/>
      <c r="E588" s="4"/>
      <c r="G588" s="3"/>
      <c r="H588" s="3"/>
      <c r="I588" s="3"/>
      <c r="AS588" s="4"/>
      <c r="AT588" s="4"/>
    </row>
    <row r="589" spans="1:46" ht="16.5" customHeight="1">
      <c r="A589" s="4"/>
      <c r="C589" s="4"/>
      <c r="E589" s="4"/>
      <c r="G589" s="3"/>
      <c r="H589" s="3"/>
      <c r="I589" s="3"/>
      <c r="AS589" s="4"/>
      <c r="AT589" s="4"/>
    </row>
    <row r="590" spans="1:46" ht="16.5" customHeight="1">
      <c r="A590" s="4"/>
      <c r="C590" s="4"/>
      <c r="E590" s="4"/>
      <c r="G590" s="3"/>
      <c r="H590" s="3"/>
      <c r="I590" s="3"/>
      <c r="AS590" s="4"/>
      <c r="AT590" s="4"/>
    </row>
    <row r="591" spans="1:46" ht="16.5" customHeight="1">
      <c r="A591" s="4"/>
      <c r="C591" s="4"/>
      <c r="E591" s="4"/>
      <c r="G591" s="3"/>
      <c r="H591" s="3"/>
      <c r="I591" s="3"/>
      <c r="AS591" s="4"/>
      <c r="AT591" s="4"/>
    </row>
    <row r="592" spans="1:46" ht="16.5" customHeight="1">
      <c r="A592" s="4"/>
      <c r="C592" s="4"/>
      <c r="E592" s="4"/>
      <c r="G592" s="3"/>
      <c r="H592" s="3"/>
      <c r="I592" s="3"/>
      <c r="AS592" s="4"/>
      <c r="AT592" s="4"/>
    </row>
    <row r="593" spans="1:46" ht="16.5" customHeight="1">
      <c r="A593" s="4"/>
      <c r="C593" s="4"/>
      <c r="E593" s="4"/>
      <c r="G593" s="3"/>
      <c r="H593" s="3"/>
      <c r="I593" s="3"/>
      <c r="AS593" s="4"/>
      <c r="AT593" s="4"/>
    </row>
    <row r="594" spans="1:46" ht="16.5" customHeight="1">
      <c r="A594" s="4"/>
      <c r="C594" s="4"/>
      <c r="E594" s="4"/>
      <c r="G594" s="3"/>
      <c r="H594" s="3"/>
      <c r="I594" s="3"/>
      <c r="AS594" s="4"/>
      <c r="AT594" s="4"/>
    </row>
    <row r="595" spans="1:46" ht="16.5" customHeight="1">
      <c r="A595" s="4"/>
      <c r="C595" s="4"/>
      <c r="E595" s="4"/>
      <c r="G595" s="3"/>
      <c r="H595" s="3"/>
      <c r="I595" s="3"/>
      <c r="AS595" s="4"/>
      <c r="AT595" s="4"/>
    </row>
    <row r="596" spans="1:46" ht="16.5" customHeight="1">
      <c r="A596" s="4"/>
      <c r="C596" s="4"/>
      <c r="E596" s="4"/>
      <c r="G596" s="3"/>
      <c r="H596" s="3"/>
      <c r="I596" s="3"/>
      <c r="AS596" s="4"/>
      <c r="AT596" s="4"/>
    </row>
    <row r="597" spans="1:46" ht="16.5" customHeight="1">
      <c r="A597" s="4"/>
      <c r="C597" s="4"/>
      <c r="E597" s="4"/>
      <c r="G597" s="3"/>
      <c r="H597" s="3"/>
      <c r="I597" s="3"/>
      <c r="AS597" s="4"/>
      <c r="AT597" s="4"/>
    </row>
    <row r="598" spans="1:46" ht="16.5" customHeight="1">
      <c r="A598" s="4"/>
      <c r="C598" s="4"/>
      <c r="E598" s="4"/>
      <c r="G598" s="3"/>
      <c r="H598" s="3"/>
      <c r="I598" s="3"/>
      <c r="AS598" s="4"/>
      <c r="AT598" s="4"/>
    </row>
    <row r="599" spans="1:46" ht="16.5" customHeight="1">
      <c r="A599" s="4"/>
      <c r="C599" s="4"/>
      <c r="E599" s="4"/>
      <c r="G599" s="3"/>
      <c r="H599" s="3"/>
      <c r="I599" s="3"/>
      <c r="AS599" s="4"/>
      <c r="AT599" s="4"/>
    </row>
    <row r="600" spans="1:46" ht="16.5" customHeight="1">
      <c r="A600" s="4"/>
      <c r="C600" s="4"/>
      <c r="E600" s="4"/>
      <c r="G600" s="3"/>
      <c r="H600" s="3"/>
      <c r="I600" s="3"/>
      <c r="AS600" s="4"/>
      <c r="AT600" s="4"/>
    </row>
    <row r="601" spans="1:46" ht="16.5" customHeight="1">
      <c r="A601" s="4"/>
      <c r="C601" s="4"/>
      <c r="E601" s="4"/>
      <c r="G601" s="3"/>
      <c r="H601" s="3"/>
      <c r="I601" s="3"/>
      <c r="AS601" s="4"/>
      <c r="AT601" s="4"/>
    </row>
    <row r="602" spans="1:46" ht="16.5" customHeight="1">
      <c r="A602" s="4"/>
      <c r="C602" s="4"/>
      <c r="E602" s="4"/>
      <c r="G602" s="3"/>
      <c r="H602" s="3"/>
      <c r="I602" s="3"/>
      <c r="AS602" s="4"/>
      <c r="AT602" s="4"/>
    </row>
    <row r="603" spans="1:46" ht="16.5" customHeight="1">
      <c r="A603" s="4"/>
      <c r="C603" s="4"/>
      <c r="E603" s="4"/>
      <c r="G603" s="3"/>
      <c r="H603" s="3"/>
      <c r="I603" s="3"/>
      <c r="AS603" s="4"/>
      <c r="AT603" s="4"/>
    </row>
    <row r="604" spans="1:46" ht="16.5" customHeight="1">
      <c r="A604" s="4"/>
      <c r="C604" s="4"/>
      <c r="E604" s="4"/>
      <c r="G604" s="3"/>
      <c r="H604" s="3"/>
      <c r="I604" s="3"/>
      <c r="AS604" s="4"/>
      <c r="AT604" s="4"/>
    </row>
    <row r="605" spans="1:46" ht="16.5" customHeight="1">
      <c r="A605" s="4"/>
      <c r="C605" s="4"/>
      <c r="E605" s="4"/>
      <c r="G605" s="3"/>
      <c r="H605" s="3"/>
      <c r="I605" s="3"/>
      <c r="AS605" s="4"/>
      <c r="AT605" s="4"/>
    </row>
    <row r="606" spans="1:46" ht="16.5" customHeight="1">
      <c r="A606" s="4"/>
      <c r="C606" s="4"/>
      <c r="E606" s="4"/>
      <c r="G606" s="3"/>
      <c r="H606" s="3"/>
      <c r="I606" s="3"/>
      <c r="AS606" s="4"/>
      <c r="AT606" s="4"/>
    </row>
    <row r="607" spans="1:46" ht="16.5" customHeight="1">
      <c r="A607" s="4"/>
      <c r="C607" s="4"/>
      <c r="E607" s="4"/>
      <c r="G607" s="3"/>
      <c r="H607" s="3"/>
      <c r="I607" s="3"/>
      <c r="AS607" s="4"/>
      <c r="AT607" s="4"/>
    </row>
    <row r="608" spans="1:46" ht="16.5" customHeight="1">
      <c r="A608" s="4"/>
      <c r="C608" s="4"/>
      <c r="E608" s="4"/>
      <c r="G608" s="3"/>
      <c r="H608" s="3"/>
      <c r="I608" s="3"/>
      <c r="AS608" s="4"/>
      <c r="AT608" s="4"/>
    </row>
    <row r="609" spans="1:46" ht="16.5" customHeight="1">
      <c r="A609" s="4"/>
      <c r="C609" s="4"/>
      <c r="E609" s="4"/>
      <c r="G609" s="3"/>
      <c r="H609" s="3"/>
      <c r="I609" s="3"/>
      <c r="AS609" s="4"/>
      <c r="AT609" s="4"/>
    </row>
    <row r="610" spans="1:46" ht="16.5" customHeight="1">
      <c r="A610" s="4"/>
      <c r="C610" s="4"/>
      <c r="E610" s="4"/>
      <c r="G610" s="3"/>
      <c r="H610" s="3"/>
      <c r="I610" s="3"/>
      <c r="AS610" s="4"/>
      <c r="AT610" s="4"/>
    </row>
    <row r="611" spans="1:46" ht="16.5" customHeight="1">
      <c r="A611" s="4"/>
      <c r="C611" s="4"/>
      <c r="E611" s="4"/>
      <c r="G611" s="3"/>
      <c r="H611" s="3"/>
      <c r="I611" s="3"/>
      <c r="AS611" s="4"/>
      <c r="AT611" s="4"/>
    </row>
    <row r="612" spans="1:46" ht="16.5" customHeight="1">
      <c r="A612" s="4"/>
      <c r="C612" s="4"/>
      <c r="E612" s="4"/>
      <c r="G612" s="3"/>
      <c r="H612" s="3"/>
      <c r="I612" s="3"/>
      <c r="AS612" s="4"/>
      <c r="AT612" s="4"/>
    </row>
    <row r="613" spans="1:46" ht="16.5" customHeight="1">
      <c r="A613" s="4"/>
      <c r="C613" s="4"/>
      <c r="E613" s="4"/>
      <c r="G613" s="3"/>
      <c r="H613" s="3"/>
      <c r="I613" s="3"/>
      <c r="AS613" s="4"/>
      <c r="AT613" s="4"/>
    </row>
    <row r="614" spans="1:46" ht="16.5" customHeight="1">
      <c r="A614" s="4"/>
      <c r="C614" s="4"/>
      <c r="E614" s="4"/>
      <c r="G614" s="3"/>
      <c r="H614" s="3"/>
      <c r="I614" s="3"/>
      <c r="AS614" s="4"/>
      <c r="AT614" s="4"/>
    </row>
    <row r="615" spans="1:46" ht="16.5" customHeight="1">
      <c r="A615" s="4"/>
      <c r="C615" s="4"/>
      <c r="E615" s="4"/>
      <c r="G615" s="3"/>
      <c r="H615" s="3"/>
      <c r="I615" s="3"/>
      <c r="AS615" s="4"/>
      <c r="AT615" s="4"/>
    </row>
    <row r="616" spans="1:46" ht="16.5" customHeight="1">
      <c r="A616" s="4"/>
      <c r="C616" s="4"/>
      <c r="E616" s="4"/>
      <c r="G616" s="3"/>
      <c r="H616" s="3"/>
      <c r="I616" s="3"/>
      <c r="AS616" s="4"/>
      <c r="AT616" s="4"/>
    </row>
    <row r="617" spans="1:46" ht="16.5" customHeight="1">
      <c r="A617" s="4"/>
      <c r="C617" s="4"/>
      <c r="E617" s="4"/>
      <c r="G617" s="3"/>
      <c r="H617" s="3"/>
      <c r="I617" s="3"/>
      <c r="AS617" s="4"/>
      <c r="AT617" s="4"/>
    </row>
    <row r="618" spans="1:46" ht="16.5" customHeight="1">
      <c r="A618" s="4"/>
      <c r="C618" s="4"/>
      <c r="E618" s="4"/>
      <c r="G618" s="3"/>
      <c r="H618" s="3"/>
      <c r="I618" s="3"/>
      <c r="AS618" s="4"/>
      <c r="AT618" s="4"/>
    </row>
    <row r="619" spans="1:46" ht="16.5" customHeight="1">
      <c r="A619" s="4"/>
      <c r="C619" s="4"/>
      <c r="E619" s="4"/>
      <c r="G619" s="3"/>
      <c r="H619" s="3"/>
      <c r="I619" s="3"/>
      <c r="AS619" s="4"/>
      <c r="AT619" s="4"/>
    </row>
    <row r="620" spans="1:46" ht="16.5" customHeight="1">
      <c r="A620" s="4"/>
      <c r="C620" s="4"/>
      <c r="E620" s="4"/>
      <c r="G620" s="3"/>
      <c r="H620" s="3"/>
      <c r="I620" s="3"/>
      <c r="AS620" s="4"/>
      <c r="AT620" s="4"/>
    </row>
    <row r="621" spans="1:46" ht="16.5" customHeight="1">
      <c r="A621" s="4"/>
      <c r="C621" s="4"/>
      <c r="E621" s="4"/>
      <c r="G621" s="3"/>
      <c r="H621" s="3"/>
      <c r="I621" s="3"/>
      <c r="AS621" s="4"/>
      <c r="AT621" s="4"/>
    </row>
    <row r="622" spans="1:46" ht="16.5" customHeight="1">
      <c r="A622" s="4"/>
      <c r="C622" s="4"/>
      <c r="E622" s="4"/>
      <c r="G622" s="3"/>
      <c r="H622" s="3"/>
      <c r="I622" s="3"/>
      <c r="AS622" s="4"/>
      <c r="AT622" s="4"/>
    </row>
    <row r="623" spans="1:46" ht="16.5" customHeight="1">
      <c r="A623" s="4"/>
      <c r="C623" s="4"/>
      <c r="E623" s="4"/>
      <c r="G623" s="3"/>
      <c r="H623" s="3"/>
      <c r="I623" s="3"/>
      <c r="AS623" s="4"/>
      <c r="AT623" s="4"/>
    </row>
    <row r="624" spans="1:46" ht="16.5" customHeight="1">
      <c r="A624" s="4"/>
      <c r="C624" s="4"/>
      <c r="E624" s="4"/>
      <c r="G624" s="3"/>
      <c r="H624" s="3"/>
      <c r="I624" s="3"/>
      <c r="AS624" s="4"/>
      <c r="AT624" s="4"/>
    </row>
    <row r="625" spans="1:46" ht="16.5" customHeight="1">
      <c r="A625" s="4"/>
      <c r="C625" s="4"/>
      <c r="E625" s="4"/>
      <c r="G625" s="3"/>
      <c r="H625" s="3"/>
      <c r="I625" s="3"/>
      <c r="AS625" s="4"/>
      <c r="AT625" s="4"/>
    </row>
    <row r="626" spans="1:46" ht="16.5" customHeight="1">
      <c r="A626" s="4"/>
      <c r="C626" s="4"/>
      <c r="E626" s="4"/>
      <c r="G626" s="3"/>
      <c r="H626" s="3"/>
      <c r="I626" s="3"/>
      <c r="AS626" s="4"/>
      <c r="AT626" s="4"/>
    </row>
    <row r="627" spans="1:46" ht="16.5" customHeight="1">
      <c r="A627" s="4"/>
      <c r="C627" s="4"/>
      <c r="E627" s="4"/>
      <c r="G627" s="3"/>
      <c r="H627" s="3"/>
      <c r="I627" s="3"/>
      <c r="AS627" s="4"/>
      <c r="AT627" s="4"/>
    </row>
    <row r="628" spans="1:46" ht="16.5" customHeight="1">
      <c r="A628" s="4"/>
      <c r="C628" s="4"/>
      <c r="E628" s="4"/>
      <c r="G628" s="3"/>
      <c r="H628" s="3"/>
      <c r="I628" s="3"/>
      <c r="AS628" s="4"/>
      <c r="AT628" s="4"/>
    </row>
    <row r="629" spans="1:46" ht="16.5" customHeight="1">
      <c r="A629" s="4"/>
      <c r="C629" s="4"/>
      <c r="E629" s="4"/>
      <c r="G629" s="3"/>
      <c r="H629" s="3"/>
      <c r="I629" s="3"/>
      <c r="AS629" s="4"/>
      <c r="AT629" s="4"/>
    </row>
    <row r="630" spans="1:46" ht="16.5" customHeight="1">
      <c r="A630" s="4"/>
      <c r="C630" s="4"/>
      <c r="E630" s="4"/>
      <c r="G630" s="3"/>
      <c r="H630" s="3"/>
      <c r="I630" s="3"/>
      <c r="AS630" s="4"/>
      <c r="AT630" s="4"/>
    </row>
    <row r="631" spans="1:46" ht="16.5" customHeight="1">
      <c r="A631" s="4"/>
      <c r="C631" s="4"/>
      <c r="E631" s="4"/>
      <c r="G631" s="3"/>
      <c r="H631" s="3"/>
      <c r="I631" s="3"/>
      <c r="AS631" s="4"/>
      <c r="AT631" s="4"/>
    </row>
    <row r="632" spans="1:46" ht="16.5" customHeight="1">
      <c r="A632" s="4"/>
      <c r="C632" s="4"/>
      <c r="E632" s="4"/>
      <c r="G632" s="3"/>
      <c r="H632" s="3"/>
      <c r="I632" s="3"/>
      <c r="AS632" s="4"/>
      <c r="AT632" s="4"/>
    </row>
    <row r="633" spans="1:46" ht="16.5" customHeight="1">
      <c r="A633" s="4"/>
      <c r="C633" s="4"/>
      <c r="E633" s="4"/>
      <c r="G633" s="3"/>
      <c r="H633" s="3"/>
      <c r="I633" s="3"/>
      <c r="AS633" s="4"/>
      <c r="AT633" s="4"/>
    </row>
    <row r="634" spans="1:46" ht="16.5" customHeight="1">
      <c r="A634" s="4"/>
      <c r="C634" s="4"/>
      <c r="E634" s="4"/>
      <c r="G634" s="3"/>
      <c r="H634" s="3"/>
      <c r="I634" s="3"/>
      <c r="AS634" s="4"/>
      <c r="AT634" s="4"/>
    </row>
    <row r="635" spans="1:46" ht="16.5" customHeight="1">
      <c r="A635" s="4"/>
      <c r="C635" s="4"/>
      <c r="E635" s="4"/>
      <c r="G635" s="3"/>
      <c r="H635" s="3"/>
      <c r="I635" s="3"/>
      <c r="AS635" s="4"/>
      <c r="AT635" s="4"/>
    </row>
    <row r="636" spans="1:46" ht="16.5" customHeight="1">
      <c r="A636" s="4"/>
      <c r="C636" s="4"/>
      <c r="E636" s="4"/>
      <c r="G636" s="3"/>
      <c r="H636" s="3"/>
      <c r="I636" s="3"/>
      <c r="AS636" s="4"/>
      <c r="AT636" s="4"/>
    </row>
    <row r="637" spans="1:46" ht="16.5" customHeight="1">
      <c r="A637" s="4"/>
      <c r="C637" s="4"/>
      <c r="E637" s="4"/>
      <c r="G637" s="3"/>
      <c r="H637" s="3"/>
      <c r="I637" s="3"/>
      <c r="AS637" s="4"/>
      <c r="AT637" s="4"/>
    </row>
    <row r="638" spans="1:46" ht="16.5" customHeight="1">
      <c r="A638" s="4"/>
      <c r="C638" s="4"/>
      <c r="E638" s="4"/>
      <c r="G638" s="3"/>
      <c r="H638" s="3"/>
      <c r="I638" s="3"/>
      <c r="AS638" s="4"/>
      <c r="AT638" s="4"/>
    </row>
    <row r="639" spans="1:46" ht="16.5" customHeight="1">
      <c r="A639" s="4"/>
      <c r="C639" s="4"/>
      <c r="E639" s="4"/>
      <c r="G639" s="3"/>
      <c r="H639" s="3"/>
      <c r="I639" s="3"/>
      <c r="AS639" s="4"/>
      <c r="AT639" s="4"/>
    </row>
    <row r="640" spans="1:46" ht="16.5" customHeight="1">
      <c r="A640" s="4"/>
      <c r="C640" s="4"/>
      <c r="E640" s="4"/>
      <c r="G640" s="3"/>
      <c r="H640" s="3"/>
      <c r="I640" s="3"/>
      <c r="AS640" s="4"/>
      <c r="AT640" s="4"/>
    </row>
    <row r="641" spans="1:46" ht="16.5" customHeight="1">
      <c r="A641" s="4"/>
      <c r="C641" s="4"/>
      <c r="E641" s="4"/>
      <c r="G641" s="3"/>
      <c r="H641" s="3"/>
      <c r="I641" s="3"/>
      <c r="AS641" s="4"/>
      <c r="AT641" s="4"/>
    </row>
    <row r="642" spans="1:46" ht="16.5" customHeight="1">
      <c r="A642" s="4"/>
      <c r="C642" s="4"/>
      <c r="E642" s="4"/>
      <c r="G642" s="3"/>
      <c r="H642" s="3"/>
      <c r="I642" s="3"/>
      <c r="AS642" s="4"/>
      <c r="AT642" s="4"/>
    </row>
    <row r="643" spans="1:46" ht="16.5" customHeight="1">
      <c r="A643" s="4"/>
      <c r="C643" s="4"/>
      <c r="E643" s="4"/>
      <c r="G643" s="3"/>
      <c r="H643" s="3"/>
      <c r="I643" s="3"/>
      <c r="AS643" s="4"/>
      <c r="AT643" s="4"/>
    </row>
    <row r="644" spans="1:46" ht="16.5" customHeight="1">
      <c r="A644" s="4"/>
      <c r="C644" s="4"/>
      <c r="E644" s="4"/>
      <c r="G644" s="3"/>
      <c r="H644" s="3"/>
      <c r="I644" s="3"/>
      <c r="AS644" s="4"/>
      <c r="AT644" s="4"/>
    </row>
    <row r="645" spans="1:46" ht="16.5" customHeight="1">
      <c r="A645" s="4"/>
      <c r="C645" s="4"/>
      <c r="E645" s="4"/>
      <c r="G645" s="3"/>
      <c r="H645" s="3"/>
      <c r="I645" s="3"/>
      <c r="AS645" s="4"/>
      <c r="AT645" s="4"/>
    </row>
    <row r="646" spans="1:46" ht="16.5" customHeight="1">
      <c r="A646" s="4"/>
      <c r="C646" s="4"/>
      <c r="E646" s="4"/>
      <c r="G646" s="3"/>
      <c r="H646" s="3"/>
      <c r="I646" s="3"/>
      <c r="AS646" s="4"/>
      <c r="AT646" s="4"/>
    </row>
    <row r="647" spans="1:46" ht="16.5" customHeight="1">
      <c r="A647" s="4"/>
      <c r="C647" s="4"/>
      <c r="E647" s="4"/>
      <c r="G647" s="3"/>
      <c r="H647" s="3"/>
      <c r="I647" s="3"/>
      <c r="AS647" s="4"/>
      <c r="AT647" s="4"/>
    </row>
    <row r="648" spans="1:46" ht="16.5" customHeight="1">
      <c r="A648" s="4"/>
      <c r="C648" s="4"/>
      <c r="E648" s="4"/>
      <c r="G648" s="3"/>
      <c r="H648" s="3"/>
      <c r="I648" s="3"/>
      <c r="AS648" s="4"/>
      <c r="AT648" s="4"/>
    </row>
    <row r="649" spans="1:46" ht="16.5" customHeight="1">
      <c r="A649" s="4"/>
      <c r="C649" s="4"/>
      <c r="E649" s="4"/>
      <c r="G649" s="3"/>
      <c r="H649" s="3"/>
      <c r="I649" s="3"/>
      <c r="AS649" s="4"/>
      <c r="AT649" s="4"/>
    </row>
    <row r="650" spans="1:46" ht="16.5" customHeight="1">
      <c r="A650" s="4"/>
      <c r="C650" s="4"/>
      <c r="E650" s="4"/>
      <c r="G650" s="3"/>
      <c r="H650" s="3"/>
      <c r="I650" s="3"/>
      <c r="AS650" s="4"/>
      <c r="AT650" s="4"/>
    </row>
    <row r="651" spans="1:46" ht="16.5" customHeight="1">
      <c r="A651" s="4"/>
      <c r="C651" s="4"/>
      <c r="E651" s="4"/>
      <c r="G651" s="3"/>
      <c r="H651" s="3"/>
      <c r="I651" s="3"/>
      <c r="AS651" s="4"/>
      <c r="AT651" s="4"/>
    </row>
    <row r="652" spans="1:46" ht="16.5" customHeight="1">
      <c r="A652" s="4"/>
      <c r="C652" s="4"/>
      <c r="E652" s="4"/>
      <c r="G652" s="3"/>
      <c r="H652" s="3"/>
      <c r="I652" s="3"/>
      <c r="AS652" s="4"/>
      <c r="AT652" s="4"/>
    </row>
    <row r="653" spans="1:46" ht="16.5" customHeight="1">
      <c r="A653" s="4"/>
      <c r="C653" s="4"/>
      <c r="E653" s="4"/>
      <c r="G653" s="3"/>
      <c r="H653" s="3"/>
      <c r="I653" s="3"/>
      <c r="AS653" s="4"/>
      <c r="AT653" s="4"/>
    </row>
    <row r="654" spans="1:46" ht="16.5" customHeight="1">
      <c r="A654" s="4"/>
      <c r="C654" s="4"/>
      <c r="E654" s="4"/>
      <c r="G654" s="3"/>
      <c r="H654" s="3"/>
      <c r="I654" s="3"/>
      <c r="AS654" s="4"/>
      <c r="AT654" s="4"/>
    </row>
    <row r="655" spans="1:46" ht="16.5" customHeight="1">
      <c r="A655" s="4"/>
      <c r="C655" s="4"/>
      <c r="E655" s="4"/>
      <c r="G655" s="3"/>
      <c r="H655" s="3"/>
      <c r="I655" s="3"/>
      <c r="AS655" s="4"/>
      <c r="AT655" s="4"/>
    </row>
    <row r="656" spans="1:46" ht="16.5" customHeight="1">
      <c r="A656" s="4"/>
      <c r="C656" s="4"/>
      <c r="E656" s="4"/>
      <c r="G656" s="3"/>
      <c r="H656" s="3"/>
      <c r="I656" s="3"/>
      <c r="AS656" s="4"/>
      <c r="AT656" s="4"/>
    </row>
    <row r="657" spans="1:46" ht="16.5" customHeight="1">
      <c r="A657" s="4"/>
      <c r="C657" s="4"/>
      <c r="E657" s="4"/>
      <c r="G657" s="3"/>
      <c r="H657" s="3"/>
      <c r="I657" s="3"/>
      <c r="AS657" s="4"/>
      <c r="AT657" s="4"/>
    </row>
    <row r="658" spans="1:46" ht="16.5" customHeight="1">
      <c r="A658" s="4"/>
      <c r="C658" s="4"/>
      <c r="E658" s="4"/>
      <c r="G658" s="3"/>
      <c r="H658" s="3"/>
      <c r="I658" s="3"/>
      <c r="AS658" s="4"/>
      <c r="AT658" s="4"/>
    </row>
    <row r="659" spans="1:46" ht="16.5" customHeight="1">
      <c r="A659" s="4"/>
      <c r="C659" s="4"/>
      <c r="E659" s="4"/>
      <c r="G659" s="3"/>
      <c r="H659" s="3"/>
      <c r="I659" s="3"/>
      <c r="AS659" s="4"/>
      <c r="AT659" s="4"/>
    </row>
    <row r="660" spans="1:46" ht="16.5" customHeight="1">
      <c r="A660" s="4"/>
      <c r="C660" s="4"/>
      <c r="E660" s="4"/>
      <c r="G660" s="3"/>
      <c r="H660" s="3"/>
      <c r="I660" s="3"/>
      <c r="AS660" s="4"/>
      <c r="AT660" s="4"/>
    </row>
    <row r="661" spans="1:46" ht="16.5" customHeight="1">
      <c r="A661" s="4"/>
      <c r="C661" s="4"/>
      <c r="E661" s="4"/>
      <c r="G661" s="3"/>
      <c r="H661" s="3"/>
      <c r="I661" s="3"/>
      <c r="AS661" s="4"/>
      <c r="AT661" s="4"/>
    </row>
    <row r="662" spans="1:46" ht="16.5" customHeight="1">
      <c r="A662" s="4"/>
      <c r="C662" s="4"/>
      <c r="E662" s="4"/>
      <c r="G662" s="3"/>
      <c r="H662" s="3"/>
      <c r="I662" s="3"/>
      <c r="AS662" s="4"/>
      <c r="AT662" s="4"/>
    </row>
    <row r="663" spans="1:46" ht="16.5" customHeight="1">
      <c r="A663" s="4"/>
      <c r="C663" s="4"/>
      <c r="E663" s="4"/>
      <c r="G663" s="3"/>
      <c r="H663" s="3"/>
      <c r="I663" s="3"/>
      <c r="AS663" s="4"/>
      <c r="AT663" s="4"/>
    </row>
    <row r="664" spans="1:46" ht="16.5" customHeight="1">
      <c r="A664" s="4"/>
      <c r="C664" s="4"/>
      <c r="E664" s="4"/>
      <c r="G664" s="3"/>
      <c r="H664" s="3"/>
      <c r="I664" s="3"/>
      <c r="AS664" s="4"/>
      <c r="AT664" s="4"/>
    </row>
    <row r="665" spans="1:46" ht="16.5" customHeight="1">
      <c r="A665" s="4"/>
      <c r="C665" s="4"/>
      <c r="E665" s="4"/>
      <c r="G665" s="3"/>
      <c r="H665" s="3"/>
      <c r="I665" s="3"/>
      <c r="AS665" s="4"/>
      <c r="AT665" s="4"/>
    </row>
    <row r="666" spans="1:46" ht="16.5" customHeight="1">
      <c r="A666" s="4"/>
      <c r="C666" s="4"/>
      <c r="E666" s="4"/>
      <c r="G666" s="3"/>
      <c r="H666" s="3"/>
      <c r="I666" s="3"/>
      <c r="AS666" s="4"/>
      <c r="AT666" s="4"/>
    </row>
    <row r="667" spans="1:46" ht="16.5" customHeight="1">
      <c r="A667" s="4"/>
      <c r="C667" s="4"/>
      <c r="E667" s="4"/>
      <c r="G667" s="3"/>
      <c r="H667" s="3"/>
      <c r="I667" s="3"/>
      <c r="AS667" s="4"/>
      <c r="AT667" s="4"/>
    </row>
    <row r="668" spans="1:46" ht="16.5" customHeight="1">
      <c r="A668" s="4"/>
      <c r="C668" s="4"/>
      <c r="E668" s="4"/>
      <c r="G668" s="3"/>
      <c r="H668" s="3"/>
      <c r="I668" s="3"/>
      <c r="AS668" s="4"/>
      <c r="AT668" s="4"/>
    </row>
    <row r="669" spans="1:46" ht="16.5" customHeight="1">
      <c r="A669" s="4"/>
      <c r="C669" s="4"/>
      <c r="E669" s="4"/>
      <c r="G669" s="3"/>
      <c r="H669" s="3"/>
      <c r="I669" s="3"/>
      <c r="AS669" s="4"/>
      <c r="AT669" s="4"/>
    </row>
    <row r="670" spans="1:46" ht="16.5" customHeight="1">
      <c r="A670" s="4"/>
      <c r="C670" s="4"/>
      <c r="E670" s="4"/>
      <c r="G670" s="3"/>
      <c r="H670" s="3"/>
      <c r="I670" s="3"/>
      <c r="AS670" s="4"/>
      <c r="AT670" s="4"/>
    </row>
    <row r="671" spans="1:46" ht="16.5" customHeight="1">
      <c r="A671" s="4"/>
      <c r="C671" s="4"/>
      <c r="E671" s="4"/>
      <c r="G671" s="3"/>
      <c r="H671" s="3"/>
      <c r="I671" s="3"/>
      <c r="AS671" s="4"/>
      <c r="AT671" s="4"/>
    </row>
    <row r="672" spans="1:46" ht="16.5" customHeight="1">
      <c r="A672" s="4"/>
      <c r="C672" s="4"/>
      <c r="E672" s="4"/>
      <c r="G672" s="3"/>
      <c r="H672" s="3"/>
      <c r="I672" s="3"/>
      <c r="AS672" s="4"/>
      <c r="AT672" s="4"/>
    </row>
    <row r="673" spans="1:46" ht="16.5" customHeight="1">
      <c r="A673" s="4"/>
      <c r="C673" s="4"/>
      <c r="E673" s="4"/>
      <c r="G673" s="3"/>
      <c r="H673" s="3"/>
      <c r="I673" s="3"/>
      <c r="AS673" s="4"/>
      <c r="AT673" s="4"/>
    </row>
    <row r="674" spans="1:46" ht="16.5" customHeight="1">
      <c r="A674" s="4"/>
      <c r="C674" s="4"/>
      <c r="E674" s="4"/>
      <c r="G674" s="3"/>
      <c r="H674" s="3"/>
      <c r="I674" s="3"/>
      <c r="AS674" s="4"/>
      <c r="AT674" s="4"/>
    </row>
    <row r="675" spans="1:46" ht="16.5" customHeight="1">
      <c r="A675" s="4"/>
      <c r="C675" s="4"/>
      <c r="E675" s="4"/>
      <c r="G675" s="3"/>
      <c r="H675" s="3"/>
      <c r="I675" s="3"/>
      <c r="AS675" s="4"/>
      <c r="AT675" s="4"/>
    </row>
    <row r="676" spans="1:46" ht="16.5" customHeight="1">
      <c r="A676" s="4"/>
      <c r="C676" s="4"/>
      <c r="E676" s="4"/>
      <c r="G676" s="3"/>
      <c r="H676" s="3"/>
      <c r="I676" s="3"/>
      <c r="AS676" s="4"/>
      <c r="AT676" s="4"/>
    </row>
    <row r="677" spans="1:46" ht="16.5" customHeight="1">
      <c r="A677" s="4"/>
      <c r="C677" s="4"/>
      <c r="E677" s="4"/>
      <c r="G677" s="3"/>
      <c r="H677" s="3"/>
      <c r="I677" s="3"/>
      <c r="AS677" s="4"/>
      <c r="AT677" s="4"/>
    </row>
    <row r="678" spans="1:46" ht="16.5" customHeight="1">
      <c r="A678" s="4"/>
      <c r="C678" s="4"/>
      <c r="E678" s="4"/>
      <c r="G678" s="3"/>
      <c r="H678" s="3"/>
      <c r="I678" s="3"/>
      <c r="AS678" s="4"/>
      <c r="AT678" s="4"/>
    </row>
    <row r="679" spans="1:46" ht="16.5" customHeight="1">
      <c r="A679" s="4"/>
      <c r="C679" s="4"/>
      <c r="E679" s="4"/>
      <c r="G679" s="3"/>
      <c r="H679" s="3"/>
      <c r="I679" s="3"/>
      <c r="AS679" s="4"/>
      <c r="AT679" s="4"/>
    </row>
    <row r="680" spans="1:46" ht="16.5" customHeight="1">
      <c r="A680" s="4"/>
      <c r="C680" s="4"/>
      <c r="E680" s="4"/>
      <c r="G680" s="3"/>
      <c r="H680" s="3"/>
      <c r="I680" s="3"/>
      <c r="AS680" s="4"/>
      <c r="AT680" s="4"/>
    </row>
    <row r="681" spans="1:46" ht="16.5" customHeight="1">
      <c r="A681" s="4"/>
      <c r="C681" s="4"/>
      <c r="E681" s="4"/>
      <c r="G681" s="3"/>
      <c r="H681" s="3"/>
      <c r="I681" s="3"/>
      <c r="AS681" s="4"/>
      <c r="AT681" s="4"/>
    </row>
    <row r="682" spans="1:46" ht="16.5" customHeight="1">
      <c r="A682" s="4"/>
      <c r="C682" s="4"/>
      <c r="E682" s="4"/>
      <c r="G682" s="3"/>
      <c r="H682" s="3"/>
      <c r="I682" s="3"/>
      <c r="AS682" s="4"/>
      <c r="AT682" s="4"/>
    </row>
    <row r="683" spans="1:46" ht="16.5" customHeight="1">
      <c r="A683" s="4"/>
      <c r="C683" s="4"/>
      <c r="E683" s="4"/>
      <c r="G683" s="3"/>
      <c r="H683" s="3"/>
      <c r="I683" s="3"/>
      <c r="AS683" s="4"/>
      <c r="AT683" s="4"/>
    </row>
    <row r="684" spans="1:46" ht="16.5" customHeight="1">
      <c r="A684" s="4"/>
      <c r="C684" s="4"/>
      <c r="E684" s="4"/>
      <c r="G684" s="3"/>
      <c r="H684" s="3"/>
      <c r="I684" s="3"/>
      <c r="AS684" s="4"/>
      <c r="AT684" s="4"/>
    </row>
    <row r="685" spans="1:46" ht="16.5" customHeight="1">
      <c r="A685" s="4"/>
      <c r="C685" s="4"/>
      <c r="E685" s="4"/>
      <c r="G685" s="3"/>
      <c r="H685" s="3"/>
      <c r="I685" s="3"/>
      <c r="AS685" s="4"/>
      <c r="AT685" s="4"/>
    </row>
    <row r="686" spans="1:46" ht="16.5" customHeight="1">
      <c r="A686" s="4"/>
      <c r="C686" s="4"/>
      <c r="E686" s="4"/>
      <c r="G686" s="3"/>
      <c r="H686" s="3"/>
      <c r="I686" s="3"/>
      <c r="AS686" s="4"/>
      <c r="AT686" s="4"/>
    </row>
    <row r="687" spans="1:46" ht="16.5" customHeight="1">
      <c r="A687" s="4"/>
      <c r="C687" s="4"/>
      <c r="E687" s="4"/>
      <c r="G687" s="3"/>
      <c r="H687" s="3"/>
      <c r="I687" s="3"/>
      <c r="AS687" s="4"/>
      <c r="AT687" s="4"/>
    </row>
    <row r="688" spans="1:46" ht="16.5" customHeight="1">
      <c r="A688" s="4"/>
      <c r="C688" s="4"/>
      <c r="E688" s="4"/>
      <c r="G688" s="3"/>
      <c r="H688" s="3"/>
      <c r="I688" s="3"/>
      <c r="AS688" s="4"/>
      <c r="AT688" s="4"/>
    </row>
    <row r="689" spans="1:46" ht="16.5" customHeight="1">
      <c r="A689" s="4"/>
      <c r="C689" s="4"/>
      <c r="E689" s="4"/>
      <c r="G689" s="3"/>
      <c r="H689" s="3"/>
      <c r="I689" s="3"/>
      <c r="AS689" s="4"/>
      <c r="AT689" s="4"/>
    </row>
    <row r="690" spans="1:46" ht="16.5" customHeight="1">
      <c r="A690" s="4"/>
      <c r="C690" s="4"/>
      <c r="E690" s="4"/>
      <c r="G690" s="3"/>
      <c r="H690" s="3"/>
      <c r="I690" s="3"/>
      <c r="AS690" s="4"/>
      <c r="AT690" s="4"/>
    </row>
    <row r="691" spans="1:46" ht="16.5" customHeight="1">
      <c r="A691" s="4"/>
      <c r="C691" s="4"/>
      <c r="E691" s="4"/>
      <c r="G691" s="3"/>
      <c r="H691" s="3"/>
      <c r="I691" s="3"/>
      <c r="AS691" s="4"/>
      <c r="AT691" s="4"/>
    </row>
    <row r="692" spans="1:46" ht="16.5" customHeight="1">
      <c r="A692" s="4"/>
      <c r="C692" s="4"/>
      <c r="E692" s="4"/>
      <c r="G692" s="3"/>
      <c r="H692" s="3"/>
      <c r="I692" s="3"/>
      <c r="AS692" s="4"/>
      <c r="AT692" s="4"/>
    </row>
    <row r="693" spans="1:46" ht="16.5" customHeight="1">
      <c r="A693" s="4"/>
      <c r="C693" s="4"/>
      <c r="E693" s="4"/>
      <c r="G693" s="3"/>
      <c r="H693" s="3"/>
      <c r="I693" s="3"/>
      <c r="AS693" s="4"/>
      <c r="AT693" s="4"/>
    </row>
    <row r="694" spans="1:46" ht="16.5" customHeight="1">
      <c r="A694" s="4"/>
      <c r="C694" s="4"/>
      <c r="E694" s="4"/>
      <c r="G694" s="3"/>
      <c r="H694" s="3"/>
      <c r="I694" s="3"/>
      <c r="AS694" s="4"/>
      <c r="AT694" s="4"/>
    </row>
    <row r="695" spans="1:46" ht="16.5" customHeight="1">
      <c r="A695" s="4"/>
      <c r="C695" s="4"/>
      <c r="E695" s="4"/>
      <c r="G695" s="3"/>
      <c r="H695" s="3"/>
      <c r="I695" s="3"/>
      <c r="AS695" s="4"/>
      <c r="AT695" s="4"/>
    </row>
    <row r="696" spans="1:46" ht="16.5" customHeight="1">
      <c r="A696" s="4"/>
      <c r="C696" s="4"/>
      <c r="E696" s="4"/>
      <c r="G696" s="3"/>
      <c r="H696" s="3"/>
      <c r="I696" s="3"/>
      <c r="AS696" s="4"/>
      <c r="AT696" s="4"/>
    </row>
    <row r="697" spans="1:46" ht="16.5" customHeight="1">
      <c r="A697" s="4"/>
      <c r="C697" s="4"/>
      <c r="E697" s="4"/>
      <c r="G697" s="3"/>
      <c r="H697" s="3"/>
      <c r="I697" s="3"/>
      <c r="AS697" s="4"/>
      <c r="AT697" s="4"/>
    </row>
    <row r="698" spans="1:46" ht="16.5" customHeight="1">
      <c r="A698" s="4"/>
      <c r="C698" s="4"/>
      <c r="E698" s="4"/>
      <c r="G698" s="3"/>
      <c r="H698" s="3"/>
      <c r="I698" s="3"/>
      <c r="AS698" s="4"/>
      <c r="AT698" s="4"/>
    </row>
    <row r="699" spans="1:46" ht="16.5" customHeight="1">
      <c r="A699" s="4"/>
      <c r="C699" s="4"/>
      <c r="E699" s="4"/>
      <c r="G699" s="3"/>
      <c r="H699" s="3"/>
      <c r="I699" s="3"/>
      <c r="AS699" s="4"/>
      <c r="AT699" s="4"/>
    </row>
    <row r="700" spans="1:46" ht="16.5" customHeight="1">
      <c r="A700" s="4"/>
      <c r="C700" s="4"/>
      <c r="E700" s="4"/>
      <c r="G700" s="3"/>
      <c r="H700" s="3"/>
      <c r="I700" s="3"/>
      <c r="AS700" s="4"/>
      <c r="AT700" s="4"/>
    </row>
    <row r="701" spans="1:46" ht="16.5" customHeight="1">
      <c r="A701" s="4"/>
      <c r="C701" s="4"/>
      <c r="E701" s="4"/>
      <c r="G701" s="3"/>
      <c r="H701" s="3"/>
      <c r="I701" s="3"/>
      <c r="AS701" s="4"/>
      <c r="AT701" s="4"/>
    </row>
    <row r="702" spans="1:46" ht="16.5" customHeight="1">
      <c r="A702" s="4"/>
      <c r="C702" s="4"/>
      <c r="E702" s="4"/>
      <c r="G702" s="3"/>
      <c r="H702" s="3"/>
      <c r="I702" s="3"/>
      <c r="AS702" s="4"/>
      <c r="AT702" s="4"/>
    </row>
    <row r="703" spans="1:46" ht="16.5" customHeight="1">
      <c r="A703" s="4"/>
      <c r="C703" s="4"/>
      <c r="E703" s="4"/>
      <c r="G703" s="3"/>
      <c r="H703" s="3"/>
      <c r="I703" s="3"/>
      <c r="AS703" s="4"/>
      <c r="AT703" s="4"/>
    </row>
    <row r="704" spans="1:46" ht="16.5" customHeight="1">
      <c r="A704" s="4"/>
      <c r="C704" s="4"/>
      <c r="E704" s="4"/>
      <c r="G704" s="3"/>
      <c r="H704" s="3"/>
      <c r="I704" s="3"/>
      <c r="AS704" s="4"/>
      <c r="AT704" s="4"/>
    </row>
    <row r="705" spans="1:46" ht="16.5" customHeight="1">
      <c r="A705" s="4"/>
      <c r="C705" s="4"/>
      <c r="E705" s="4"/>
      <c r="G705" s="3"/>
      <c r="H705" s="3"/>
      <c r="I705" s="3"/>
      <c r="AS705" s="4"/>
      <c r="AT705" s="4"/>
    </row>
    <row r="706" spans="1:46" ht="16.5" customHeight="1">
      <c r="A706" s="4"/>
      <c r="C706" s="4"/>
      <c r="E706" s="4"/>
      <c r="G706" s="3"/>
      <c r="H706" s="3"/>
      <c r="I706" s="3"/>
      <c r="AS706" s="4"/>
      <c r="AT706" s="4"/>
    </row>
    <row r="707" spans="1:46" ht="16.5" customHeight="1">
      <c r="A707" s="4"/>
      <c r="C707" s="4"/>
      <c r="E707" s="4"/>
      <c r="G707" s="3"/>
      <c r="H707" s="3"/>
      <c r="I707" s="3"/>
      <c r="AS707" s="4"/>
      <c r="AT707" s="4"/>
    </row>
    <row r="708" spans="1:46" ht="16.5" customHeight="1">
      <c r="A708" s="4"/>
      <c r="C708" s="4"/>
      <c r="E708" s="4"/>
      <c r="G708" s="3"/>
      <c r="H708" s="3"/>
      <c r="I708" s="3"/>
      <c r="AS708" s="4"/>
      <c r="AT708" s="4"/>
    </row>
    <row r="709" spans="1:46" ht="16.5" customHeight="1">
      <c r="A709" s="4"/>
      <c r="C709" s="4"/>
      <c r="E709" s="4"/>
      <c r="G709" s="3"/>
      <c r="H709" s="3"/>
      <c r="I709" s="3"/>
      <c r="AS709" s="4"/>
      <c r="AT709" s="4"/>
    </row>
    <row r="710" spans="1:46" ht="16.5" customHeight="1">
      <c r="A710" s="4"/>
      <c r="C710" s="4"/>
      <c r="E710" s="4"/>
      <c r="G710" s="3"/>
      <c r="H710" s="3"/>
      <c r="I710" s="3"/>
      <c r="AS710" s="4"/>
      <c r="AT710" s="4"/>
    </row>
    <row r="711" spans="1:46" ht="16.5" customHeight="1">
      <c r="A711" s="4"/>
      <c r="C711" s="4"/>
      <c r="E711" s="4"/>
      <c r="G711" s="3"/>
      <c r="H711" s="3"/>
      <c r="I711" s="3"/>
      <c r="AS711" s="4"/>
      <c r="AT711" s="4"/>
    </row>
    <row r="712" spans="1:46" ht="16.5" customHeight="1">
      <c r="A712" s="4"/>
      <c r="C712" s="4"/>
      <c r="E712" s="4"/>
      <c r="G712" s="3"/>
      <c r="H712" s="3"/>
      <c r="I712" s="3"/>
      <c r="AS712" s="4"/>
      <c r="AT712" s="4"/>
    </row>
    <row r="713" spans="1:46" ht="16.5" customHeight="1">
      <c r="A713" s="4"/>
      <c r="C713" s="4"/>
      <c r="E713" s="4"/>
      <c r="G713" s="3"/>
      <c r="H713" s="3"/>
      <c r="I713" s="3"/>
      <c r="AS713" s="4"/>
      <c r="AT713" s="4"/>
    </row>
    <row r="714" spans="1:46" ht="16.5" customHeight="1">
      <c r="A714" s="4"/>
      <c r="C714" s="4"/>
      <c r="E714" s="4"/>
      <c r="G714" s="3"/>
      <c r="H714" s="3"/>
      <c r="I714" s="3"/>
      <c r="AS714" s="4"/>
      <c r="AT714" s="4"/>
    </row>
    <row r="715" spans="1:46" ht="16.5" customHeight="1">
      <c r="A715" s="4"/>
      <c r="C715" s="4"/>
      <c r="E715" s="4"/>
      <c r="G715" s="3"/>
      <c r="H715" s="3"/>
      <c r="I715" s="3"/>
      <c r="AS715" s="4"/>
      <c r="AT715" s="4"/>
    </row>
    <row r="716" spans="1:46" ht="16.5" customHeight="1">
      <c r="A716" s="4"/>
      <c r="C716" s="4"/>
      <c r="E716" s="4"/>
      <c r="G716" s="3"/>
      <c r="H716" s="3"/>
      <c r="I716" s="3"/>
      <c r="AS716" s="4"/>
      <c r="AT716" s="4"/>
    </row>
    <row r="717" spans="1:46" ht="16.5" customHeight="1">
      <c r="A717" s="4"/>
      <c r="C717" s="4"/>
      <c r="E717" s="4"/>
      <c r="G717" s="3"/>
      <c r="H717" s="3"/>
      <c r="I717" s="3"/>
      <c r="AS717" s="4"/>
      <c r="AT717" s="4"/>
    </row>
    <row r="718" spans="1:46" ht="16.5" customHeight="1">
      <c r="A718" s="4"/>
      <c r="C718" s="4"/>
      <c r="E718" s="4"/>
      <c r="G718" s="3"/>
      <c r="H718" s="3"/>
      <c r="I718" s="3"/>
      <c r="AS718" s="4"/>
      <c r="AT718" s="4"/>
    </row>
    <row r="719" spans="1:46" ht="16.5" customHeight="1">
      <c r="A719" s="4"/>
      <c r="C719" s="4"/>
      <c r="E719" s="4"/>
      <c r="G719" s="3"/>
      <c r="H719" s="3"/>
      <c r="I719" s="3"/>
      <c r="AS719" s="4"/>
      <c r="AT719" s="4"/>
    </row>
    <row r="720" spans="1:46" ht="16.5" customHeight="1">
      <c r="A720" s="4"/>
      <c r="C720" s="4"/>
      <c r="E720" s="4"/>
      <c r="G720" s="3"/>
      <c r="H720" s="3"/>
      <c r="I720" s="3"/>
      <c r="AS720" s="4"/>
      <c r="AT720" s="4"/>
    </row>
    <row r="721" spans="1:46" ht="16.5" customHeight="1">
      <c r="A721" s="4"/>
      <c r="C721" s="4"/>
      <c r="E721" s="4"/>
      <c r="G721" s="3"/>
      <c r="H721" s="3"/>
      <c r="I721" s="3"/>
      <c r="AS721" s="4"/>
      <c r="AT721" s="4"/>
    </row>
    <row r="722" spans="1:46" ht="16.5" customHeight="1">
      <c r="A722" s="4"/>
      <c r="C722" s="4"/>
      <c r="E722" s="4"/>
      <c r="G722" s="3"/>
      <c r="H722" s="3"/>
      <c r="I722" s="3"/>
      <c r="AS722" s="4"/>
      <c r="AT722" s="4"/>
    </row>
    <row r="723" spans="1:46" ht="16.5" customHeight="1">
      <c r="A723" s="4"/>
      <c r="C723" s="4"/>
      <c r="E723" s="4"/>
      <c r="G723" s="3"/>
      <c r="H723" s="3"/>
      <c r="I723" s="3"/>
      <c r="AS723" s="4"/>
      <c r="AT723" s="4"/>
    </row>
    <row r="724" spans="1:46" ht="16.5" customHeight="1">
      <c r="A724" s="4"/>
      <c r="C724" s="4"/>
      <c r="E724" s="4"/>
      <c r="G724" s="3"/>
      <c r="H724" s="3"/>
      <c r="I724" s="3"/>
      <c r="AS724" s="4"/>
      <c r="AT724" s="4"/>
    </row>
    <row r="725" spans="1:46" ht="16.5" customHeight="1">
      <c r="A725" s="4"/>
      <c r="C725" s="4"/>
      <c r="E725" s="4"/>
      <c r="G725" s="3"/>
      <c r="H725" s="3"/>
      <c r="I725" s="3"/>
      <c r="AS725" s="4"/>
      <c r="AT725" s="4"/>
    </row>
    <row r="726" spans="1:46" ht="16.5" customHeight="1">
      <c r="A726" s="4"/>
      <c r="C726" s="4"/>
      <c r="E726" s="4"/>
      <c r="G726" s="3"/>
      <c r="H726" s="3"/>
      <c r="I726" s="3"/>
      <c r="AS726" s="4"/>
      <c r="AT726" s="4"/>
    </row>
    <row r="727" spans="1:46" ht="16.5" customHeight="1">
      <c r="A727" s="4"/>
      <c r="C727" s="4"/>
      <c r="E727" s="4"/>
      <c r="G727" s="3"/>
      <c r="H727" s="3"/>
      <c r="I727" s="3"/>
      <c r="AS727" s="4"/>
      <c r="AT727" s="4"/>
    </row>
    <row r="728" spans="1:46" ht="16.5" customHeight="1">
      <c r="A728" s="4"/>
      <c r="C728" s="4"/>
      <c r="E728" s="4"/>
      <c r="G728" s="3"/>
      <c r="H728" s="3"/>
      <c r="I728" s="3"/>
      <c r="AS728" s="4"/>
      <c r="AT728" s="4"/>
    </row>
    <row r="729" spans="1:46" ht="16.5" customHeight="1">
      <c r="A729" s="4"/>
      <c r="C729" s="4"/>
      <c r="E729" s="4"/>
      <c r="G729" s="3"/>
      <c r="H729" s="3"/>
      <c r="I729" s="3"/>
      <c r="AS729" s="4"/>
      <c r="AT729" s="4"/>
    </row>
    <row r="730" spans="1:46" ht="16.5" customHeight="1">
      <c r="A730" s="4"/>
      <c r="C730" s="4"/>
      <c r="E730" s="4"/>
      <c r="G730" s="3"/>
      <c r="H730" s="3"/>
      <c r="I730" s="3"/>
      <c r="AS730" s="4"/>
      <c r="AT730" s="4"/>
    </row>
    <row r="731" spans="1:46" ht="16.5" customHeight="1">
      <c r="A731" s="4"/>
      <c r="C731" s="4"/>
      <c r="E731" s="4"/>
      <c r="G731" s="3"/>
      <c r="H731" s="3"/>
      <c r="I731" s="3"/>
      <c r="AS731" s="4"/>
      <c r="AT731" s="4"/>
    </row>
    <row r="732" spans="1:46" ht="16.5" customHeight="1">
      <c r="A732" s="4"/>
      <c r="C732" s="4"/>
      <c r="E732" s="4"/>
      <c r="G732" s="3"/>
      <c r="H732" s="3"/>
      <c r="I732" s="3"/>
      <c r="AS732" s="4"/>
      <c r="AT732" s="4"/>
    </row>
    <row r="733" spans="1:46" ht="16.5" customHeight="1">
      <c r="A733" s="4"/>
      <c r="C733" s="4"/>
      <c r="E733" s="4"/>
      <c r="G733" s="3"/>
      <c r="H733" s="3"/>
      <c r="I733" s="3"/>
      <c r="AS733" s="4"/>
      <c r="AT733" s="4"/>
    </row>
    <row r="734" spans="1:46" ht="16.5" customHeight="1">
      <c r="A734" s="4"/>
      <c r="C734" s="4"/>
      <c r="E734" s="4"/>
      <c r="G734" s="3"/>
      <c r="H734" s="3"/>
      <c r="I734" s="3"/>
      <c r="AS734" s="4"/>
      <c r="AT734" s="4"/>
    </row>
    <row r="735" spans="1:46" ht="16.5" customHeight="1">
      <c r="A735" s="4"/>
      <c r="C735" s="4"/>
      <c r="E735" s="4"/>
      <c r="G735" s="3"/>
      <c r="H735" s="3"/>
      <c r="I735" s="3"/>
      <c r="AS735" s="4"/>
      <c r="AT735" s="4"/>
    </row>
    <row r="736" spans="1:46" ht="16.5" customHeight="1">
      <c r="A736" s="4"/>
      <c r="C736" s="4"/>
      <c r="E736" s="4"/>
      <c r="G736" s="3"/>
      <c r="H736" s="3"/>
      <c r="I736" s="3"/>
      <c r="AS736" s="4"/>
      <c r="AT736" s="4"/>
    </row>
    <row r="737" spans="1:46" ht="16.5" customHeight="1">
      <c r="A737" s="4"/>
      <c r="C737" s="4"/>
      <c r="E737" s="4"/>
      <c r="G737" s="3"/>
      <c r="H737" s="3"/>
      <c r="I737" s="3"/>
      <c r="AS737" s="4"/>
      <c r="AT737" s="4"/>
    </row>
    <row r="738" spans="1:46" ht="16.5" customHeight="1">
      <c r="A738" s="4"/>
      <c r="C738" s="4"/>
      <c r="E738" s="4"/>
      <c r="G738" s="3"/>
      <c r="H738" s="3"/>
      <c r="I738" s="3"/>
      <c r="AS738" s="4"/>
      <c r="AT738" s="4"/>
    </row>
    <row r="739" spans="1:46" ht="16.5" customHeight="1">
      <c r="A739" s="4"/>
      <c r="C739" s="4"/>
      <c r="E739" s="4"/>
      <c r="G739" s="3"/>
      <c r="H739" s="3"/>
      <c r="I739" s="3"/>
      <c r="AS739" s="4"/>
      <c r="AT739" s="4"/>
    </row>
    <row r="740" spans="1:46" ht="16.5" customHeight="1">
      <c r="A740" s="4"/>
      <c r="C740" s="4"/>
      <c r="E740" s="4"/>
      <c r="G740" s="3"/>
      <c r="H740" s="3"/>
      <c r="I740" s="3"/>
      <c r="AS740" s="4"/>
      <c r="AT740" s="4"/>
    </row>
    <row r="741" spans="1:46" ht="16.5" customHeight="1">
      <c r="A741" s="4"/>
      <c r="C741" s="4"/>
      <c r="E741" s="4"/>
      <c r="G741" s="3"/>
      <c r="H741" s="3"/>
      <c r="I741" s="3"/>
      <c r="AS741" s="4"/>
      <c r="AT741" s="4"/>
    </row>
    <row r="742" spans="1:46" ht="16.5" customHeight="1">
      <c r="A742" s="4"/>
      <c r="C742" s="4"/>
      <c r="E742" s="4"/>
      <c r="G742" s="3"/>
      <c r="H742" s="3"/>
      <c r="I742" s="3"/>
      <c r="AS742" s="4"/>
      <c r="AT742" s="4"/>
    </row>
    <row r="743" spans="1:46" ht="16.5" customHeight="1">
      <c r="A743" s="4"/>
      <c r="C743" s="4"/>
      <c r="E743" s="4"/>
      <c r="G743" s="3"/>
      <c r="H743" s="3"/>
      <c r="I743" s="3"/>
      <c r="AS743" s="4"/>
      <c r="AT743" s="4"/>
    </row>
    <row r="744" spans="1:46" ht="16.5" customHeight="1">
      <c r="A744" s="4"/>
      <c r="C744" s="4"/>
      <c r="E744" s="4"/>
      <c r="G744" s="3"/>
      <c r="H744" s="3"/>
      <c r="I744" s="3"/>
      <c r="AS744" s="4"/>
      <c r="AT744" s="4"/>
    </row>
    <row r="745" spans="1:46" ht="16.5" customHeight="1">
      <c r="A745" s="4"/>
      <c r="C745" s="4"/>
      <c r="E745" s="4"/>
      <c r="G745" s="3"/>
      <c r="H745" s="3"/>
      <c r="I745" s="3"/>
      <c r="AS745" s="4"/>
      <c r="AT745" s="4"/>
    </row>
    <row r="746" spans="1:46" ht="16.5" customHeight="1">
      <c r="A746" s="4"/>
      <c r="C746" s="4"/>
      <c r="E746" s="4"/>
      <c r="G746" s="3"/>
      <c r="H746" s="3"/>
      <c r="I746" s="3"/>
      <c r="AS746" s="4"/>
      <c r="AT746" s="4"/>
    </row>
    <row r="747" spans="1:46" ht="16.5" customHeight="1">
      <c r="A747" s="4"/>
      <c r="C747" s="4"/>
      <c r="E747" s="4"/>
      <c r="G747" s="3"/>
      <c r="H747" s="3"/>
      <c r="I747" s="3"/>
      <c r="AS747" s="4"/>
      <c r="AT747" s="4"/>
    </row>
    <row r="748" spans="1:46" ht="16.5" customHeight="1">
      <c r="A748" s="4"/>
      <c r="C748" s="4"/>
      <c r="E748" s="4"/>
      <c r="G748" s="3"/>
      <c r="H748" s="3"/>
      <c r="I748" s="3"/>
      <c r="AS748" s="4"/>
      <c r="AT748" s="4"/>
    </row>
    <row r="749" spans="1:46" ht="16.5" customHeight="1">
      <c r="A749" s="4"/>
      <c r="C749" s="4"/>
      <c r="E749" s="4"/>
      <c r="G749" s="3"/>
      <c r="H749" s="3"/>
      <c r="I749" s="3"/>
      <c r="AS749" s="4"/>
      <c r="AT749" s="4"/>
    </row>
    <row r="750" spans="1:46" ht="16.5" customHeight="1">
      <c r="A750" s="4"/>
      <c r="C750" s="4"/>
      <c r="E750" s="4"/>
      <c r="G750" s="3"/>
      <c r="H750" s="3"/>
      <c r="I750" s="3"/>
      <c r="AS750" s="4"/>
      <c r="AT750" s="4"/>
    </row>
    <row r="751" spans="1:46" ht="16.5" customHeight="1">
      <c r="A751" s="4"/>
      <c r="C751" s="4"/>
      <c r="E751" s="4"/>
      <c r="G751" s="3"/>
      <c r="H751" s="3"/>
      <c r="I751" s="3"/>
      <c r="AS751" s="4"/>
      <c r="AT751" s="4"/>
    </row>
    <row r="752" spans="1:46" ht="16.5" customHeight="1">
      <c r="A752" s="4"/>
      <c r="C752" s="4"/>
      <c r="E752" s="4"/>
      <c r="G752" s="3"/>
      <c r="H752" s="3"/>
      <c r="I752" s="3"/>
      <c r="AS752" s="4"/>
      <c r="AT752" s="4"/>
    </row>
    <row r="753" spans="1:46" ht="16.5" customHeight="1">
      <c r="A753" s="4"/>
      <c r="C753" s="4"/>
      <c r="E753" s="4"/>
      <c r="G753" s="3"/>
      <c r="H753" s="3"/>
      <c r="I753" s="3"/>
      <c r="AS753" s="4"/>
      <c r="AT753" s="4"/>
    </row>
    <row r="754" spans="1:46" ht="16.5" customHeight="1">
      <c r="A754" s="4"/>
      <c r="C754" s="4"/>
      <c r="E754" s="4"/>
      <c r="G754" s="3"/>
      <c r="H754" s="3"/>
      <c r="I754" s="3"/>
      <c r="AS754" s="4"/>
      <c r="AT754" s="4"/>
    </row>
    <row r="755" spans="1:46" ht="16.5" customHeight="1">
      <c r="A755" s="4"/>
      <c r="C755" s="4"/>
      <c r="E755" s="4"/>
      <c r="G755" s="3"/>
      <c r="H755" s="3"/>
      <c r="I755" s="3"/>
      <c r="AS755" s="4"/>
      <c r="AT755" s="4"/>
    </row>
    <row r="756" spans="1:46" ht="16.5" customHeight="1">
      <c r="A756" s="4"/>
      <c r="C756" s="4"/>
      <c r="E756" s="4"/>
      <c r="G756" s="3"/>
      <c r="H756" s="3"/>
      <c r="I756" s="3"/>
      <c r="AS756" s="4"/>
      <c r="AT756" s="4"/>
    </row>
    <row r="757" spans="1:46" ht="16.5" customHeight="1">
      <c r="A757" s="4"/>
      <c r="C757" s="4"/>
      <c r="E757" s="4"/>
      <c r="G757" s="3"/>
      <c r="H757" s="3"/>
      <c r="I757" s="3"/>
      <c r="AS757" s="4"/>
      <c r="AT757" s="4"/>
    </row>
    <row r="758" spans="1:46" ht="16.5" customHeight="1">
      <c r="A758" s="4"/>
      <c r="C758" s="4"/>
      <c r="E758" s="4"/>
      <c r="G758" s="3"/>
      <c r="H758" s="3"/>
      <c r="I758" s="3"/>
      <c r="AS758" s="4"/>
      <c r="AT758" s="4"/>
    </row>
    <row r="759" spans="1:46" ht="16.5" customHeight="1">
      <c r="A759" s="4"/>
      <c r="C759" s="4"/>
      <c r="E759" s="4"/>
      <c r="G759" s="3"/>
      <c r="H759" s="3"/>
      <c r="I759" s="3"/>
      <c r="AS759" s="4"/>
      <c r="AT759" s="4"/>
    </row>
    <row r="760" spans="1:46" ht="16.5" customHeight="1">
      <c r="A760" s="4"/>
      <c r="C760" s="4"/>
      <c r="E760" s="4"/>
      <c r="G760" s="3"/>
      <c r="H760" s="3"/>
      <c r="I760" s="3"/>
      <c r="AS760" s="4"/>
      <c r="AT760" s="4"/>
    </row>
    <row r="761" spans="1:46" ht="16.5" customHeight="1">
      <c r="A761" s="4"/>
      <c r="C761" s="4"/>
      <c r="E761" s="4"/>
      <c r="G761" s="3"/>
      <c r="H761" s="3"/>
      <c r="I761" s="3"/>
      <c r="AS761" s="4"/>
      <c r="AT761" s="4"/>
    </row>
    <row r="762" spans="1:46" ht="16.5" customHeight="1">
      <c r="A762" s="4"/>
      <c r="C762" s="4"/>
      <c r="E762" s="4"/>
      <c r="G762" s="3"/>
      <c r="H762" s="3"/>
      <c r="I762" s="3"/>
      <c r="AS762" s="4"/>
      <c r="AT762" s="4"/>
    </row>
    <row r="763" spans="1:46" ht="16.5" customHeight="1">
      <c r="A763" s="4"/>
      <c r="C763" s="4"/>
      <c r="E763" s="4"/>
      <c r="G763" s="3"/>
      <c r="H763" s="3"/>
      <c r="I763" s="3"/>
      <c r="AS763" s="4"/>
      <c r="AT763" s="4"/>
    </row>
    <row r="764" spans="1:46" ht="16.5" customHeight="1">
      <c r="A764" s="4"/>
      <c r="C764" s="4"/>
      <c r="E764" s="4"/>
      <c r="G764" s="3"/>
      <c r="H764" s="3"/>
      <c r="I764" s="3"/>
      <c r="AS764" s="4"/>
      <c r="AT764" s="4"/>
    </row>
    <row r="765" spans="1:46" ht="16.5" customHeight="1">
      <c r="A765" s="4"/>
      <c r="C765" s="4"/>
      <c r="E765" s="4"/>
      <c r="G765" s="3"/>
      <c r="H765" s="3"/>
      <c r="I765" s="3"/>
      <c r="AS765" s="4"/>
      <c r="AT765" s="4"/>
    </row>
    <row r="766" spans="1:46" ht="16.5" customHeight="1">
      <c r="A766" s="4"/>
      <c r="C766" s="4"/>
      <c r="E766" s="4"/>
      <c r="G766" s="3"/>
      <c r="H766" s="3"/>
      <c r="I766" s="3"/>
      <c r="AS766" s="4"/>
      <c r="AT766" s="4"/>
    </row>
    <row r="767" spans="1:46" ht="16.5" customHeight="1">
      <c r="A767" s="4"/>
      <c r="C767" s="4"/>
      <c r="E767" s="4"/>
      <c r="G767" s="3"/>
      <c r="H767" s="3"/>
      <c r="I767" s="3"/>
      <c r="AS767" s="4"/>
      <c r="AT767" s="4"/>
    </row>
    <row r="768" spans="1:46" ht="16.5" customHeight="1">
      <c r="A768" s="4"/>
      <c r="C768" s="4"/>
      <c r="E768" s="4"/>
      <c r="G768" s="3"/>
      <c r="H768" s="3"/>
      <c r="I768" s="3"/>
      <c r="AS768" s="4"/>
      <c r="AT768" s="4"/>
    </row>
    <row r="769" spans="1:46" ht="16.5" customHeight="1">
      <c r="A769" s="4"/>
      <c r="C769" s="4"/>
      <c r="E769" s="4"/>
      <c r="G769" s="3"/>
      <c r="H769" s="3"/>
      <c r="I769" s="3"/>
      <c r="AS769" s="4"/>
      <c r="AT769" s="4"/>
    </row>
    <row r="770" spans="1:46" ht="16.5" customHeight="1">
      <c r="A770" s="4"/>
      <c r="C770" s="4"/>
      <c r="E770" s="4"/>
      <c r="G770" s="3"/>
      <c r="H770" s="3"/>
      <c r="I770" s="3"/>
      <c r="AS770" s="4"/>
      <c r="AT770" s="4"/>
    </row>
    <row r="771" spans="1:46" ht="16.5" customHeight="1">
      <c r="A771" s="4"/>
      <c r="C771" s="4"/>
      <c r="E771" s="4"/>
      <c r="G771" s="3"/>
      <c r="H771" s="3"/>
      <c r="I771" s="3"/>
      <c r="AS771" s="4"/>
      <c r="AT771" s="4"/>
    </row>
    <row r="772" spans="1:46" ht="16.5" customHeight="1">
      <c r="A772" s="4"/>
      <c r="C772" s="4"/>
      <c r="E772" s="4"/>
      <c r="G772" s="3"/>
      <c r="H772" s="3"/>
      <c r="I772" s="3"/>
      <c r="AS772" s="4"/>
      <c r="AT772" s="4"/>
    </row>
    <row r="773" spans="1:46" ht="16.5" customHeight="1">
      <c r="A773" s="4"/>
      <c r="C773" s="4"/>
      <c r="E773" s="4"/>
      <c r="G773" s="3"/>
      <c r="H773" s="3"/>
      <c r="I773" s="3"/>
      <c r="AS773" s="4"/>
      <c r="AT773" s="4"/>
    </row>
    <row r="774" spans="1:46" ht="16.5" customHeight="1">
      <c r="A774" s="4"/>
      <c r="C774" s="4"/>
      <c r="E774" s="4"/>
      <c r="G774" s="3"/>
      <c r="H774" s="3"/>
      <c r="I774" s="3"/>
      <c r="AS774" s="4"/>
      <c r="AT774" s="4"/>
    </row>
    <row r="775" spans="1:46" ht="16.5" customHeight="1">
      <c r="A775" s="4"/>
      <c r="C775" s="4"/>
      <c r="E775" s="4"/>
      <c r="G775" s="3"/>
      <c r="H775" s="3"/>
      <c r="I775" s="3"/>
      <c r="AS775" s="4"/>
      <c r="AT775" s="4"/>
    </row>
    <row r="776" spans="1:46" ht="16.5" customHeight="1">
      <c r="A776" s="4"/>
      <c r="C776" s="4"/>
      <c r="E776" s="4"/>
      <c r="G776" s="3"/>
      <c r="H776" s="3"/>
      <c r="I776" s="3"/>
      <c r="AS776" s="4"/>
      <c r="AT776" s="4"/>
    </row>
    <row r="777" spans="1:46" ht="16.5" customHeight="1">
      <c r="A777" s="4"/>
      <c r="C777" s="4"/>
      <c r="E777" s="4"/>
      <c r="G777" s="3"/>
      <c r="H777" s="3"/>
      <c r="I777" s="3"/>
      <c r="AS777" s="4"/>
      <c r="AT777" s="4"/>
    </row>
    <row r="778" spans="1:46" ht="16.5" customHeight="1">
      <c r="A778" s="4"/>
      <c r="C778" s="4"/>
      <c r="E778" s="4"/>
      <c r="G778" s="3"/>
      <c r="H778" s="3"/>
      <c r="I778" s="3"/>
      <c r="AS778" s="4"/>
      <c r="AT778" s="4"/>
    </row>
    <row r="779" spans="1:46" ht="16.5" customHeight="1">
      <c r="A779" s="4"/>
      <c r="C779" s="4"/>
      <c r="E779" s="4"/>
      <c r="G779" s="3"/>
      <c r="H779" s="3"/>
      <c r="I779" s="3"/>
      <c r="AS779" s="4"/>
      <c r="AT779" s="4"/>
    </row>
    <row r="780" spans="1:46" ht="16.5" customHeight="1">
      <c r="A780" s="4"/>
      <c r="C780" s="4"/>
      <c r="E780" s="4"/>
      <c r="G780" s="3"/>
      <c r="H780" s="3"/>
      <c r="I780" s="3"/>
      <c r="AS780" s="4"/>
      <c r="AT780" s="4"/>
    </row>
    <row r="781" spans="1:46" ht="16.5" customHeight="1">
      <c r="A781" s="4"/>
      <c r="C781" s="4"/>
      <c r="E781" s="4"/>
      <c r="G781" s="3"/>
      <c r="H781" s="3"/>
      <c r="I781" s="3"/>
      <c r="AS781" s="4"/>
      <c r="AT781" s="4"/>
    </row>
    <row r="782" spans="1:46" ht="16.5" customHeight="1">
      <c r="A782" s="4"/>
      <c r="C782" s="4"/>
      <c r="E782" s="4"/>
      <c r="G782" s="3"/>
      <c r="H782" s="3"/>
      <c r="I782" s="3"/>
      <c r="AS782" s="4"/>
      <c r="AT782" s="4"/>
    </row>
    <row r="783" spans="1:46" ht="16.5" customHeight="1">
      <c r="A783" s="4"/>
      <c r="C783" s="4"/>
      <c r="E783" s="4"/>
      <c r="G783" s="3"/>
      <c r="H783" s="3"/>
      <c r="I783" s="3"/>
      <c r="AS783" s="4"/>
      <c r="AT783" s="4"/>
    </row>
    <row r="784" spans="1:46" ht="16.5" customHeight="1">
      <c r="A784" s="4"/>
      <c r="C784" s="4"/>
      <c r="E784" s="4"/>
      <c r="G784" s="3"/>
      <c r="H784" s="3"/>
      <c r="I784" s="3"/>
      <c r="AS784" s="4"/>
      <c r="AT784" s="4"/>
    </row>
    <row r="785" spans="1:46" ht="16.5" customHeight="1">
      <c r="A785" s="4"/>
      <c r="C785" s="4"/>
      <c r="E785" s="4"/>
      <c r="G785" s="3"/>
      <c r="H785" s="3"/>
      <c r="I785" s="3"/>
      <c r="AS785" s="4"/>
      <c r="AT785" s="4"/>
    </row>
    <row r="786" spans="1:46" ht="16.5" customHeight="1">
      <c r="A786" s="4"/>
      <c r="C786" s="4"/>
      <c r="E786" s="4"/>
      <c r="G786" s="3"/>
      <c r="H786" s="3"/>
      <c r="I786" s="3"/>
      <c r="AS786" s="4"/>
      <c r="AT786" s="4"/>
    </row>
    <row r="787" spans="1:46" ht="16.5" customHeight="1">
      <c r="A787" s="4"/>
      <c r="C787" s="4"/>
      <c r="E787" s="4"/>
      <c r="G787" s="3"/>
      <c r="H787" s="3"/>
      <c r="I787" s="3"/>
      <c r="AS787" s="4"/>
      <c r="AT787" s="4"/>
    </row>
    <row r="788" spans="1:46" ht="16.5" customHeight="1">
      <c r="A788" s="4"/>
      <c r="C788" s="4"/>
      <c r="E788" s="4"/>
      <c r="G788" s="3"/>
      <c r="H788" s="3"/>
      <c r="I788" s="3"/>
      <c r="AS788" s="4"/>
      <c r="AT788" s="4"/>
    </row>
    <row r="789" spans="1:46" ht="16.5" customHeight="1">
      <c r="A789" s="4"/>
      <c r="C789" s="4"/>
      <c r="E789" s="4"/>
      <c r="G789" s="3"/>
      <c r="H789" s="3"/>
      <c r="I789" s="3"/>
      <c r="AS789" s="4"/>
      <c r="AT789" s="4"/>
    </row>
    <row r="790" spans="1:46" ht="16.5" customHeight="1">
      <c r="A790" s="4"/>
      <c r="C790" s="4"/>
      <c r="E790" s="4"/>
      <c r="G790" s="3"/>
      <c r="H790" s="3"/>
      <c r="I790" s="3"/>
      <c r="AS790" s="4"/>
      <c r="AT790" s="4"/>
    </row>
    <row r="791" spans="1:46" ht="16.5" customHeight="1">
      <c r="A791" s="4"/>
      <c r="C791" s="4"/>
      <c r="E791" s="4"/>
      <c r="G791" s="3"/>
      <c r="H791" s="3"/>
      <c r="I791" s="3"/>
      <c r="AS791" s="4"/>
      <c r="AT791" s="4"/>
    </row>
    <row r="792" spans="1:46" ht="16.5" customHeight="1">
      <c r="A792" s="4"/>
      <c r="C792" s="4"/>
      <c r="E792" s="4"/>
      <c r="G792" s="3"/>
      <c r="H792" s="3"/>
      <c r="I792" s="3"/>
      <c r="AS792" s="4"/>
      <c r="AT792" s="4"/>
    </row>
    <row r="793" spans="1:46" ht="16.5" customHeight="1">
      <c r="A793" s="4"/>
      <c r="C793" s="4"/>
      <c r="E793" s="4"/>
      <c r="G793" s="3"/>
      <c r="H793" s="3"/>
      <c r="I793" s="3"/>
      <c r="AS793" s="4"/>
      <c r="AT793" s="4"/>
    </row>
    <row r="794" spans="1:46" ht="16.5" customHeight="1">
      <c r="A794" s="4"/>
      <c r="C794" s="4"/>
      <c r="E794" s="4"/>
      <c r="G794" s="3"/>
      <c r="H794" s="3"/>
      <c r="I794" s="3"/>
      <c r="AS794" s="4"/>
      <c r="AT794" s="4"/>
    </row>
    <row r="795" spans="1:46" ht="16.5" customHeight="1">
      <c r="A795" s="4"/>
      <c r="C795" s="4"/>
      <c r="E795" s="4"/>
      <c r="G795" s="3"/>
      <c r="H795" s="3"/>
      <c r="I795" s="3"/>
      <c r="AS795" s="4"/>
      <c r="AT795" s="4"/>
    </row>
    <row r="796" spans="1:46" ht="16.5" customHeight="1">
      <c r="A796" s="4"/>
      <c r="C796" s="4"/>
      <c r="E796" s="4"/>
      <c r="G796" s="3"/>
      <c r="H796" s="3"/>
      <c r="I796" s="3"/>
      <c r="AS796" s="4"/>
      <c r="AT796" s="4"/>
    </row>
    <row r="797" spans="1:46" ht="16.5" customHeight="1">
      <c r="A797" s="4"/>
      <c r="C797" s="4"/>
      <c r="E797" s="4"/>
      <c r="G797" s="3"/>
      <c r="H797" s="3"/>
      <c r="I797" s="3"/>
      <c r="AS797" s="4"/>
      <c r="AT797" s="4"/>
    </row>
    <row r="798" spans="1:46" ht="16.5" customHeight="1">
      <c r="A798" s="4"/>
      <c r="C798" s="4"/>
      <c r="E798" s="4"/>
      <c r="G798" s="3"/>
      <c r="H798" s="3"/>
      <c r="I798" s="3"/>
      <c r="AS798" s="4"/>
      <c r="AT798" s="4"/>
    </row>
    <row r="799" spans="1:46" ht="16.5" customHeight="1">
      <c r="A799" s="4"/>
      <c r="C799" s="4"/>
      <c r="E799" s="4"/>
      <c r="G799" s="3"/>
      <c r="H799" s="3"/>
      <c r="I799" s="3"/>
      <c r="AS799" s="4"/>
      <c r="AT799" s="4"/>
    </row>
    <row r="800" spans="1:46" ht="16.5" customHeight="1">
      <c r="A800" s="4"/>
      <c r="C800" s="4"/>
      <c r="E800" s="4"/>
      <c r="G800" s="3"/>
      <c r="H800" s="3"/>
      <c r="I800" s="3"/>
      <c r="AS800" s="4"/>
      <c r="AT800" s="4"/>
    </row>
    <row r="801" spans="1:46" ht="16.5" customHeight="1">
      <c r="A801" s="4"/>
      <c r="C801" s="4"/>
      <c r="E801" s="4"/>
      <c r="G801" s="3"/>
      <c r="H801" s="3"/>
      <c r="I801" s="3"/>
      <c r="AS801" s="4"/>
      <c r="AT801" s="4"/>
    </row>
    <row r="802" spans="1:46" ht="16.5" customHeight="1">
      <c r="A802" s="4"/>
      <c r="C802" s="4"/>
      <c r="E802" s="4"/>
      <c r="G802" s="3"/>
      <c r="H802" s="3"/>
      <c r="I802" s="3"/>
      <c r="AS802" s="4"/>
      <c r="AT802" s="4"/>
    </row>
    <row r="803" spans="1:46" ht="16.5" customHeight="1">
      <c r="A803" s="4"/>
      <c r="C803" s="4"/>
      <c r="E803" s="4"/>
      <c r="G803" s="3"/>
      <c r="H803" s="3"/>
      <c r="I803" s="3"/>
      <c r="AS803" s="4"/>
      <c r="AT803" s="4"/>
    </row>
    <row r="804" spans="1:46" ht="16.5" customHeight="1">
      <c r="A804" s="4"/>
      <c r="C804" s="4"/>
      <c r="E804" s="4"/>
      <c r="G804" s="3"/>
      <c r="H804" s="3"/>
      <c r="I804" s="3"/>
      <c r="AS804" s="4"/>
      <c r="AT804" s="4"/>
    </row>
    <row r="805" spans="1:46" ht="16.5" customHeight="1">
      <c r="A805" s="4"/>
      <c r="C805" s="4"/>
      <c r="E805" s="4"/>
      <c r="G805" s="3"/>
      <c r="H805" s="3"/>
      <c r="I805" s="3"/>
      <c r="AS805" s="4"/>
      <c r="AT805" s="4"/>
    </row>
    <row r="806" spans="1:46" ht="16.5" customHeight="1">
      <c r="A806" s="4"/>
      <c r="C806" s="4"/>
      <c r="E806" s="4"/>
      <c r="G806" s="3"/>
      <c r="H806" s="3"/>
      <c r="I806" s="3"/>
      <c r="AS806" s="4"/>
      <c r="AT806" s="4"/>
    </row>
    <row r="807" spans="1:46" ht="16.5" customHeight="1">
      <c r="A807" s="4"/>
      <c r="C807" s="4"/>
      <c r="E807" s="4"/>
      <c r="G807" s="3"/>
      <c r="H807" s="3"/>
      <c r="I807" s="3"/>
      <c r="AS807" s="4"/>
      <c r="AT807" s="4"/>
    </row>
    <row r="808" spans="1:46" ht="16.5" customHeight="1">
      <c r="A808" s="4"/>
      <c r="C808" s="4"/>
      <c r="E808" s="4"/>
      <c r="G808" s="3"/>
      <c r="H808" s="3"/>
      <c r="I808" s="3"/>
      <c r="AS808" s="4"/>
      <c r="AT808" s="4"/>
    </row>
    <row r="809" spans="1:46" ht="16.5" customHeight="1">
      <c r="A809" s="4"/>
      <c r="C809" s="4"/>
      <c r="E809" s="4"/>
      <c r="G809" s="3"/>
      <c r="H809" s="3"/>
      <c r="I809" s="3"/>
      <c r="AS809" s="4"/>
      <c r="AT809" s="4"/>
    </row>
    <row r="810" spans="1:46" ht="16.5" customHeight="1">
      <c r="A810" s="4"/>
      <c r="C810" s="4"/>
      <c r="E810" s="4"/>
      <c r="G810" s="3"/>
      <c r="H810" s="3"/>
      <c r="I810" s="3"/>
      <c r="AS810" s="4"/>
      <c r="AT810" s="4"/>
    </row>
    <row r="811" spans="1:46" ht="16.5" customHeight="1">
      <c r="A811" s="4"/>
      <c r="C811" s="4"/>
      <c r="E811" s="4"/>
      <c r="G811" s="3"/>
      <c r="H811" s="3"/>
      <c r="I811" s="3"/>
      <c r="AS811" s="4"/>
      <c r="AT811" s="4"/>
    </row>
    <row r="812" spans="1:46" ht="16.5" customHeight="1">
      <c r="A812" s="4"/>
      <c r="C812" s="4"/>
      <c r="E812" s="4"/>
      <c r="G812" s="3"/>
      <c r="H812" s="3"/>
      <c r="I812" s="3"/>
      <c r="AS812" s="4"/>
      <c r="AT812" s="4"/>
    </row>
    <row r="813" spans="1:46" ht="16.5" customHeight="1">
      <c r="A813" s="4"/>
      <c r="C813" s="4"/>
      <c r="E813" s="4"/>
      <c r="G813" s="3"/>
      <c r="H813" s="3"/>
      <c r="I813" s="3"/>
      <c r="AS813" s="4"/>
      <c r="AT813" s="4"/>
    </row>
    <row r="814" spans="1:46" ht="16.5" customHeight="1">
      <c r="A814" s="4"/>
      <c r="C814" s="4"/>
      <c r="E814" s="4"/>
      <c r="G814" s="3"/>
      <c r="H814" s="3"/>
      <c r="I814" s="3"/>
      <c r="AS814" s="4"/>
      <c r="AT814" s="4"/>
    </row>
    <row r="815" spans="1:46" ht="16.5" customHeight="1">
      <c r="A815" s="4"/>
      <c r="C815" s="4"/>
      <c r="E815" s="4"/>
      <c r="G815" s="3"/>
      <c r="H815" s="3"/>
      <c r="I815" s="3"/>
      <c r="AS815" s="4"/>
      <c r="AT815" s="4"/>
    </row>
    <row r="816" spans="1:46" ht="16.5" customHeight="1">
      <c r="A816" s="4"/>
      <c r="C816" s="4"/>
      <c r="E816" s="4"/>
      <c r="G816" s="3"/>
      <c r="H816" s="3"/>
      <c r="I816" s="3"/>
      <c r="AS816" s="4"/>
      <c r="AT816" s="4"/>
    </row>
    <row r="817" spans="1:46" ht="16.5" customHeight="1">
      <c r="A817" s="4"/>
      <c r="C817" s="4"/>
      <c r="E817" s="4"/>
      <c r="G817" s="3"/>
      <c r="H817" s="3"/>
      <c r="I817" s="3"/>
      <c r="AS817" s="4"/>
      <c r="AT817" s="4"/>
    </row>
    <row r="818" spans="1:46" ht="16.5" customHeight="1">
      <c r="A818" s="4"/>
      <c r="C818" s="4"/>
      <c r="E818" s="4"/>
      <c r="G818" s="3"/>
      <c r="H818" s="3"/>
      <c r="I818" s="3"/>
      <c r="AS818" s="4"/>
      <c r="AT818" s="4"/>
    </row>
    <row r="819" spans="1:46" ht="16.5" customHeight="1">
      <c r="A819" s="4"/>
      <c r="C819" s="4"/>
      <c r="E819" s="4"/>
      <c r="G819" s="3"/>
      <c r="H819" s="3"/>
      <c r="I819" s="3"/>
      <c r="AS819" s="4"/>
      <c r="AT819" s="4"/>
    </row>
    <row r="820" spans="1:46" ht="16.5" customHeight="1">
      <c r="A820" s="4"/>
      <c r="C820" s="4"/>
      <c r="E820" s="4"/>
      <c r="G820" s="3"/>
      <c r="H820" s="3"/>
      <c r="I820" s="3"/>
      <c r="AS820" s="4"/>
      <c r="AT820" s="4"/>
    </row>
    <row r="821" spans="1:46" ht="16.5" customHeight="1">
      <c r="A821" s="4"/>
      <c r="C821" s="4"/>
      <c r="E821" s="4"/>
      <c r="G821" s="3"/>
      <c r="H821" s="3"/>
      <c r="I821" s="3"/>
      <c r="AS821" s="4"/>
      <c r="AT821" s="4"/>
    </row>
    <row r="822" spans="1:46" ht="16.5" customHeight="1">
      <c r="A822" s="4"/>
      <c r="C822" s="4"/>
      <c r="E822" s="4"/>
      <c r="G822" s="3"/>
      <c r="H822" s="3"/>
      <c r="I822" s="3"/>
      <c r="AS822" s="4"/>
      <c r="AT822" s="4"/>
    </row>
    <row r="823" spans="1:46" ht="16.5" customHeight="1">
      <c r="A823" s="4"/>
      <c r="C823" s="4"/>
      <c r="E823" s="4"/>
      <c r="G823" s="3"/>
      <c r="H823" s="3"/>
      <c r="I823" s="3"/>
      <c r="AS823" s="4"/>
      <c r="AT823" s="4"/>
    </row>
    <row r="824" spans="1:46" ht="16.5" customHeight="1">
      <c r="A824" s="4"/>
      <c r="C824" s="4"/>
      <c r="E824" s="4"/>
      <c r="G824" s="3"/>
      <c r="H824" s="3"/>
      <c r="I824" s="3"/>
      <c r="AS824" s="4"/>
      <c r="AT824" s="4"/>
    </row>
    <row r="825" spans="1:46" ht="16.5" customHeight="1">
      <c r="A825" s="4"/>
      <c r="C825" s="4"/>
      <c r="E825" s="4"/>
      <c r="G825" s="3"/>
      <c r="H825" s="3"/>
      <c r="I825" s="3"/>
      <c r="AS825" s="4"/>
      <c r="AT825" s="4"/>
    </row>
    <row r="826" spans="1:46" ht="16.5" customHeight="1">
      <c r="A826" s="4"/>
      <c r="C826" s="4"/>
      <c r="E826" s="4"/>
      <c r="G826" s="3"/>
      <c r="H826" s="3"/>
      <c r="I826" s="3"/>
      <c r="AS826" s="4"/>
      <c r="AT826" s="4"/>
    </row>
    <row r="827" spans="1:46" ht="16.5" customHeight="1">
      <c r="A827" s="4"/>
      <c r="C827" s="4"/>
      <c r="E827" s="4"/>
      <c r="G827" s="3"/>
      <c r="H827" s="3"/>
      <c r="I827" s="3"/>
      <c r="AS827" s="4"/>
      <c r="AT827" s="4"/>
    </row>
    <row r="828" spans="1:46" ht="16.5" customHeight="1">
      <c r="A828" s="4"/>
      <c r="C828" s="4"/>
      <c r="E828" s="4"/>
      <c r="G828" s="3"/>
      <c r="H828" s="3"/>
      <c r="I828" s="3"/>
      <c r="AS828" s="4"/>
      <c r="AT828" s="4"/>
    </row>
    <row r="829" spans="1:46" ht="16.5" customHeight="1">
      <c r="A829" s="4"/>
      <c r="C829" s="4"/>
      <c r="E829" s="4"/>
      <c r="G829" s="3"/>
      <c r="H829" s="3"/>
      <c r="I829" s="3"/>
      <c r="AS829" s="4"/>
      <c r="AT829" s="4"/>
    </row>
    <row r="830" spans="1:46" ht="16.5" customHeight="1">
      <c r="A830" s="4"/>
      <c r="C830" s="4"/>
      <c r="E830" s="4"/>
      <c r="G830" s="3"/>
      <c r="H830" s="3"/>
      <c r="I830" s="3"/>
      <c r="AS830" s="4"/>
      <c r="AT830" s="4"/>
    </row>
    <row r="831" spans="1:46" ht="16.5" customHeight="1">
      <c r="A831" s="4"/>
      <c r="C831" s="4"/>
      <c r="E831" s="4"/>
      <c r="G831" s="3"/>
      <c r="H831" s="3"/>
      <c r="I831" s="3"/>
      <c r="AS831" s="4"/>
      <c r="AT831" s="4"/>
    </row>
    <row r="832" spans="1:46" ht="16.5" customHeight="1">
      <c r="A832" s="4"/>
      <c r="C832" s="4"/>
      <c r="E832" s="4"/>
      <c r="G832" s="3"/>
      <c r="H832" s="3"/>
      <c r="I832" s="3"/>
      <c r="AS832" s="4"/>
      <c r="AT832" s="4"/>
    </row>
    <row r="833" spans="1:46" ht="16.5" customHeight="1">
      <c r="A833" s="4"/>
      <c r="C833" s="4"/>
      <c r="E833" s="4"/>
      <c r="G833" s="3"/>
      <c r="H833" s="3"/>
      <c r="I833" s="3"/>
      <c r="AS833" s="4"/>
      <c r="AT833" s="4"/>
    </row>
    <row r="834" spans="1:46" ht="16.5" customHeight="1">
      <c r="A834" s="4"/>
      <c r="C834" s="4"/>
      <c r="E834" s="4"/>
      <c r="G834" s="3"/>
      <c r="H834" s="3"/>
      <c r="I834" s="3"/>
      <c r="AS834" s="4"/>
      <c r="AT834" s="4"/>
    </row>
    <row r="835" spans="1:46" ht="16.5" customHeight="1">
      <c r="A835" s="4"/>
      <c r="C835" s="4"/>
      <c r="E835" s="4"/>
      <c r="G835" s="3"/>
      <c r="H835" s="3"/>
      <c r="I835" s="3"/>
      <c r="AS835" s="4"/>
      <c r="AT835" s="4"/>
    </row>
    <row r="836" spans="1:46" ht="16.5" customHeight="1">
      <c r="A836" s="4"/>
      <c r="C836" s="4"/>
      <c r="E836" s="4"/>
      <c r="G836" s="3"/>
      <c r="H836" s="3"/>
      <c r="I836" s="3"/>
      <c r="AS836" s="4"/>
      <c r="AT836" s="4"/>
    </row>
    <row r="837" spans="1:46" ht="16.5" customHeight="1">
      <c r="A837" s="4"/>
      <c r="C837" s="4"/>
      <c r="E837" s="4"/>
      <c r="G837" s="3"/>
      <c r="H837" s="3"/>
      <c r="I837" s="3"/>
      <c r="AS837" s="4"/>
      <c r="AT837" s="4"/>
    </row>
    <row r="838" spans="1:46" ht="16.5" customHeight="1">
      <c r="A838" s="4"/>
      <c r="C838" s="4"/>
      <c r="E838" s="4"/>
      <c r="G838" s="3"/>
      <c r="H838" s="3"/>
      <c r="I838" s="3"/>
      <c r="AS838" s="4"/>
      <c r="AT838" s="4"/>
    </row>
    <row r="839" spans="1:46" ht="16.5" customHeight="1">
      <c r="A839" s="4"/>
      <c r="C839" s="4"/>
      <c r="E839" s="4"/>
      <c r="G839" s="3"/>
      <c r="H839" s="3"/>
      <c r="I839" s="3"/>
      <c r="AS839" s="4"/>
      <c r="AT839" s="4"/>
    </row>
    <row r="840" spans="1:46" ht="16.5" customHeight="1">
      <c r="A840" s="4"/>
      <c r="C840" s="4"/>
      <c r="E840" s="4"/>
      <c r="G840" s="3"/>
      <c r="H840" s="3"/>
      <c r="I840" s="3"/>
      <c r="AS840" s="4"/>
      <c r="AT840" s="4"/>
    </row>
    <row r="841" spans="1:46" ht="16.5" customHeight="1">
      <c r="A841" s="4"/>
      <c r="C841" s="4"/>
      <c r="E841" s="4"/>
      <c r="G841" s="3"/>
      <c r="H841" s="3"/>
      <c r="I841" s="3"/>
      <c r="AS841" s="4"/>
      <c r="AT841" s="4"/>
    </row>
    <row r="842" spans="1:46" ht="16.5" customHeight="1">
      <c r="A842" s="4"/>
      <c r="C842" s="4"/>
      <c r="E842" s="4"/>
      <c r="G842" s="3"/>
      <c r="H842" s="3"/>
      <c r="I842" s="3"/>
      <c r="AS842" s="4"/>
      <c r="AT842" s="4"/>
    </row>
    <row r="843" spans="1:46" ht="16.5" customHeight="1">
      <c r="A843" s="4"/>
      <c r="C843" s="4"/>
      <c r="E843" s="4"/>
      <c r="G843" s="3"/>
      <c r="H843" s="3"/>
      <c r="I843" s="3"/>
      <c r="AS843" s="4"/>
      <c r="AT843" s="4"/>
    </row>
    <row r="844" spans="1:46" ht="16.5" customHeight="1">
      <c r="A844" s="4"/>
      <c r="C844" s="4"/>
      <c r="E844" s="4"/>
      <c r="G844" s="3"/>
      <c r="H844" s="3"/>
      <c r="I844" s="3"/>
      <c r="AS844" s="4"/>
      <c r="AT844" s="4"/>
    </row>
    <row r="845" spans="1:46" ht="16.5" customHeight="1">
      <c r="A845" s="4"/>
      <c r="C845" s="4"/>
      <c r="E845" s="4"/>
      <c r="G845" s="3"/>
      <c r="H845" s="3"/>
      <c r="I845" s="3"/>
      <c r="AS845" s="4"/>
      <c r="AT845" s="4"/>
    </row>
    <row r="846" spans="1:46" ht="16.5" customHeight="1">
      <c r="A846" s="4"/>
      <c r="C846" s="4"/>
      <c r="E846" s="4"/>
      <c r="G846" s="3"/>
      <c r="H846" s="3"/>
      <c r="I846" s="3"/>
      <c r="AS846" s="4"/>
      <c r="AT846" s="4"/>
    </row>
    <row r="847" spans="1:46" ht="16.5" customHeight="1">
      <c r="A847" s="4"/>
      <c r="C847" s="4"/>
      <c r="E847" s="4"/>
      <c r="G847" s="3"/>
      <c r="H847" s="3"/>
      <c r="I847" s="3"/>
      <c r="AS847" s="4"/>
      <c r="AT847" s="4"/>
    </row>
    <row r="848" spans="1:46" ht="16.5" customHeight="1">
      <c r="A848" s="4"/>
      <c r="C848" s="4"/>
      <c r="E848" s="4"/>
      <c r="G848" s="3"/>
      <c r="H848" s="3"/>
      <c r="I848" s="3"/>
      <c r="AS848" s="4"/>
      <c r="AT848" s="4"/>
    </row>
    <row r="849" spans="1:46" ht="16.5" customHeight="1">
      <c r="A849" s="4"/>
      <c r="C849" s="4"/>
      <c r="E849" s="4"/>
      <c r="G849" s="3"/>
      <c r="H849" s="3"/>
      <c r="I849" s="3"/>
      <c r="AS849" s="4"/>
      <c r="AT849" s="4"/>
    </row>
    <row r="850" spans="1:46" ht="16.5" customHeight="1">
      <c r="A850" s="4"/>
      <c r="C850" s="4"/>
      <c r="E850" s="4"/>
      <c r="G850" s="3"/>
      <c r="H850" s="3"/>
      <c r="I850" s="3"/>
      <c r="AS850" s="4"/>
      <c r="AT850" s="4"/>
    </row>
    <row r="851" spans="1:46" ht="16.5" customHeight="1">
      <c r="A851" s="4"/>
      <c r="C851" s="4"/>
      <c r="E851" s="4"/>
      <c r="G851" s="3"/>
      <c r="H851" s="3"/>
      <c r="I851" s="3"/>
      <c r="AS851" s="4"/>
      <c r="AT851" s="4"/>
    </row>
    <row r="852" spans="1:46" ht="16.5" customHeight="1">
      <c r="A852" s="4"/>
      <c r="C852" s="4"/>
      <c r="E852" s="4"/>
      <c r="G852" s="3"/>
      <c r="H852" s="3"/>
      <c r="I852" s="3"/>
      <c r="AS852" s="4"/>
      <c r="AT852" s="4"/>
    </row>
    <row r="853" spans="1:46" ht="16.5" customHeight="1">
      <c r="A853" s="4"/>
      <c r="C853" s="4"/>
      <c r="E853" s="4"/>
      <c r="G853" s="3"/>
      <c r="H853" s="3"/>
      <c r="I853" s="3"/>
      <c r="AS853" s="4"/>
      <c r="AT853" s="4"/>
    </row>
    <row r="854" spans="1:46" ht="16.5" customHeight="1">
      <c r="A854" s="4"/>
      <c r="C854" s="4"/>
      <c r="E854" s="4"/>
      <c r="G854" s="3"/>
      <c r="H854" s="3"/>
      <c r="I854" s="3"/>
      <c r="AS854" s="4"/>
      <c r="AT854" s="4"/>
    </row>
    <row r="855" spans="1:46" ht="16.5" customHeight="1">
      <c r="A855" s="4"/>
      <c r="C855" s="4"/>
      <c r="E855" s="4"/>
      <c r="G855" s="3"/>
      <c r="H855" s="3"/>
      <c r="I855" s="3"/>
      <c r="AS855" s="4"/>
      <c r="AT855" s="4"/>
    </row>
    <row r="856" spans="1:46" ht="16.5" customHeight="1">
      <c r="A856" s="4"/>
      <c r="C856" s="4"/>
      <c r="E856" s="4"/>
      <c r="G856" s="3"/>
      <c r="H856" s="3"/>
      <c r="I856" s="3"/>
      <c r="AS856" s="4"/>
      <c r="AT856" s="4"/>
    </row>
    <row r="857" spans="1:46" ht="16.5" customHeight="1">
      <c r="A857" s="4"/>
      <c r="C857" s="4"/>
      <c r="E857" s="4"/>
      <c r="G857" s="3"/>
      <c r="H857" s="3"/>
      <c r="I857" s="3"/>
      <c r="AS857" s="4"/>
      <c r="AT857" s="4"/>
    </row>
    <row r="858" spans="1:46" ht="16.5" customHeight="1">
      <c r="A858" s="4"/>
      <c r="C858" s="4"/>
      <c r="E858" s="4"/>
      <c r="G858" s="3"/>
      <c r="H858" s="3"/>
      <c r="I858" s="3"/>
      <c r="AS858" s="4"/>
      <c r="AT858" s="4"/>
    </row>
    <row r="859" spans="1:46" ht="16.5" customHeight="1">
      <c r="A859" s="4"/>
      <c r="C859" s="4"/>
      <c r="E859" s="4"/>
      <c r="G859" s="3"/>
      <c r="H859" s="3"/>
      <c r="I859" s="3"/>
      <c r="AS859" s="4"/>
      <c r="AT859" s="4"/>
    </row>
    <row r="860" spans="1:46" ht="16.5" customHeight="1">
      <c r="A860" s="4"/>
      <c r="C860" s="4"/>
      <c r="E860" s="4"/>
      <c r="G860" s="3"/>
      <c r="H860" s="3"/>
      <c r="I860" s="3"/>
      <c r="AS860" s="4"/>
      <c r="AT860" s="4"/>
    </row>
    <row r="861" spans="1:46" ht="16.5" customHeight="1">
      <c r="A861" s="4"/>
      <c r="C861" s="4"/>
      <c r="E861" s="4"/>
      <c r="G861" s="3"/>
      <c r="H861" s="3"/>
      <c r="I861" s="3"/>
      <c r="AS861" s="4"/>
      <c r="AT861" s="4"/>
    </row>
    <row r="862" spans="1:46" ht="16.5" customHeight="1">
      <c r="A862" s="4"/>
      <c r="C862" s="4"/>
      <c r="E862" s="4"/>
      <c r="G862" s="3"/>
      <c r="H862" s="3"/>
      <c r="I862" s="3"/>
      <c r="AS862" s="4"/>
      <c r="AT862" s="4"/>
    </row>
    <row r="863" spans="1:46" ht="16.5" customHeight="1">
      <c r="A863" s="4"/>
      <c r="C863" s="4"/>
      <c r="E863" s="4"/>
      <c r="G863" s="3"/>
      <c r="H863" s="3"/>
      <c r="I863" s="3"/>
      <c r="AS863" s="4"/>
      <c r="AT863" s="4"/>
    </row>
    <row r="864" spans="1:46" ht="16.5" customHeight="1">
      <c r="A864" s="4"/>
      <c r="C864" s="4"/>
      <c r="E864" s="4"/>
      <c r="G864" s="3"/>
      <c r="H864" s="3"/>
      <c r="I864" s="3"/>
      <c r="AS864" s="4"/>
      <c r="AT864" s="4"/>
    </row>
    <row r="865" spans="1:46" ht="16.5" customHeight="1">
      <c r="A865" s="4"/>
      <c r="C865" s="4"/>
      <c r="E865" s="4"/>
      <c r="G865" s="3"/>
      <c r="H865" s="3"/>
      <c r="I865" s="3"/>
      <c r="AS865" s="4"/>
      <c r="AT865" s="4"/>
    </row>
    <row r="866" spans="1:46" ht="16.5" customHeight="1">
      <c r="A866" s="4"/>
      <c r="C866" s="4"/>
      <c r="E866" s="4"/>
      <c r="G866" s="3"/>
      <c r="H866" s="3"/>
      <c r="I866" s="3"/>
      <c r="AS866" s="4"/>
      <c r="AT866" s="4"/>
    </row>
    <row r="867" spans="1:46" ht="16.5" customHeight="1">
      <c r="A867" s="4"/>
      <c r="C867" s="4"/>
      <c r="E867" s="4"/>
      <c r="G867" s="3"/>
      <c r="H867" s="3"/>
      <c r="I867" s="3"/>
      <c r="AS867" s="4"/>
      <c r="AT867" s="4"/>
    </row>
    <row r="868" spans="1:46" ht="16.5" customHeight="1">
      <c r="A868" s="4"/>
      <c r="C868" s="4"/>
      <c r="E868" s="4"/>
      <c r="G868" s="3"/>
      <c r="H868" s="3"/>
      <c r="I868" s="3"/>
      <c r="AS868" s="4"/>
      <c r="AT868" s="4"/>
    </row>
    <row r="869" spans="1:46" ht="16.5" customHeight="1">
      <c r="A869" s="4"/>
      <c r="C869" s="4"/>
      <c r="E869" s="4"/>
      <c r="G869" s="3"/>
      <c r="H869" s="3"/>
      <c r="I869" s="3"/>
      <c r="AS869" s="4"/>
      <c r="AT869" s="4"/>
    </row>
    <row r="870" spans="1:46" ht="16.5" customHeight="1">
      <c r="A870" s="4"/>
      <c r="C870" s="4"/>
      <c r="E870" s="4"/>
      <c r="G870" s="3"/>
      <c r="H870" s="3"/>
      <c r="I870" s="3"/>
      <c r="AS870" s="4"/>
      <c r="AT870" s="4"/>
    </row>
    <row r="871" spans="1:46" ht="16.5" customHeight="1">
      <c r="A871" s="4"/>
      <c r="C871" s="4"/>
      <c r="E871" s="4"/>
      <c r="G871" s="3"/>
      <c r="H871" s="3"/>
      <c r="I871" s="3"/>
      <c r="AS871" s="4"/>
      <c r="AT871" s="4"/>
    </row>
    <row r="872" spans="1:46" ht="16.5" customHeight="1">
      <c r="A872" s="4"/>
      <c r="C872" s="4"/>
      <c r="E872" s="4"/>
      <c r="G872" s="3"/>
      <c r="H872" s="3"/>
      <c r="I872" s="3"/>
      <c r="AS872" s="4"/>
      <c r="AT872" s="4"/>
    </row>
    <row r="873" spans="1:46" ht="16.5" customHeight="1">
      <c r="A873" s="4"/>
      <c r="C873" s="4"/>
      <c r="E873" s="4"/>
      <c r="G873" s="3"/>
      <c r="H873" s="3"/>
      <c r="I873" s="3"/>
      <c r="AS873" s="4"/>
      <c r="AT873" s="4"/>
    </row>
    <row r="874" spans="1:46" ht="16.5" customHeight="1">
      <c r="A874" s="4"/>
      <c r="C874" s="4"/>
      <c r="E874" s="4"/>
      <c r="G874" s="3"/>
      <c r="H874" s="3"/>
      <c r="I874" s="3"/>
      <c r="AS874" s="4"/>
      <c r="AT874" s="4"/>
    </row>
    <row r="875" spans="1:46" ht="16.5" customHeight="1">
      <c r="A875" s="4"/>
      <c r="C875" s="4"/>
      <c r="E875" s="4"/>
      <c r="G875" s="3"/>
      <c r="H875" s="3"/>
      <c r="I875" s="3"/>
      <c r="AS875" s="4"/>
      <c r="AT875" s="4"/>
    </row>
    <row r="876" spans="1:46" ht="16.5" customHeight="1">
      <c r="A876" s="4"/>
      <c r="C876" s="4"/>
      <c r="E876" s="4"/>
      <c r="G876" s="3"/>
      <c r="H876" s="3"/>
      <c r="I876" s="3"/>
      <c r="AS876" s="4"/>
      <c r="AT876" s="4"/>
    </row>
    <row r="877" spans="1:46" ht="16.5" customHeight="1">
      <c r="A877" s="4"/>
      <c r="C877" s="4"/>
      <c r="E877" s="4"/>
      <c r="G877" s="3"/>
      <c r="H877" s="3"/>
      <c r="I877" s="3"/>
      <c r="AS877" s="4"/>
      <c r="AT877" s="4"/>
    </row>
    <row r="878" spans="1:46" ht="16.5" customHeight="1">
      <c r="A878" s="4"/>
      <c r="C878" s="4"/>
      <c r="E878" s="4"/>
      <c r="G878" s="3"/>
      <c r="H878" s="3"/>
      <c r="I878" s="3"/>
      <c r="AS878" s="4"/>
      <c r="AT878" s="4"/>
    </row>
    <row r="879" spans="1:46" ht="16.5" customHeight="1">
      <c r="A879" s="4"/>
      <c r="C879" s="4"/>
      <c r="E879" s="4"/>
      <c r="G879" s="3"/>
      <c r="H879" s="3"/>
      <c r="I879" s="3"/>
      <c r="AS879" s="4"/>
      <c r="AT879" s="4"/>
    </row>
    <row r="880" spans="1:46" ht="16.5" customHeight="1">
      <c r="A880" s="4"/>
      <c r="C880" s="4"/>
      <c r="E880" s="4"/>
      <c r="G880" s="3"/>
      <c r="H880" s="3"/>
      <c r="I880" s="3"/>
      <c r="AS880" s="4"/>
      <c r="AT880" s="4"/>
    </row>
    <row r="881" spans="1:46" ht="16.5" customHeight="1">
      <c r="A881" s="4"/>
      <c r="C881" s="4"/>
      <c r="E881" s="4"/>
      <c r="G881" s="3"/>
      <c r="H881" s="3"/>
      <c r="I881" s="3"/>
      <c r="AS881" s="4"/>
      <c r="AT881" s="4"/>
    </row>
    <row r="882" spans="1:46" ht="16.5" customHeight="1">
      <c r="A882" s="4"/>
      <c r="C882" s="4"/>
      <c r="E882" s="4"/>
      <c r="G882" s="3"/>
      <c r="H882" s="3"/>
      <c r="I882" s="3"/>
      <c r="AS882" s="4"/>
      <c r="AT882" s="4"/>
    </row>
    <row r="883" spans="1:46" ht="16.5" customHeight="1">
      <c r="A883" s="4"/>
      <c r="C883" s="4"/>
      <c r="E883" s="4"/>
      <c r="G883" s="3"/>
      <c r="H883" s="3"/>
      <c r="I883" s="3"/>
      <c r="AS883" s="4"/>
      <c r="AT883" s="4"/>
    </row>
    <row r="884" spans="1:46" ht="16.5" customHeight="1">
      <c r="A884" s="4"/>
      <c r="C884" s="4"/>
      <c r="E884" s="4"/>
      <c r="G884" s="3"/>
      <c r="H884" s="3"/>
      <c r="I884" s="3"/>
      <c r="AS884" s="4"/>
      <c r="AT884" s="4"/>
    </row>
    <row r="885" spans="1:46" ht="16.5" customHeight="1">
      <c r="A885" s="4"/>
      <c r="C885" s="4"/>
      <c r="E885" s="4"/>
      <c r="G885" s="3"/>
      <c r="H885" s="3"/>
      <c r="I885" s="3"/>
      <c r="AS885" s="4"/>
      <c r="AT885" s="4"/>
    </row>
    <row r="886" spans="1:46" ht="16.5" customHeight="1">
      <c r="A886" s="4"/>
      <c r="C886" s="4"/>
      <c r="E886" s="4"/>
      <c r="G886" s="3"/>
      <c r="H886" s="3"/>
      <c r="I886" s="3"/>
      <c r="AS886" s="4"/>
      <c r="AT886" s="4"/>
    </row>
    <row r="887" spans="1:46" ht="16.5" customHeight="1">
      <c r="A887" s="4"/>
      <c r="C887" s="4"/>
      <c r="E887" s="4"/>
      <c r="G887" s="3"/>
      <c r="H887" s="3"/>
      <c r="I887" s="3"/>
      <c r="AS887" s="4"/>
      <c r="AT887" s="4"/>
    </row>
    <row r="888" spans="1:46" ht="16.5" customHeight="1">
      <c r="A888" s="4"/>
      <c r="C888" s="4"/>
      <c r="E888" s="4"/>
      <c r="G888" s="3"/>
      <c r="H888" s="3"/>
      <c r="I888" s="3"/>
      <c r="AS888" s="4"/>
      <c r="AT888" s="4"/>
    </row>
    <row r="889" spans="1:46" ht="16.5" customHeight="1">
      <c r="A889" s="4"/>
      <c r="C889" s="4"/>
      <c r="E889" s="4"/>
      <c r="G889" s="3"/>
      <c r="H889" s="3"/>
      <c r="I889" s="3"/>
      <c r="AS889" s="4"/>
      <c r="AT889" s="4"/>
    </row>
    <row r="890" spans="1:46" ht="16.5" customHeight="1">
      <c r="A890" s="4"/>
      <c r="C890" s="4"/>
      <c r="E890" s="4"/>
      <c r="G890" s="3"/>
      <c r="H890" s="3"/>
      <c r="I890" s="3"/>
      <c r="AS890" s="4"/>
      <c r="AT890" s="4"/>
    </row>
    <row r="891" spans="1:46" ht="16.5" customHeight="1">
      <c r="A891" s="4"/>
      <c r="C891" s="4"/>
      <c r="E891" s="4"/>
      <c r="G891" s="3"/>
      <c r="H891" s="3"/>
      <c r="I891" s="3"/>
      <c r="AS891" s="4"/>
      <c r="AT891" s="4"/>
    </row>
    <row r="892" spans="1:46" ht="16.5" customHeight="1">
      <c r="A892" s="4"/>
      <c r="C892" s="4"/>
      <c r="E892" s="4"/>
      <c r="G892" s="3"/>
      <c r="H892" s="3"/>
      <c r="I892" s="3"/>
      <c r="AS892" s="4"/>
      <c r="AT892" s="4"/>
    </row>
    <row r="893" spans="1:46" ht="16.5" customHeight="1">
      <c r="A893" s="4"/>
      <c r="C893" s="4"/>
      <c r="E893" s="4"/>
      <c r="G893" s="3"/>
      <c r="H893" s="3"/>
      <c r="I893" s="3"/>
      <c r="AS893" s="4"/>
      <c r="AT893" s="4"/>
    </row>
    <row r="894" spans="1:46" ht="16.5" customHeight="1">
      <c r="A894" s="4"/>
      <c r="C894" s="4"/>
      <c r="E894" s="4"/>
      <c r="G894" s="3"/>
      <c r="H894" s="3"/>
      <c r="I894" s="3"/>
      <c r="AS894" s="4"/>
      <c r="AT894" s="4"/>
    </row>
    <row r="895" spans="1:46" ht="16.5" customHeight="1">
      <c r="A895" s="4"/>
      <c r="C895" s="4"/>
      <c r="E895" s="4"/>
      <c r="G895" s="3"/>
      <c r="H895" s="3"/>
      <c r="I895" s="3"/>
      <c r="AS895" s="4"/>
      <c r="AT895" s="4"/>
    </row>
    <row r="896" spans="1:46" ht="16.5" customHeight="1">
      <c r="A896" s="4"/>
      <c r="C896" s="4"/>
      <c r="E896" s="4"/>
      <c r="G896" s="3"/>
      <c r="H896" s="3"/>
      <c r="I896" s="3"/>
      <c r="AS896" s="4"/>
      <c r="AT896" s="4"/>
    </row>
    <row r="897" spans="1:46" ht="16.5" customHeight="1">
      <c r="A897" s="4"/>
      <c r="C897" s="4"/>
      <c r="E897" s="4"/>
      <c r="G897" s="3"/>
      <c r="H897" s="3"/>
      <c r="I897" s="3"/>
      <c r="AS897" s="4"/>
      <c r="AT897" s="4"/>
    </row>
    <row r="898" spans="1:46" ht="16.5" customHeight="1">
      <c r="A898" s="4"/>
      <c r="C898" s="4"/>
      <c r="E898" s="4"/>
      <c r="G898" s="3"/>
      <c r="H898" s="3"/>
      <c r="I898" s="3"/>
      <c r="AS898" s="4"/>
      <c r="AT898" s="4"/>
    </row>
    <row r="899" spans="1:46" ht="16.5" customHeight="1">
      <c r="A899" s="4"/>
      <c r="C899" s="4"/>
      <c r="E899" s="4"/>
      <c r="G899" s="3"/>
      <c r="H899" s="3"/>
      <c r="I899" s="3"/>
      <c r="AS899" s="4"/>
      <c r="AT899" s="4"/>
    </row>
    <row r="900" spans="1:46" ht="16.5" customHeight="1">
      <c r="A900" s="4"/>
      <c r="C900" s="4"/>
      <c r="E900" s="4"/>
      <c r="G900" s="3"/>
      <c r="H900" s="3"/>
      <c r="I900" s="3"/>
      <c r="AS900" s="4"/>
      <c r="AT900" s="4"/>
    </row>
    <row r="901" spans="1:46" ht="16.5" customHeight="1">
      <c r="A901" s="4"/>
      <c r="C901" s="4"/>
      <c r="E901" s="4"/>
      <c r="G901" s="3"/>
      <c r="H901" s="3"/>
      <c r="I901" s="3"/>
      <c r="AS901" s="4"/>
      <c r="AT901" s="4"/>
    </row>
    <row r="902" spans="1:46" ht="16.5" customHeight="1">
      <c r="A902" s="4"/>
      <c r="C902" s="4"/>
      <c r="E902" s="4"/>
      <c r="G902" s="3"/>
      <c r="H902" s="3"/>
      <c r="I902" s="3"/>
      <c r="AS902" s="4"/>
      <c r="AT902" s="4"/>
    </row>
    <row r="903" spans="1:46" ht="16.5" customHeight="1">
      <c r="A903" s="4"/>
      <c r="C903" s="4"/>
      <c r="E903" s="4"/>
      <c r="G903" s="3"/>
      <c r="H903" s="3"/>
      <c r="I903" s="3"/>
      <c r="AS903" s="4"/>
      <c r="AT903" s="4"/>
    </row>
    <row r="904" spans="1:46" ht="16.5" customHeight="1">
      <c r="A904" s="4"/>
      <c r="C904" s="4"/>
      <c r="E904" s="4"/>
      <c r="G904" s="3"/>
      <c r="H904" s="3"/>
      <c r="I904" s="3"/>
      <c r="AS904" s="4"/>
      <c r="AT904" s="4"/>
    </row>
    <row r="905" spans="1:46" ht="16.5" customHeight="1">
      <c r="A905" s="4"/>
      <c r="C905" s="4"/>
      <c r="E905" s="4"/>
      <c r="G905" s="3"/>
      <c r="H905" s="3"/>
      <c r="I905" s="3"/>
      <c r="AS905" s="4"/>
      <c r="AT905" s="4"/>
    </row>
    <row r="906" spans="1:46" ht="16.5" customHeight="1">
      <c r="A906" s="4"/>
      <c r="C906" s="4"/>
      <c r="E906" s="4"/>
      <c r="G906" s="3"/>
      <c r="H906" s="3"/>
      <c r="I906" s="3"/>
      <c r="AS906" s="4"/>
      <c r="AT906" s="4"/>
    </row>
    <row r="907" spans="1:46" ht="16.5" customHeight="1">
      <c r="A907" s="4"/>
      <c r="C907" s="4"/>
      <c r="E907" s="4"/>
      <c r="G907" s="3"/>
      <c r="H907" s="3"/>
      <c r="I907" s="3"/>
      <c r="AS907" s="4"/>
      <c r="AT907" s="4"/>
    </row>
    <row r="908" spans="1:46" ht="16.5" customHeight="1">
      <c r="A908" s="4"/>
      <c r="C908" s="4"/>
      <c r="E908" s="4"/>
      <c r="G908" s="3"/>
      <c r="H908" s="3"/>
      <c r="I908" s="3"/>
      <c r="AS908" s="4"/>
      <c r="AT908" s="4"/>
    </row>
    <row r="909" spans="1:46" ht="16.5" customHeight="1">
      <c r="A909" s="4"/>
      <c r="C909" s="4"/>
      <c r="E909" s="4"/>
      <c r="G909" s="3"/>
      <c r="H909" s="3"/>
      <c r="I909" s="3"/>
      <c r="AS909" s="4"/>
      <c r="AT909" s="4"/>
    </row>
    <row r="910" spans="1:46" ht="16.5" customHeight="1">
      <c r="A910" s="4"/>
      <c r="C910" s="4"/>
      <c r="E910" s="4"/>
      <c r="G910" s="3"/>
      <c r="H910" s="3"/>
      <c r="I910" s="3"/>
      <c r="AS910" s="4"/>
      <c r="AT910" s="4"/>
    </row>
    <row r="911" spans="1:46" ht="16.5" customHeight="1">
      <c r="A911" s="4"/>
      <c r="C911" s="4"/>
      <c r="E911" s="4"/>
      <c r="G911" s="3"/>
      <c r="H911" s="3"/>
      <c r="I911" s="3"/>
      <c r="AS911" s="4"/>
      <c r="AT911" s="4"/>
    </row>
    <row r="912" spans="1:46" ht="16.5" customHeight="1">
      <c r="A912" s="4"/>
      <c r="C912" s="4"/>
      <c r="E912" s="4"/>
      <c r="G912" s="3"/>
      <c r="H912" s="3"/>
      <c r="I912" s="3"/>
      <c r="AS912" s="4"/>
      <c r="AT912" s="4"/>
    </row>
    <row r="913" spans="1:46" ht="16.5" customHeight="1">
      <c r="A913" s="4"/>
      <c r="C913" s="4"/>
      <c r="E913" s="4"/>
      <c r="G913" s="3"/>
      <c r="H913" s="3"/>
      <c r="I913" s="3"/>
      <c r="AS913" s="4"/>
      <c r="AT913" s="4"/>
    </row>
    <row r="914" spans="1:46" ht="16.5" customHeight="1">
      <c r="A914" s="4"/>
      <c r="C914" s="4"/>
      <c r="E914" s="4"/>
      <c r="G914" s="3"/>
      <c r="H914" s="3"/>
      <c r="I914" s="3"/>
      <c r="AS914" s="4"/>
      <c r="AT914" s="4"/>
    </row>
    <row r="915" spans="1:46" ht="16.5" customHeight="1">
      <c r="A915" s="4"/>
      <c r="C915" s="4"/>
      <c r="E915" s="4"/>
      <c r="G915" s="3"/>
      <c r="H915" s="3"/>
      <c r="I915" s="3"/>
      <c r="AS915" s="4"/>
      <c r="AT915" s="4"/>
    </row>
    <row r="916" spans="1:46" ht="16.5" customHeight="1">
      <c r="A916" s="4"/>
      <c r="C916" s="4"/>
      <c r="E916" s="4"/>
      <c r="G916" s="3"/>
      <c r="H916" s="3"/>
      <c r="I916" s="3"/>
      <c r="AS916" s="4"/>
      <c r="AT916" s="4"/>
    </row>
    <row r="917" spans="1:46" ht="16.5" customHeight="1">
      <c r="A917" s="4"/>
      <c r="C917" s="4"/>
      <c r="E917" s="4"/>
      <c r="G917" s="3"/>
      <c r="H917" s="3"/>
      <c r="I917" s="3"/>
      <c r="AS917" s="4"/>
      <c r="AT917" s="4"/>
    </row>
    <row r="918" spans="1:46" ht="16.5" customHeight="1">
      <c r="A918" s="4"/>
      <c r="C918" s="4"/>
      <c r="E918" s="4"/>
      <c r="G918" s="3"/>
      <c r="H918" s="3"/>
      <c r="I918" s="3"/>
      <c r="AS918" s="4"/>
      <c r="AT918" s="4"/>
    </row>
    <row r="919" spans="1:46" ht="16.5" customHeight="1">
      <c r="A919" s="4"/>
      <c r="C919" s="4"/>
      <c r="E919" s="4"/>
      <c r="G919" s="3"/>
      <c r="H919" s="3"/>
      <c r="I919" s="3"/>
      <c r="AS919" s="4"/>
      <c r="AT919" s="4"/>
    </row>
    <row r="920" spans="1:46" ht="16.5" customHeight="1">
      <c r="A920" s="4"/>
      <c r="C920" s="4"/>
      <c r="E920" s="4"/>
      <c r="G920" s="3"/>
      <c r="H920" s="3"/>
      <c r="I920" s="3"/>
      <c r="AS920" s="4"/>
      <c r="AT920" s="4"/>
    </row>
    <row r="921" spans="1:46" ht="16.5" customHeight="1">
      <c r="A921" s="4"/>
      <c r="C921" s="4"/>
      <c r="E921" s="4"/>
      <c r="G921" s="3"/>
      <c r="H921" s="3"/>
      <c r="I921" s="3"/>
      <c r="AS921" s="4"/>
      <c r="AT921" s="4"/>
    </row>
    <row r="922" spans="1:46" ht="16.5" customHeight="1">
      <c r="A922" s="4"/>
      <c r="C922" s="4"/>
      <c r="E922" s="4"/>
      <c r="G922" s="3"/>
      <c r="H922" s="3"/>
      <c r="I922" s="3"/>
      <c r="AS922" s="4"/>
      <c r="AT922" s="4"/>
    </row>
    <row r="923" spans="1:46" ht="16.5" customHeight="1">
      <c r="A923" s="4"/>
      <c r="C923" s="4"/>
      <c r="E923" s="4"/>
      <c r="G923" s="3"/>
      <c r="H923" s="3"/>
      <c r="I923" s="3"/>
      <c r="AS923" s="4"/>
      <c r="AT923" s="4"/>
    </row>
    <row r="924" spans="1:46" ht="16.5" customHeight="1">
      <c r="A924" s="4"/>
      <c r="C924" s="4"/>
      <c r="E924" s="4"/>
      <c r="G924" s="3"/>
      <c r="H924" s="3"/>
      <c r="I924" s="3"/>
      <c r="AS924" s="4"/>
      <c r="AT924" s="4"/>
    </row>
    <row r="925" spans="1:46" ht="16.5" customHeight="1">
      <c r="A925" s="4"/>
      <c r="C925" s="4"/>
      <c r="E925" s="4"/>
      <c r="G925" s="3"/>
      <c r="H925" s="3"/>
      <c r="I925" s="3"/>
      <c r="AS925" s="4"/>
      <c r="AT925" s="4"/>
    </row>
    <row r="926" spans="1:46" ht="16.5" customHeight="1">
      <c r="A926" s="4"/>
      <c r="C926" s="4"/>
      <c r="E926" s="4"/>
      <c r="G926" s="3"/>
      <c r="H926" s="3"/>
      <c r="I926" s="3"/>
      <c r="AS926" s="4"/>
      <c r="AT926" s="4"/>
    </row>
    <row r="927" spans="1:46" ht="16.5" customHeight="1">
      <c r="A927" s="4"/>
      <c r="C927" s="4"/>
      <c r="E927" s="4"/>
      <c r="G927" s="3"/>
      <c r="H927" s="3"/>
      <c r="I927" s="3"/>
      <c r="AS927" s="4"/>
      <c r="AT927" s="4"/>
    </row>
    <row r="928" spans="1:46" ht="16.5" customHeight="1">
      <c r="A928" s="4"/>
      <c r="C928" s="4"/>
      <c r="E928" s="4"/>
      <c r="G928" s="3"/>
      <c r="H928" s="3"/>
      <c r="I928" s="3"/>
      <c r="AS928" s="4"/>
      <c r="AT928" s="4"/>
    </row>
    <row r="929" spans="1:46" ht="16.5" customHeight="1">
      <c r="A929" s="4"/>
      <c r="C929" s="4"/>
      <c r="E929" s="4"/>
      <c r="G929" s="3"/>
      <c r="H929" s="3"/>
      <c r="I929" s="3"/>
      <c r="AS929" s="4"/>
      <c r="AT929" s="4"/>
    </row>
    <row r="930" spans="1:46" ht="16.5" customHeight="1">
      <c r="A930" s="4"/>
      <c r="C930" s="4"/>
      <c r="E930" s="4"/>
      <c r="G930" s="3"/>
      <c r="H930" s="3"/>
      <c r="I930" s="3"/>
      <c r="AS930" s="4"/>
      <c r="AT930" s="4"/>
    </row>
    <row r="931" spans="1:46" ht="16.5" customHeight="1">
      <c r="A931" s="4"/>
      <c r="C931" s="4"/>
      <c r="E931" s="4"/>
      <c r="G931" s="3"/>
      <c r="H931" s="3"/>
      <c r="I931" s="3"/>
      <c r="AS931" s="4"/>
      <c r="AT931" s="4"/>
    </row>
    <row r="932" spans="1:46" ht="16.5" customHeight="1">
      <c r="A932" s="4"/>
      <c r="C932" s="4"/>
      <c r="E932" s="4"/>
      <c r="G932" s="3"/>
      <c r="H932" s="3"/>
      <c r="I932" s="3"/>
      <c r="AS932" s="4"/>
      <c r="AT932" s="4"/>
    </row>
    <row r="933" spans="1:46" ht="16.5" customHeight="1">
      <c r="A933" s="4"/>
      <c r="C933" s="4"/>
      <c r="E933" s="4"/>
      <c r="G933" s="3"/>
      <c r="H933" s="3"/>
      <c r="I933" s="3"/>
      <c r="AS933" s="4"/>
      <c r="AT933" s="4"/>
    </row>
    <row r="934" spans="1:46" ht="16.5" customHeight="1">
      <c r="A934" s="4"/>
      <c r="C934" s="4"/>
      <c r="E934" s="4"/>
      <c r="G934" s="3"/>
      <c r="H934" s="3"/>
      <c r="I934" s="3"/>
      <c r="AS934" s="4"/>
      <c r="AT934" s="4"/>
    </row>
    <row r="935" spans="1:46" ht="16.5" customHeight="1">
      <c r="A935" s="4"/>
      <c r="C935" s="4"/>
      <c r="E935" s="4"/>
      <c r="G935" s="3"/>
      <c r="H935" s="3"/>
      <c r="I935" s="3"/>
      <c r="AS935" s="4"/>
      <c r="AT935" s="4"/>
    </row>
    <row r="936" spans="1:46" ht="16.5" customHeight="1">
      <c r="A936" s="4"/>
      <c r="C936" s="4"/>
      <c r="E936" s="4"/>
      <c r="G936" s="3"/>
      <c r="H936" s="3"/>
      <c r="I936" s="3"/>
      <c r="AS936" s="4"/>
      <c r="AT936" s="4"/>
    </row>
    <row r="937" spans="1:46" ht="16.5" customHeight="1">
      <c r="A937" s="4"/>
      <c r="C937" s="4"/>
      <c r="E937" s="4"/>
      <c r="G937" s="3"/>
      <c r="H937" s="3"/>
      <c r="I937" s="3"/>
      <c r="AS937" s="4"/>
      <c r="AT937" s="4"/>
    </row>
    <row r="938" spans="1:46" ht="16.5" customHeight="1">
      <c r="A938" s="4"/>
      <c r="C938" s="4"/>
      <c r="E938" s="4"/>
      <c r="G938" s="3"/>
      <c r="H938" s="3"/>
      <c r="I938" s="3"/>
      <c r="AS938" s="4"/>
      <c r="AT938" s="4"/>
    </row>
    <row r="939" spans="1:46" ht="16.5" customHeight="1">
      <c r="A939" s="4"/>
      <c r="C939" s="4"/>
      <c r="E939" s="4"/>
      <c r="G939" s="3"/>
      <c r="H939" s="3"/>
      <c r="I939" s="3"/>
      <c r="AS939" s="4"/>
      <c r="AT939" s="4"/>
    </row>
    <row r="940" spans="1:46" ht="16.5" customHeight="1">
      <c r="A940" s="4"/>
      <c r="C940" s="4"/>
      <c r="E940" s="4"/>
      <c r="G940" s="3"/>
      <c r="H940" s="3"/>
      <c r="I940" s="3"/>
      <c r="AS940" s="4"/>
      <c r="AT940" s="4"/>
    </row>
    <row r="941" spans="1:46" ht="16.5" customHeight="1">
      <c r="A941" s="4"/>
      <c r="C941" s="4"/>
      <c r="E941" s="4"/>
      <c r="G941" s="3"/>
      <c r="H941" s="3"/>
      <c r="I941" s="3"/>
      <c r="AS941" s="4"/>
      <c r="AT941" s="4"/>
    </row>
    <row r="942" spans="1:46" ht="16.5" customHeight="1">
      <c r="A942" s="4"/>
      <c r="C942" s="4"/>
      <c r="E942" s="4"/>
      <c r="G942" s="3"/>
      <c r="H942" s="3"/>
      <c r="I942" s="3"/>
      <c r="AS942" s="4"/>
      <c r="AT942" s="4"/>
    </row>
    <row r="943" spans="1:46" ht="16.5" customHeight="1">
      <c r="A943" s="4"/>
      <c r="C943" s="4"/>
      <c r="E943" s="4"/>
      <c r="G943" s="3"/>
      <c r="H943" s="3"/>
      <c r="I943" s="3"/>
      <c r="AS943" s="4"/>
      <c r="AT943" s="4"/>
    </row>
    <row r="944" spans="1:46" ht="16.5" customHeight="1">
      <c r="A944" s="4"/>
      <c r="C944" s="4"/>
      <c r="E944" s="4"/>
      <c r="G944" s="3"/>
      <c r="H944" s="3"/>
      <c r="I944" s="3"/>
      <c r="AS944" s="4"/>
      <c r="AT944" s="4"/>
    </row>
    <row r="945" spans="1:46" ht="16.5" customHeight="1">
      <c r="A945" s="4"/>
      <c r="C945" s="4"/>
      <c r="E945" s="4"/>
      <c r="G945" s="3"/>
      <c r="H945" s="3"/>
      <c r="I945" s="3"/>
      <c r="AS945" s="4"/>
      <c r="AT945" s="4"/>
    </row>
    <row r="946" spans="1:46" ht="16.5" customHeight="1">
      <c r="A946" s="4"/>
      <c r="C946" s="4"/>
      <c r="E946" s="4"/>
      <c r="G946" s="3"/>
      <c r="H946" s="3"/>
      <c r="I946" s="3"/>
      <c r="AS946" s="4"/>
      <c r="AT946" s="4"/>
    </row>
    <row r="947" spans="1:46" ht="16.5" customHeight="1">
      <c r="A947" s="4"/>
      <c r="C947" s="4"/>
      <c r="E947" s="4"/>
      <c r="G947" s="3"/>
      <c r="H947" s="3"/>
      <c r="I947" s="3"/>
      <c r="AS947" s="4"/>
      <c r="AT947" s="4"/>
    </row>
    <row r="948" spans="1:46" ht="16.5" customHeight="1">
      <c r="A948" s="4"/>
      <c r="C948" s="4"/>
      <c r="E948" s="4"/>
      <c r="G948" s="3"/>
      <c r="H948" s="3"/>
      <c r="I948" s="3"/>
      <c r="AS948" s="4"/>
      <c r="AT948" s="4"/>
    </row>
    <row r="949" spans="1:46" ht="16.5" customHeight="1">
      <c r="A949" s="4"/>
      <c r="C949" s="4"/>
      <c r="E949" s="4"/>
      <c r="G949" s="3"/>
      <c r="H949" s="3"/>
      <c r="I949" s="3"/>
      <c r="AS949" s="4"/>
      <c r="AT949" s="4"/>
    </row>
    <row r="950" spans="1:46" ht="16.5" customHeight="1">
      <c r="A950" s="4"/>
      <c r="C950" s="4"/>
      <c r="E950" s="4"/>
      <c r="G950" s="3"/>
      <c r="H950" s="3"/>
      <c r="I950" s="3"/>
      <c r="AS950" s="4"/>
      <c r="AT950" s="4"/>
    </row>
    <row r="951" spans="1:46" ht="16.5" customHeight="1">
      <c r="A951" s="4"/>
      <c r="C951" s="4"/>
      <c r="E951" s="4"/>
      <c r="G951" s="3"/>
      <c r="H951" s="3"/>
      <c r="I951" s="3"/>
      <c r="AS951" s="4"/>
      <c r="AT951" s="4"/>
    </row>
    <row r="952" spans="1:46" ht="16.5" customHeight="1">
      <c r="A952" s="4"/>
      <c r="C952" s="4"/>
      <c r="E952" s="4"/>
      <c r="G952" s="3"/>
      <c r="H952" s="3"/>
      <c r="I952" s="3"/>
      <c r="AS952" s="4"/>
      <c r="AT952" s="4"/>
    </row>
    <row r="953" spans="1:46" ht="16.5" customHeight="1">
      <c r="A953" s="4"/>
      <c r="C953" s="4"/>
      <c r="E953" s="4"/>
      <c r="G953" s="3"/>
      <c r="H953" s="3"/>
      <c r="I953" s="3"/>
      <c r="AS953" s="4"/>
      <c r="AT953" s="4"/>
    </row>
    <row r="954" spans="1:46" ht="16.5" customHeight="1">
      <c r="A954" s="4"/>
      <c r="C954" s="4"/>
      <c r="E954" s="4"/>
      <c r="G954" s="3"/>
      <c r="H954" s="3"/>
      <c r="I954" s="3"/>
      <c r="AS954" s="4"/>
      <c r="AT954" s="4"/>
    </row>
    <row r="955" spans="1:46" ht="16.5" customHeight="1">
      <c r="A955" s="4"/>
      <c r="C955" s="4"/>
      <c r="E955" s="4"/>
      <c r="G955" s="3"/>
      <c r="H955" s="3"/>
      <c r="I955" s="3"/>
      <c r="AS955" s="4"/>
      <c r="AT955" s="4"/>
    </row>
    <row r="956" spans="1:46" ht="16.5" customHeight="1">
      <c r="A956" s="4"/>
      <c r="C956" s="4"/>
      <c r="E956" s="4"/>
      <c r="G956" s="3"/>
      <c r="H956" s="3"/>
      <c r="I956" s="3"/>
      <c r="AS956" s="4"/>
      <c r="AT956" s="4"/>
    </row>
    <row r="957" spans="1:46" ht="16.5" customHeight="1">
      <c r="A957" s="4"/>
      <c r="C957" s="4"/>
      <c r="E957" s="4"/>
      <c r="G957" s="3"/>
      <c r="H957" s="3"/>
      <c r="I957" s="3"/>
      <c r="AS957" s="4"/>
      <c r="AT957" s="4"/>
    </row>
    <row r="958" spans="1:46" ht="16.5" customHeight="1">
      <c r="A958" s="4"/>
      <c r="C958" s="4"/>
      <c r="E958" s="4"/>
      <c r="G958" s="3"/>
      <c r="H958" s="3"/>
      <c r="I958" s="3"/>
      <c r="AS958" s="4"/>
      <c r="AT958" s="4"/>
    </row>
    <row r="959" spans="1:46" ht="16.5" customHeight="1">
      <c r="A959" s="4"/>
      <c r="C959" s="4"/>
      <c r="E959" s="4"/>
      <c r="G959" s="3"/>
      <c r="H959" s="3"/>
      <c r="I959" s="3"/>
      <c r="AS959" s="4"/>
      <c r="AT959" s="4"/>
    </row>
    <row r="960" spans="1:46" ht="16.5" customHeight="1">
      <c r="A960" s="4"/>
      <c r="C960" s="4"/>
      <c r="E960" s="4"/>
      <c r="G960" s="3"/>
      <c r="H960" s="3"/>
      <c r="I960" s="3"/>
      <c r="AS960" s="4"/>
      <c r="AT960" s="4"/>
    </row>
    <row r="961" spans="1:46" ht="16.5" customHeight="1">
      <c r="A961" s="4"/>
      <c r="C961" s="4"/>
      <c r="E961" s="4"/>
      <c r="G961" s="3"/>
      <c r="H961" s="3"/>
      <c r="I961" s="3"/>
      <c r="AS961" s="4"/>
      <c r="AT961" s="4"/>
    </row>
    <row r="962" spans="1:46" ht="16.5" customHeight="1">
      <c r="A962" s="4"/>
      <c r="C962" s="4"/>
      <c r="E962" s="4"/>
      <c r="G962" s="3"/>
      <c r="H962" s="3"/>
      <c r="I962" s="3"/>
      <c r="AS962" s="4"/>
      <c r="AT962" s="4"/>
    </row>
    <row r="963" spans="1:46" ht="16.5" customHeight="1">
      <c r="A963" s="4"/>
      <c r="C963" s="4"/>
      <c r="E963" s="4"/>
      <c r="G963" s="3"/>
      <c r="H963" s="3"/>
      <c r="I963" s="3"/>
      <c r="AS963" s="4"/>
      <c r="AT963" s="4"/>
    </row>
    <row r="964" spans="1:46" ht="16.5" customHeight="1">
      <c r="A964" s="4"/>
      <c r="C964" s="4"/>
      <c r="E964" s="4"/>
      <c r="G964" s="3"/>
      <c r="H964" s="3"/>
      <c r="I964" s="3"/>
      <c r="AS964" s="4"/>
      <c r="AT964" s="4"/>
    </row>
    <row r="965" spans="1:46" ht="16.5" customHeight="1">
      <c r="A965" s="4"/>
      <c r="C965" s="4"/>
      <c r="E965" s="4"/>
      <c r="G965" s="3"/>
      <c r="H965" s="3"/>
      <c r="I965" s="3"/>
      <c r="AS965" s="4"/>
      <c r="AT965" s="4"/>
    </row>
    <row r="966" spans="1:46" ht="16.5" customHeight="1">
      <c r="A966" s="4"/>
      <c r="C966" s="4"/>
      <c r="E966" s="4"/>
      <c r="G966" s="3"/>
      <c r="H966" s="3"/>
      <c r="I966" s="3"/>
      <c r="AS966" s="4"/>
      <c r="AT966" s="4"/>
    </row>
    <row r="967" spans="1:46" ht="16.5" customHeight="1">
      <c r="A967" s="4"/>
      <c r="C967" s="4"/>
      <c r="E967" s="4"/>
      <c r="G967" s="3"/>
      <c r="H967" s="3"/>
      <c r="I967" s="3"/>
      <c r="AS967" s="4"/>
      <c r="AT967" s="4"/>
    </row>
    <row r="968" spans="1:46" ht="16.5" customHeight="1">
      <c r="A968" s="4"/>
      <c r="C968" s="4"/>
      <c r="E968" s="4"/>
      <c r="G968" s="3"/>
      <c r="H968" s="3"/>
      <c r="I968" s="3"/>
      <c r="AS968" s="4"/>
      <c r="AT968" s="4"/>
    </row>
    <row r="969" spans="1:46" ht="16.5" customHeight="1">
      <c r="A969" s="4"/>
      <c r="C969" s="4"/>
      <c r="E969" s="4"/>
      <c r="G969" s="3"/>
      <c r="H969" s="3"/>
      <c r="I969" s="3"/>
      <c r="AS969" s="4"/>
      <c r="AT969" s="4"/>
    </row>
    <row r="970" spans="1:46" ht="16.5" customHeight="1">
      <c r="A970" s="4"/>
      <c r="C970" s="4"/>
      <c r="E970" s="4"/>
      <c r="G970" s="3"/>
      <c r="H970" s="3"/>
      <c r="I970" s="3"/>
      <c r="AS970" s="4"/>
      <c r="AT970" s="4"/>
    </row>
    <row r="971" spans="1:46" ht="16.5" customHeight="1">
      <c r="A971" s="4"/>
      <c r="C971" s="4"/>
      <c r="E971" s="4"/>
      <c r="G971" s="3"/>
      <c r="H971" s="3"/>
      <c r="I971" s="3"/>
      <c r="AS971" s="4"/>
      <c r="AT971" s="4"/>
    </row>
    <row r="972" spans="1:46" ht="16.5" customHeight="1">
      <c r="A972" s="4"/>
      <c r="C972" s="4"/>
      <c r="E972" s="4"/>
      <c r="G972" s="3"/>
      <c r="H972" s="3"/>
      <c r="I972" s="3"/>
      <c r="AS972" s="4"/>
      <c r="AT972" s="4"/>
    </row>
    <row r="973" spans="1:46" ht="16.5" customHeight="1">
      <c r="A973" s="4"/>
      <c r="C973" s="4"/>
      <c r="E973" s="4"/>
      <c r="G973" s="3"/>
      <c r="H973" s="3"/>
      <c r="I973" s="3"/>
      <c r="AS973" s="4"/>
      <c r="AT973" s="4"/>
    </row>
    <row r="974" spans="1:46" ht="16.5" customHeight="1">
      <c r="A974" s="4"/>
      <c r="C974" s="4"/>
      <c r="E974" s="4"/>
      <c r="G974" s="3"/>
      <c r="H974" s="3"/>
      <c r="I974" s="3"/>
      <c r="AS974" s="4"/>
      <c r="AT974" s="4"/>
    </row>
    <row r="975" spans="1:46" ht="16.5" customHeight="1">
      <c r="A975" s="4"/>
      <c r="C975" s="4"/>
      <c r="E975" s="4"/>
      <c r="G975" s="3"/>
      <c r="H975" s="3"/>
      <c r="I975" s="3"/>
      <c r="AS975" s="4"/>
      <c r="AT975" s="4"/>
    </row>
    <row r="976" spans="1:46" ht="16.5" customHeight="1">
      <c r="A976" s="4"/>
      <c r="C976" s="4"/>
      <c r="E976" s="4"/>
      <c r="G976" s="3"/>
      <c r="H976" s="3"/>
      <c r="I976" s="3"/>
      <c r="AS976" s="4"/>
      <c r="AT976" s="4"/>
    </row>
    <row r="977" spans="1:46" ht="16.5" customHeight="1">
      <c r="A977" s="4"/>
      <c r="C977" s="4"/>
      <c r="E977" s="4"/>
      <c r="G977" s="3"/>
      <c r="H977" s="3"/>
      <c r="I977" s="3"/>
      <c r="AS977" s="4"/>
      <c r="AT977" s="4"/>
    </row>
    <row r="978" spans="1:46" ht="16.5" customHeight="1">
      <c r="A978" s="4"/>
      <c r="C978" s="4"/>
      <c r="E978" s="4"/>
      <c r="G978" s="3"/>
      <c r="H978" s="3"/>
      <c r="I978" s="3"/>
      <c r="AS978" s="4"/>
      <c r="AT978" s="4"/>
    </row>
    <row r="979" spans="1:46" ht="16.5" customHeight="1">
      <c r="A979" s="4"/>
      <c r="C979" s="4"/>
      <c r="E979" s="4"/>
      <c r="G979" s="3"/>
      <c r="H979" s="3"/>
      <c r="I979" s="3"/>
      <c r="AS979" s="4"/>
      <c r="AT979" s="4"/>
    </row>
    <row r="980" spans="1:46" ht="16.5" customHeight="1">
      <c r="A980" s="4"/>
      <c r="C980" s="4"/>
      <c r="E980" s="4"/>
      <c r="G980" s="3"/>
      <c r="H980" s="3"/>
      <c r="I980" s="3"/>
      <c r="AS980" s="4"/>
      <c r="AT980" s="4"/>
    </row>
    <row r="981" spans="1:46" ht="16.5" customHeight="1">
      <c r="A981" s="4"/>
      <c r="C981" s="4"/>
      <c r="E981" s="4"/>
      <c r="G981" s="3"/>
      <c r="H981" s="3"/>
      <c r="I981" s="3"/>
      <c r="AS981" s="4"/>
      <c r="AT981" s="4"/>
    </row>
    <row r="982" spans="1:46" ht="16.5" customHeight="1">
      <c r="A982" s="4"/>
      <c r="C982" s="4"/>
      <c r="E982" s="4"/>
      <c r="G982" s="3"/>
      <c r="H982" s="3"/>
      <c r="I982" s="3"/>
      <c r="AS982" s="4"/>
      <c r="AT982" s="4"/>
    </row>
    <row r="983" spans="1:46" ht="16.5" customHeight="1">
      <c r="A983" s="4"/>
      <c r="C983" s="4"/>
      <c r="E983" s="4"/>
      <c r="G983" s="3"/>
      <c r="H983" s="3"/>
      <c r="I983" s="3"/>
      <c r="AS983" s="4"/>
      <c r="AT983" s="4"/>
    </row>
    <row r="984" spans="1:46" ht="16.5" customHeight="1">
      <c r="A984" s="4"/>
      <c r="C984" s="4"/>
      <c r="E984" s="4"/>
      <c r="G984" s="3"/>
      <c r="H984" s="3"/>
      <c r="I984" s="3"/>
      <c r="AS984" s="4"/>
      <c r="AT984" s="4"/>
    </row>
    <row r="985" spans="1:46" ht="16.5" customHeight="1">
      <c r="A985" s="4"/>
      <c r="C985" s="4"/>
      <c r="E985" s="4"/>
      <c r="G985" s="3"/>
      <c r="H985" s="3"/>
      <c r="I985" s="3"/>
      <c r="AS985" s="4"/>
      <c r="AT985" s="4"/>
    </row>
    <row r="986" spans="1:46" ht="16.5" customHeight="1">
      <c r="A986" s="4"/>
      <c r="C986" s="4"/>
      <c r="E986" s="4"/>
      <c r="G986" s="3"/>
      <c r="H986" s="3"/>
      <c r="I986" s="3"/>
      <c r="AS986" s="4"/>
      <c r="AT986" s="4"/>
    </row>
    <row r="987" spans="1:46" ht="16.5" customHeight="1">
      <c r="A987" s="4"/>
      <c r="C987" s="4"/>
      <c r="E987" s="4"/>
      <c r="G987" s="3"/>
      <c r="H987" s="3"/>
      <c r="I987" s="3"/>
      <c r="AS987" s="4"/>
      <c r="AT987" s="4"/>
    </row>
    <row r="988" spans="1:46" ht="16.5" customHeight="1">
      <c r="A988" s="4"/>
      <c r="C988" s="4"/>
      <c r="E988" s="4"/>
      <c r="G988" s="3"/>
      <c r="H988" s="3"/>
      <c r="I988" s="3"/>
      <c r="AS988" s="4"/>
      <c r="AT988" s="4"/>
    </row>
    <row r="989" spans="1:46" ht="16.5" customHeight="1">
      <c r="A989" s="4"/>
      <c r="C989" s="4"/>
      <c r="E989" s="4"/>
      <c r="G989" s="3"/>
      <c r="H989" s="3"/>
      <c r="I989" s="3"/>
      <c r="AS989" s="4"/>
      <c r="AT989" s="4"/>
    </row>
    <row r="990" spans="1:46" ht="16.5" customHeight="1">
      <c r="A990" s="4"/>
      <c r="C990" s="4"/>
      <c r="E990" s="4"/>
      <c r="G990" s="3"/>
      <c r="H990" s="3"/>
      <c r="I990" s="3"/>
      <c r="AS990" s="4"/>
      <c r="AT990" s="4"/>
    </row>
    <row r="991" spans="1:46" ht="16.5" customHeight="1">
      <c r="A991" s="4"/>
      <c r="C991" s="4"/>
      <c r="E991" s="4"/>
      <c r="G991" s="3"/>
      <c r="H991" s="3"/>
      <c r="I991" s="3"/>
      <c r="AS991" s="4"/>
      <c r="AT991" s="4"/>
    </row>
    <row r="992" spans="1:46" ht="16.5" customHeight="1">
      <c r="A992" s="4"/>
      <c r="C992" s="4"/>
      <c r="E992" s="4"/>
      <c r="G992" s="3"/>
      <c r="H992" s="3"/>
      <c r="I992" s="3"/>
      <c r="AS992" s="4"/>
      <c r="AT992" s="4"/>
    </row>
    <row r="993" spans="1:46" ht="16.5" customHeight="1">
      <c r="A993" s="4"/>
      <c r="C993" s="4"/>
      <c r="E993" s="4"/>
      <c r="G993" s="3"/>
      <c r="H993" s="3"/>
      <c r="I993" s="3"/>
      <c r="AS993" s="4"/>
      <c r="AT993" s="4"/>
    </row>
    <row r="994" spans="1:46" ht="16.5" customHeight="1">
      <c r="A994" s="4"/>
      <c r="C994" s="4"/>
      <c r="E994" s="4"/>
      <c r="G994" s="3"/>
      <c r="H994" s="3"/>
      <c r="I994" s="3"/>
      <c r="AS994" s="4"/>
      <c r="AT994" s="4"/>
    </row>
    <row r="995" spans="1:46" ht="16.5" customHeight="1">
      <c r="A995" s="4"/>
      <c r="C995" s="4"/>
      <c r="E995" s="4"/>
      <c r="G995" s="3"/>
      <c r="H995" s="3"/>
      <c r="I995" s="3"/>
      <c r="AS995" s="4"/>
      <c r="AT995" s="4"/>
    </row>
    <row r="996" spans="1:46" ht="16.5" customHeight="1">
      <c r="A996" s="4"/>
      <c r="C996" s="4"/>
      <c r="E996" s="4"/>
      <c r="G996" s="3"/>
      <c r="H996" s="3"/>
      <c r="I996" s="3"/>
      <c r="AS996" s="4"/>
      <c r="AT996" s="4"/>
    </row>
    <row r="997" spans="1:46" ht="16.5" customHeight="1">
      <c r="A997" s="4"/>
      <c r="C997" s="4"/>
      <c r="E997" s="4"/>
      <c r="G997" s="3"/>
      <c r="H997" s="3"/>
      <c r="I997" s="3"/>
      <c r="AS997" s="4"/>
      <c r="AT997" s="4"/>
    </row>
    <row r="998" spans="1:46" ht="16.5" customHeight="1">
      <c r="A998" s="4"/>
      <c r="C998" s="4"/>
      <c r="E998" s="4"/>
      <c r="G998" s="3"/>
      <c r="H998" s="3"/>
      <c r="I998" s="3"/>
      <c r="AS998" s="4"/>
      <c r="AT998" s="4"/>
    </row>
    <row r="999" spans="1:46" ht="16.5" customHeight="1">
      <c r="A999" s="4"/>
      <c r="C999" s="4"/>
      <c r="E999" s="4"/>
      <c r="G999" s="3"/>
      <c r="H999" s="3"/>
      <c r="I999" s="3"/>
      <c r="AS999" s="4"/>
      <c r="AT999" s="4"/>
    </row>
    <row r="1000" spans="1:46" ht="16.5" customHeight="1">
      <c r="A1000" s="4"/>
      <c r="C1000" s="4"/>
      <c r="E1000" s="4"/>
      <c r="G1000" s="3"/>
      <c r="H1000" s="3"/>
      <c r="I1000" s="3"/>
      <c r="AS1000" s="4"/>
      <c r="AT1000" s="4"/>
    </row>
  </sheetData>
  <mergeCells count="18">
    <mergeCell ref="AZ1:BB1"/>
    <mergeCell ref="A1:E1"/>
    <mergeCell ref="G1:I1"/>
    <mergeCell ref="L1:P1"/>
    <mergeCell ref="R1:T1"/>
    <mergeCell ref="V1:Y1"/>
    <mergeCell ref="AC1:AD1"/>
    <mergeCell ref="AE1:AF1"/>
    <mergeCell ref="L21:N21"/>
    <mergeCell ref="A25:C25"/>
    <mergeCell ref="AG1:AH1"/>
    <mergeCell ref="AI1:AJ1"/>
    <mergeCell ref="AV1:AX1"/>
    <mergeCell ref="R7:T7"/>
    <mergeCell ref="L11:P11"/>
    <mergeCell ref="A8:C8"/>
    <mergeCell ref="A14:C14"/>
    <mergeCell ref="A20:C20"/>
  </mergeCells>
  <phoneticPr fontId="15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1</vt:i4>
      </vt:variant>
    </vt:vector>
  </HeadingPairs>
  <TitlesOfParts>
    <vt:vector size="13" baseType="lpstr">
      <vt:lpstr>요약</vt:lpstr>
      <vt:lpstr>기초</vt:lpstr>
      <vt:lpstr>1 보유</vt:lpstr>
      <vt:lpstr>2 보유</vt:lpstr>
      <vt:lpstr>3 보유</vt:lpstr>
      <vt:lpstr>취득</vt:lpstr>
      <vt:lpstr>증여</vt:lpstr>
      <vt:lpstr>양도</vt:lpstr>
      <vt:lpstr>부담부증여</vt:lpstr>
      <vt:lpstr>저가양수도</vt:lpstr>
      <vt:lpstr>상속</vt:lpstr>
      <vt:lpstr>t</vt:lpstr>
      <vt:lpstr>주택특징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TV 두꺼비</cp:lastModifiedBy>
  <cp:lastPrinted>2026-08-11T01:51:00Z</cp:lastPrinted>
  <dcterms:created xsi:type="dcterms:W3CDTF">2026-08-09T12:08:07Z</dcterms:created>
  <dcterms:modified xsi:type="dcterms:W3CDTF">2026-08-11T02:30:52Z</dcterms:modified>
</cp:coreProperties>
</file>