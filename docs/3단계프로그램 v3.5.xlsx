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공용 드라이브\2C AI도입관련\보유, 3자양도, 가족간 양수도, 가족증여, 상속세 계산프로그램\"/>
    </mc:Choice>
  </mc:AlternateContent>
  <xr:revisionPtr revIDLastSave="0" documentId="13_ncr:1_{45B9E8B4-A68C-41D9-8EFE-5F85333CB405}" xr6:coauthVersionLast="47" xr6:coauthVersionMax="47" xr10:uidLastSave="{00000000-0000-0000-0000-000000000000}"/>
  <bookViews>
    <workbookView xWindow="-120" yWindow="-120" windowWidth="29040" windowHeight="15720" activeTab="6" xr2:uid="{94D935A1-22CD-4677-8556-A04CE23313CE}"/>
    <workbookView xWindow="-28920" yWindow="-120" windowWidth="29040" windowHeight="15720" activeTab="1" xr2:uid="{20704D3D-1275-4921-A541-2C29D25ACEFB}"/>
  </bookViews>
  <sheets>
    <sheet name="요약" sheetId="1" r:id="rId1"/>
    <sheet name="기초" sheetId="2" r:id="rId2"/>
    <sheet name="공동보유" sheetId="6" r:id="rId3"/>
    <sheet name="단독보유(부부특례)" sheetId="15" r:id="rId4"/>
    <sheet name="취득" sheetId="3" r:id="rId5"/>
    <sheet name="증여" sheetId="5" r:id="rId6"/>
    <sheet name="양도" sheetId="7" r:id="rId7"/>
    <sheet name="부담부증여" sheetId="8" r:id="rId8"/>
    <sheet name="저가양수도" sheetId="11" r:id="rId9"/>
    <sheet name="상속" sheetId="9" r:id="rId10"/>
    <sheet name="t" sheetId="10" r:id="rId11"/>
  </sheets>
  <externalReferences>
    <externalReference r:id="rId12"/>
  </externalReferences>
  <definedNames>
    <definedName name="주택특징">t!$BD$2:$BD$9</definedName>
  </definedNames>
  <calcPr calcId="181029"/>
</workbook>
</file>

<file path=xl/calcChain.xml><?xml version="1.0" encoding="utf-8"?>
<calcChain xmlns="http://schemas.openxmlformats.org/spreadsheetml/2006/main">
  <c r="AB22" i="7" l="1"/>
  <c r="AA22" i="7"/>
  <c r="Z22" i="7"/>
  <c r="Y22" i="7"/>
  <c r="V22" i="7"/>
  <c r="U22" i="7"/>
  <c r="T22" i="7"/>
  <c r="S22" i="7"/>
  <c r="P22" i="7"/>
  <c r="O22" i="7"/>
  <c r="N22" i="7"/>
  <c r="M22" i="7"/>
  <c r="H22" i="7"/>
  <c r="I22" i="7"/>
  <c r="J22" i="7"/>
  <c r="Y21" i="7" a="1"/>
  <c r="Y21" i="7" s="1"/>
  <c r="V17" i="7"/>
  <c r="U17" i="7"/>
  <c r="T17" i="7"/>
  <c r="S17" i="7"/>
  <c r="Y17" i="7"/>
  <c r="Z17" i="7"/>
  <c r="AA17" i="7"/>
  <c r="AB17" i="7"/>
  <c r="M19" i="7"/>
  <c r="B12" i="7"/>
  <c r="B14" i="7"/>
  <c r="B9" i="7"/>
  <c r="B7" i="7"/>
  <c r="B6" i="7"/>
  <c r="B17" i="7" s="1"/>
  <c r="A12" i="7"/>
  <c r="C12" i="7"/>
  <c r="D12" i="7"/>
  <c r="H12" i="7"/>
  <c r="H13" i="7" s="1"/>
  <c r="I12" i="7"/>
  <c r="I13" i="7" s="1"/>
  <c r="J12" i="7"/>
  <c r="J13" i="7" s="1"/>
  <c r="A14" i="7"/>
  <c r="C14" i="7"/>
  <c r="D14" i="7"/>
  <c r="H14" i="7"/>
  <c r="I14" i="7"/>
  <c r="J14" i="7"/>
  <c r="P14" i="7" s="1"/>
  <c r="P3" i="7"/>
  <c r="P9" i="7" s="1"/>
  <c r="A9" i="7"/>
  <c r="C9" i="7"/>
  <c r="D9" i="7"/>
  <c r="D7" i="7"/>
  <c r="C7" i="7"/>
  <c r="A7" i="7"/>
  <c r="D6" i="7"/>
  <c r="C6" i="7"/>
  <c r="A6" i="7"/>
  <c r="J9" i="7"/>
  <c r="J7" i="7"/>
  <c r="P7" i="7" s="1"/>
  <c r="J6" i="7"/>
  <c r="P6" i="7" s="1"/>
  <c r="J5" i="7"/>
  <c r="J8" i="7" s="1"/>
  <c r="H9" i="7"/>
  <c r="I9" i="7"/>
  <c r="G9" i="7"/>
  <c r="E11" i="15"/>
  <c r="D11" i="15"/>
  <c r="C11" i="15"/>
  <c r="B11" i="15"/>
  <c r="E11" i="6"/>
  <c r="D11" i="6"/>
  <c r="C11" i="6"/>
  <c r="B11" i="6"/>
  <c r="B13" i="7" l="1"/>
  <c r="B15" i="7" s="1"/>
  <c r="B16" i="7" s="1"/>
  <c r="B18" i="7" s="1"/>
  <c r="B20" i="7" s="1"/>
  <c r="B21" i="7" s="1" a="1"/>
  <c r="B21" i="7" s="1"/>
  <c r="B22" i="7" s="1"/>
  <c r="B23" i="7" s="1"/>
  <c r="C13" i="7"/>
  <c r="D17" i="7"/>
  <c r="J15" i="7"/>
  <c r="J16" i="7" s="1"/>
  <c r="I15" i="7"/>
  <c r="A17" i="7"/>
  <c r="C17" i="7"/>
  <c r="I16" i="7"/>
  <c r="D13" i="7"/>
  <c r="D15" i="7" s="1"/>
  <c r="D16" i="7" s="1"/>
  <c r="D18" i="7" s="1"/>
  <c r="D20" i="7" s="1"/>
  <c r="D21" i="7" s="1" a="1"/>
  <c r="D21" i="7" s="1"/>
  <c r="D22" i="7" s="1"/>
  <c r="D23" i="7" s="1"/>
  <c r="C15" i="7"/>
  <c r="C16" i="7" s="1"/>
  <c r="A13" i="7"/>
  <c r="A15" i="7" s="1"/>
  <c r="A16" i="7" s="1"/>
  <c r="P12" i="7"/>
  <c r="P13" i="7" s="1"/>
  <c r="J17" i="7"/>
  <c r="H15" i="7"/>
  <c r="M3" i="15"/>
  <c r="N46" i="6"/>
  <c r="F46" i="6"/>
  <c r="N46" i="15"/>
  <c r="F46" i="15"/>
  <c r="Z38" i="6"/>
  <c r="AG79" i="6"/>
  <c r="AK67" i="6"/>
  <c r="AJ67" i="6"/>
  <c r="AI67" i="6"/>
  <c r="AH67" i="6"/>
  <c r="AL67" i="6" s="1"/>
  <c r="B7" i="15"/>
  <c r="B4" i="15" s="1"/>
  <c r="V46" i="15" s="1"/>
  <c r="C7" i="6"/>
  <c r="B7" i="6"/>
  <c r="B4" i="6" s="1"/>
  <c r="AC67" i="6"/>
  <c r="AB67" i="6"/>
  <c r="AA67" i="6"/>
  <c r="Z67" i="6"/>
  <c r="AD67" i="6" s="1"/>
  <c r="U67" i="6"/>
  <c r="T67" i="6"/>
  <c r="S67" i="6"/>
  <c r="R67" i="6"/>
  <c r="V67" i="6" s="1"/>
  <c r="F48" i="15"/>
  <c r="AM12" i="6"/>
  <c r="AE12" i="6"/>
  <c r="W12" i="6"/>
  <c r="O12" i="6"/>
  <c r="G12" i="6"/>
  <c r="AM12" i="15"/>
  <c r="AK12" i="15"/>
  <c r="AJ12" i="15"/>
  <c r="AI12" i="15"/>
  <c r="AH12" i="15"/>
  <c r="AE12" i="15"/>
  <c r="AC12" i="15"/>
  <c r="AB12" i="15"/>
  <c r="AA12" i="15"/>
  <c r="Z12" i="15"/>
  <c r="W12" i="15"/>
  <c r="U12" i="15"/>
  <c r="T12" i="15"/>
  <c r="S12" i="15"/>
  <c r="R12" i="15"/>
  <c r="O12" i="15"/>
  <c r="M12" i="15"/>
  <c r="L12" i="15"/>
  <c r="K12" i="15"/>
  <c r="J12" i="15"/>
  <c r="G12" i="15"/>
  <c r="E12" i="15"/>
  <c r="D12" i="15"/>
  <c r="C12" i="15"/>
  <c r="B12" i="15"/>
  <c r="E36" i="6"/>
  <c r="M36" i="6" s="1"/>
  <c r="D36" i="6"/>
  <c r="L36" i="6" s="1"/>
  <c r="C36" i="6"/>
  <c r="K36" i="6" s="1"/>
  <c r="B36" i="6"/>
  <c r="J36" i="6" s="1"/>
  <c r="N37" i="15"/>
  <c r="C36" i="15"/>
  <c r="D36" i="15"/>
  <c r="E36" i="15"/>
  <c r="B36" i="15"/>
  <c r="C18" i="7" l="1"/>
  <c r="C20" i="7" s="1"/>
  <c r="C21" i="7" s="1" a="1"/>
  <c r="C21" i="7" s="1"/>
  <c r="C22" i="7" s="1"/>
  <c r="C23" i="7" s="1"/>
  <c r="J18" i="7"/>
  <c r="J20" i="7" s="1"/>
  <c r="J21" i="7" s="1" a="1"/>
  <c r="J21" i="7" s="1"/>
  <c r="J23" i="7" s="1"/>
  <c r="J24" i="7" s="1"/>
  <c r="J25" i="7" s="1"/>
  <c r="B24" i="7"/>
  <c r="B25" i="7" s="1"/>
  <c r="A18" i="7"/>
  <c r="A20" i="7" s="1"/>
  <c r="A21" i="7" s="1" a="1"/>
  <c r="A21" i="7" s="1"/>
  <c r="A22" i="7" s="1"/>
  <c r="A23" i="7" s="1"/>
  <c r="A24" i="7" s="1"/>
  <c r="A25" i="7" s="1"/>
  <c r="H16" i="7"/>
  <c r="D24" i="7"/>
  <c r="D25" i="7" s="1"/>
  <c r="B14" i="1" s="1"/>
  <c r="B43" i="6"/>
  <c r="J42" i="6"/>
  <c r="R42" i="6" s="1"/>
  <c r="F42" i="6"/>
  <c r="AH38" i="6"/>
  <c r="R38" i="6"/>
  <c r="J38" i="6"/>
  <c r="B38" i="6"/>
  <c r="B39" i="6" s="1"/>
  <c r="E35" i="6"/>
  <c r="M35" i="6" s="1"/>
  <c r="U35" i="6" s="1"/>
  <c r="AC35" i="6" s="1"/>
  <c r="AK35" i="6" s="1"/>
  <c r="D35" i="6"/>
  <c r="L35" i="6" s="1"/>
  <c r="T35" i="6" s="1"/>
  <c r="AB35" i="6" s="1"/>
  <c r="AJ35" i="6" s="1"/>
  <c r="C35" i="6"/>
  <c r="K35" i="6" s="1"/>
  <c r="S35" i="6" s="1"/>
  <c r="AA35" i="6" s="1"/>
  <c r="AI35" i="6" s="1"/>
  <c r="B35" i="6"/>
  <c r="AK34" i="6"/>
  <c r="AJ34" i="6"/>
  <c r="AI34" i="6"/>
  <c r="AH34" i="6"/>
  <c r="AL34" i="6" s="1"/>
  <c r="AC34" i="6"/>
  <c r="AB34" i="6"/>
  <c r="AA34" i="6"/>
  <c r="Z34" i="6"/>
  <c r="AD34" i="6" s="1"/>
  <c r="U34" i="6"/>
  <c r="U40" i="6" s="1"/>
  <c r="T34" i="6"/>
  <c r="T40" i="6" s="1"/>
  <c r="S34" i="6"/>
  <c r="S40" i="6" s="1"/>
  <c r="R34" i="6"/>
  <c r="M34" i="6"/>
  <c r="L34" i="6"/>
  <c r="K34" i="6"/>
  <c r="J34" i="6"/>
  <c r="E34" i="6"/>
  <c r="D34" i="6"/>
  <c r="C34" i="6"/>
  <c r="B34" i="6"/>
  <c r="F34" i="6" s="1"/>
  <c r="AH38" i="15"/>
  <c r="Z38" i="15"/>
  <c r="J38" i="15"/>
  <c r="AL33" i="6"/>
  <c r="AL43" i="6" s="1"/>
  <c r="AD33" i="6"/>
  <c r="AD43" i="6" s="1"/>
  <c r="V33" i="6"/>
  <c r="V43" i="6" s="1"/>
  <c r="N33" i="6"/>
  <c r="N48" i="6" s="1"/>
  <c r="F33" i="6"/>
  <c r="F43" i="6" s="1"/>
  <c r="E33" i="6"/>
  <c r="E37" i="6" s="1"/>
  <c r="D33" i="6"/>
  <c r="D37" i="6" s="1"/>
  <c r="C33" i="6"/>
  <c r="C37" i="6" s="1"/>
  <c r="B33" i="6"/>
  <c r="B37" i="6" s="1"/>
  <c r="AL33" i="15"/>
  <c r="AD33" i="15"/>
  <c r="V33" i="15"/>
  <c r="N33" i="15"/>
  <c r="F33" i="15"/>
  <c r="B2" i="15"/>
  <c r="B38" i="15"/>
  <c r="E35" i="15"/>
  <c r="D35" i="15"/>
  <c r="C35" i="15"/>
  <c r="B35" i="15"/>
  <c r="M67" i="6"/>
  <c r="L67" i="6"/>
  <c r="K67" i="6"/>
  <c r="J67" i="6"/>
  <c r="C67" i="6"/>
  <c r="D67" i="6"/>
  <c r="E67" i="6"/>
  <c r="B2" i="6"/>
  <c r="C24" i="7" l="1"/>
  <c r="C25" i="7" s="1"/>
  <c r="B13" i="1" s="1"/>
  <c r="B12" i="1"/>
  <c r="N43" i="6"/>
  <c r="N44" i="6"/>
  <c r="V44" i="6"/>
  <c r="V40" i="6"/>
  <c r="AD40" i="6" s="1"/>
  <c r="AL40" i="6" s="1"/>
  <c r="AA40" i="6"/>
  <c r="AI40" i="6" s="1"/>
  <c r="R40" i="6"/>
  <c r="AB40" i="6"/>
  <c r="AJ40" i="6" s="1"/>
  <c r="AC40" i="6"/>
  <c r="AK40" i="6" s="1"/>
  <c r="F47" i="6"/>
  <c r="AD44" i="6"/>
  <c r="N67" i="6"/>
  <c r="AL44" i="6"/>
  <c r="J35" i="6"/>
  <c r="B44" i="6"/>
  <c r="N36" i="6"/>
  <c r="N37" i="6"/>
  <c r="F36" i="6"/>
  <c r="F48" i="6"/>
  <c r="F37" i="6"/>
  <c r="V34" i="6"/>
  <c r="F44" i="6"/>
  <c r="V42" i="6"/>
  <c r="Z42" i="6"/>
  <c r="Z40" i="6"/>
  <c r="AH40" i="6" s="1"/>
  <c r="AD41" i="6"/>
  <c r="N41" i="6"/>
  <c r="AL41" i="6"/>
  <c r="N40" i="6"/>
  <c r="V41" i="6"/>
  <c r="N34" i="6"/>
  <c r="N42" i="6"/>
  <c r="A46" i="6"/>
  <c r="I46" i="6" s="1"/>
  <c r="Q46" i="6" s="1"/>
  <c r="Y46" i="6" s="1"/>
  <c r="AG46" i="6" s="1"/>
  <c r="B32" i="6"/>
  <c r="J32" i="6" s="1"/>
  <c r="R32" i="6" s="1"/>
  <c r="Z32" i="6" s="1"/>
  <c r="AH32" i="6" s="1"/>
  <c r="M23" i="6"/>
  <c r="M24" i="6" s="1"/>
  <c r="L23" i="6"/>
  <c r="L24" i="6" s="1"/>
  <c r="K23" i="6"/>
  <c r="K24" i="6" s="1"/>
  <c r="J23" i="6"/>
  <c r="J24" i="6" s="1"/>
  <c r="M11" i="6"/>
  <c r="U23" i="6" s="1"/>
  <c r="U24" i="6" s="1"/>
  <c r="L11" i="6"/>
  <c r="T23" i="6" s="1"/>
  <c r="T24" i="6" s="1"/>
  <c r="K11" i="6"/>
  <c r="S11" i="6" s="1"/>
  <c r="J11" i="6"/>
  <c r="R23" i="6" s="1"/>
  <c r="R24" i="6" s="1"/>
  <c r="G11" i="6"/>
  <c r="F11" i="6"/>
  <c r="E10" i="6"/>
  <c r="E12" i="6" s="1"/>
  <c r="D10" i="6"/>
  <c r="C10" i="6"/>
  <c r="C12" i="6" s="1"/>
  <c r="B10" i="6"/>
  <c r="B12" i="6" s="1"/>
  <c r="I9" i="6"/>
  <c r="Q9" i="6" s="1"/>
  <c r="Y9" i="6" s="1"/>
  <c r="AG9" i="6" s="1"/>
  <c r="M3" i="6"/>
  <c r="U3" i="6" s="1"/>
  <c r="AC3" i="6" s="1"/>
  <c r="AK3" i="6" s="1"/>
  <c r="R35" i="6" l="1"/>
  <c r="N47" i="6"/>
  <c r="J47" i="6"/>
  <c r="J49" i="6" s="1"/>
  <c r="J51" i="6" s="1"/>
  <c r="L10" i="6"/>
  <c r="T10" i="6" s="1"/>
  <c r="D12" i="6"/>
  <c r="D13" i="6" s="1"/>
  <c r="AH42" i="6"/>
  <c r="AL42" i="6" s="1"/>
  <c r="AD42" i="6"/>
  <c r="G13" i="6"/>
  <c r="G18" i="6" s="1"/>
  <c r="O11" i="6"/>
  <c r="W11" i="6" s="1"/>
  <c r="B65" i="6"/>
  <c r="J65" i="6"/>
  <c r="R65" i="6" s="1"/>
  <c r="Z65" i="6" s="1"/>
  <c r="AH65" i="6" s="1"/>
  <c r="T11" i="6"/>
  <c r="AB23" i="6" s="1"/>
  <c r="AB24" i="6" s="1"/>
  <c r="S23" i="6"/>
  <c r="S24" i="6" s="1"/>
  <c r="L47" i="6"/>
  <c r="L48" i="6" s="1"/>
  <c r="N11" i="6"/>
  <c r="AA11" i="6"/>
  <c r="AA23" i="6"/>
  <c r="AA24" i="6" s="1"/>
  <c r="O13" i="6"/>
  <c r="E13" i="6"/>
  <c r="M10" i="6"/>
  <c r="U11" i="6"/>
  <c r="B48" i="6"/>
  <c r="V46" i="6"/>
  <c r="V50" i="6" s="1"/>
  <c r="F49" i="6"/>
  <c r="F51" i="6" s="1"/>
  <c r="B13" i="6"/>
  <c r="AD46" i="6"/>
  <c r="C13" i="6"/>
  <c r="AL46" i="6"/>
  <c r="B47" i="6"/>
  <c r="J10" i="6"/>
  <c r="R11" i="6"/>
  <c r="K47" i="6"/>
  <c r="K10" i="6"/>
  <c r="V48" i="6" l="1"/>
  <c r="Z35" i="6"/>
  <c r="V47" i="6"/>
  <c r="J52" i="6" a="1"/>
  <c r="J52" i="6" s="1"/>
  <c r="J53" i="6" s="1"/>
  <c r="M12" i="6"/>
  <c r="M13" i="6" s="1"/>
  <c r="M33" i="6"/>
  <c r="T12" i="6"/>
  <c r="T13" i="6" s="1"/>
  <c r="T33" i="6"/>
  <c r="T41" i="6" s="1"/>
  <c r="AB11" i="6"/>
  <c r="AJ11" i="6" s="1"/>
  <c r="K12" i="6"/>
  <c r="K13" i="6" s="1"/>
  <c r="K33" i="6"/>
  <c r="J12" i="6"/>
  <c r="J13" i="6" s="1"/>
  <c r="J33" i="6"/>
  <c r="L12" i="6"/>
  <c r="L13" i="6" s="1"/>
  <c r="L14" i="6" s="1" a="1"/>
  <c r="L14" i="6" s="1"/>
  <c r="L15" i="6" s="1"/>
  <c r="L16" i="6" s="1"/>
  <c r="L33" i="6"/>
  <c r="F52" i="6" a="1"/>
  <c r="F52" i="6" s="1"/>
  <c r="F53" i="6" s="1"/>
  <c r="C14" i="6" a="1"/>
  <c r="C14" i="6" s="1"/>
  <c r="C15" i="6" s="1"/>
  <c r="C16" i="6" s="1"/>
  <c r="C25" i="6" a="1"/>
  <c r="C25" i="6" s="1"/>
  <c r="B14" i="6" a="1"/>
  <c r="B14" i="6" s="1"/>
  <c r="B15" i="6" s="1"/>
  <c r="B16" i="6" s="1"/>
  <c r="B25" i="6" a="1"/>
  <c r="B25" i="6" s="1"/>
  <c r="E25" i="6" a="1"/>
  <c r="E25" i="6" s="1"/>
  <c r="E14" i="6" a="1"/>
  <c r="E14" i="6" s="1"/>
  <c r="E15" i="6" s="1"/>
  <c r="E16" i="6" s="1"/>
  <c r="G17" i="6"/>
  <c r="G15" i="6"/>
  <c r="D25" i="6" a="1"/>
  <c r="D25" i="6" s="1"/>
  <c r="D14" i="6" a="1"/>
  <c r="D14" i="6" s="1"/>
  <c r="D15" i="6" s="1"/>
  <c r="D16" i="6" s="1"/>
  <c r="L49" i="6"/>
  <c r="L51" i="6" s="1"/>
  <c r="E24" i="6"/>
  <c r="C24" i="6"/>
  <c r="D24" i="6"/>
  <c r="B24" i="6"/>
  <c r="F12" i="6"/>
  <c r="F13" i="6" s="1"/>
  <c r="B49" i="6"/>
  <c r="B51" i="6" s="1"/>
  <c r="B17" i="6"/>
  <c r="C17" i="6"/>
  <c r="AE11" i="6"/>
  <c r="AM11" i="6" s="1"/>
  <c r="AM13" i="6" s="1"/>
  <c r="W13" i="6"/>
  <c r="O18" i="6"/>
  <c r="O15" i="6"/>
  <c r="O17" i="6"/>
  <c r="AB10" i="6"/>
  <c r="U10" i="6"/>
  <c r="AI11" i="6"/>
  <c r="AI23" i="6"/>
  <c r="AI24" i="6" s="1"/>
  <c r="AD50" i="6"/>
  <c r="Z11" i="6"/>
  <c r="T47" i="6"/>
  <c r="T48" i="6" s="1"/>
  <c r="AD48" i="6" s="1"/>
  <c r="S47" i="6"/>
  <c r="S48" i="6" s="1"/>
  <c r="V11" i="6"/>
  <c r="R47" i="6"/>
  <c r="R49" i="6" s="1"/>
  <c r="R51" i="6" s="1"/>
  <c r="R52" i="6" s="1" a="1"/>
  <c r="R52" i="6" s="1"/>
  <c r="R53" i="6" s="1"/>
  <c r="Z23" i="6"/>
  <c r="AL50" i="6"/>
  <c r="R10" i="6"/>
  <c r="S10" i="6"/>
  <c r="E17" i="6"/>
  <c r="D17" i="6"/>
  <c r="AC11" i="6"/>
  <c r="AC23" i="6"/>
  <c r="AC24" i="6" s="1"/>
  <c r="AJ23" i="6" l="1"/>
  <c r="AJ24" i="6" s="1"/>
  <c r="AH35" i="6"/>
  <c r="Z47" i="6"/>
  <c r="Z49" i="6" s="1"/>
  <c r="Z51" i="6" s="1"/>
  <c r="AD47" i="6"/>
  <c r="AB47" i="6"/>
  <c r="AB48" i="6" s="1"/>
  <c r="AL48" i="6" s="1"/>
  <c r="AA47" i="6"/>
  <c r="AA48" i="6" s="1"/>
  <c r="C26" i="6"/>
  <c r="B52" i="6" a="1"/>
  <c r="B52" i="6" s="1"/>
  <c r="B53" i="6" s="1"/>
  <c r="B54" i="6"/>
  <c r="J37" i="6"/>
  <c r="J43" i="6"/>
  <c r="J44" i="6"/>
  <c r="J41" i="6"/>
  <c r="R12" i="6"/>
  <c r="R13" i="6" s="1"/>
  <c r="R33" i="6"/>
  <c r="L37" i="6"/>
  <c r="L41" i="6"/>
  <c r="U12" i="6"/>
  <c r="U13" i="6" s="1"/>
  <c r="U33" i="6"/>
  <c r="U41" i="6" s="1"/>
  <c r="K37" i="6"/>
  <c r="K41" i="6"/>
  <c r="L17" i="6"/>
  <c r="V49" i="6"/>
  <c r="V51" i="6" s="1"/>
  <c r="AB12" i="6"/>
  <c r="AB13" i="6" s="1"/>
  <c r="AB33" i="6"/>
  <c r="AB41" i="6" s="1"/>
  <c r="E26" i="6"/>
  <c r="S12" i="6"/>
  <c r="S13" i="6" s="1"/>
  <c r="S33" i="6"/>
  <c r="S41" i="6" s="1"/>
  <c r="L25" i="6" a="1"/>
  <c r="L25" i="6" s="1"/>
  <c r="L26" i="6" s="1"/>
  <c r="M37" i="6"/>
  <c r="M41" i="6"/>
  <c r="AM18" i="6"/>
  <c r="AM17" i="6"/>
  <c r="AM15" i="6"/>
  <c r="B26" i="6"/>
  <c r="F14" i="6" a="1"/>
  <c r="F14" i="6" s="1"/>
  <c r="F15" i="6" s="1"/>
  <c r="D26" i="6"/>
  <c r="L52" i="6" a="1"/>
  <c r="L52" i="6" s="1"/>
  <c r="L53" i="6" s="1"/>
  <c r="J25" i="6" a="1"/>
  <c r="J25" i="6" s="1"/>
  <c r="J26" i="6" s="1"/>
  <c r="J14" i="6" a="1"/>
  <c r="J14" i="6" s="1"/>
  <c r="J15" i="6" s="1"/>
  <c r="J16" i="6" s="1"/>
  <c r="M25" i="6" a="1"/>
  <c r="M25" i="6" s="1"/>
  <c r="M26" i="6" s="1"/>
  <c r="M14" i="6" a="1"/>
  <c r="M14" i="6" s="1"/>
  <c r="M15" i="6" s="1"/>
  <c r="M16" i="6" s="1"/>
  <c r="T14" i="6" a="1"/>
  <c r="T14" i="6" s="1"/>
  <c r="T15" i="6" s="1"/>
  <c r="T16" i="6" s="1"/>
  <c r="T25" i="6" a="1"/>
  <c r="T25" i="6" s="1"/>
  <c r="T26" i="6" s="1"/>
  <c r="K14" i="6" a="1"/>
  <c r="K14" i="6" s="1"/>
  <c r="K15" i="6" s="1"/>
  <c r="K16" i="6" s="1"/>
  <c r="K25" i="6" a="1"/>
  <c r="K25" i="6" s="1"/>
  <c r="K26" i="6" s="1"/>
  <c r="N12" i="6"/>
  <c r="N13" i="6" s="1"/>
  <c r="M17" i="6"/>
  <c r="C19" i="6"/>
  <c r="C20" i="6" s="1"/>
  <c r="F16" i="6"/>
  <c r="B19" i="6"/>
  <c r="B20" i="6" s="1"/>
  <c r="L19" i="6"/>
  <c r="E19" i="6"/>
  <c r="E20" i="6" s="1"/>
  <c r="Z10" i="6"/>
  <c r="AK23" i="6"/>
  <c r="AK24" i="6" s="1"/>
  <c r="AK11" i="6"/>
  <c r="AC10" i="6"/>
  <c r="N49" i="6"/>
  <c r="N51" i="6" s="1"/>
  <c r="J17" i="6"/>
  <c r="D19" i="6"/>
  <c r="D20" i="6" s="1"/>
  <c r="AA10" i="6"/>
  <c r="T17" i="6"/>
  <c r="W15" i="6"/>
  <c r="W18" i="6"/>
  <c r="W17" i="6"/>
  <c r="Z24" i="6"/>
  <c r="AE13" i="6"/>
  <c r="K17" i="6"/>
  <c r="AH11" i="6"/>
  <c r="AD11" i="6"/>
  <c r="AH23" i="6"/>
  <c r="AJ10" i="6"/>
  <c r="L20" i="6" l="1"/>
  <c r="J54" i="6"/>
  <c r="Z52" i="6" a="1"/>
  <c r="Z52" i="6" s="1"/>
  <c r="Z53" i="6" s="1"/>
  <c r="AH47" i="6"/>
  <c r="AH49" i="6" s="1"/>
  <c r="AH51" i="6" s="1"/>
  <c r="AL47" i="6"/>
  <c r="L54" i="6"/>
  <c r="N52" i="6" a="1"/>
  <c r="N52" i="6" s="1"/>
  <c r="N53" i="6" s="1"/>
  <c r="AC12" i="6"/>
  <c r="AC13" i="6" s="1"/>
  <c r="AC33" i="6"/>
  <c r="AC41" i="6" s="1"/>
  <c r="R44" i="6"/>
  <c r="R43" i="6"/>
  <c r="R41" i="6"/>
  <c r="AA12" i="6"/>
  <c r="AA13" i="6" s="1"/>
  <c r="AA33" i="6"/>
  <c r="AA41" i="6" s="1"/>
  <c r="F26" i="6"/>
  <c r="N26" i="6"/>
  <c r="N54" i="6" s="1"/>
  <c r="AJ12" i="6"/>
  <c r="AJ13" i="6" s="1"/>
  <c r="AJ33" i="6"/>
  <c r="AJ41" i="6" s="1"/>
  <c r="Z12" i="6"/>
  <c r="Z33" i="6"/>
  <c r="N14" i="6" a="1"/>
  <c r="N14" i="6" s="1"/>
  <c r="N15" i="6" s="1"/>
  <c r="U14" i="6" a="1"/>
  <c r="U14" i="6" s="1"/>
  <c r="U15" i="6" s="1"/>
  <c r="U16" i="6" s="1"/>
  <c r="U25" i="6" a="1"/>
  <c r="U25" i="6" s="1"/>
  <c r="U26" i="6" s="1"/>
  <c r="V52" i="6" a="1"/>
  <c r="V52" i="6" s="1"/>
  <c r="V53" i="6" s="1"/>
  <c r="S25" i="6" a="1"/>
  <c r="S25" i="6" s="1"/>
  <c r="S26" i="6" s="1"/>
  <c r="S14" i="6" a="1"/>
  <c r="S14" i="6" s="1"/>
  <c r="S15" i="6" s="1"/>
  <c r="S16" i="6" s="1"/>
  <c r="R25" i="6" a="1"/>
  <c r="R25" i="6" s="1"/>
  <c r="R26" i="6" s="1"/>
  <c r="R14" i="6" a="1"/>
  <c r="R14" i="6" s="1"/>
  <c r="R15" i="6" s="1"/>
  <c r="R16" i="6" s="1"/>
  <c r="AB25" i="6" a="1"/>
  <c r="AB25" i="6" s="1"/>
  <c r="AB26" i="6" s="1"/>
  <c r="AB14" i="6" a="1"/>
  <c r="AB14" i="6" s="1"/>
  <c r="AB15" i="6" s="1"/>
  <c r="AB16" i="6" s="1"/>
  <c r="V12" i="6"/>
  <c r="V13" i="6" s="1"/>
  <c r="S17" i="6"/>
  <c r="M19" i="6"/>
  <c r="M20" i="6" s="1"/>
  <c r="AB17" i="6"/>
  <c r="AD12" i="6"/>
  <c r="AD13" i="6" s="1"/>
  <c r="AH10" i="6"/>
  <c r="B55" i="6"/>
  <c r="AE18" i="6"/>
  <c r="AE15" i="6"/>
  <c r="AE17" i="6"/>
  <c r="AK10" i="6"/>
  <c r="R17" i="6"/>
  <c r="T19" i="6"/>
  <c r="T20" i="6" s="1"/>
  <c r="AI10" i="6"/>
  <c r="U17" i="6"/>
  <c r="AD49" i="6"/>
  <c r="AD51" i="6" s="1"/>
  <c r="AH24" i="6"/>
  <c r="AJ47" i="6"/>
  <c r="AJ48" i="6" s="1"/>
  <c r="AI47" i="6"/>
  <c r="AI48" i="6" s="1"/>
  <c r="AL11" i="6"/>
  <c r="K19" i="6"/>
  <c r="K20" i="6" s="1"/>
  <c r="N16" i="6"/>
  <c r="J19" i="6"/>
  <c r="J20" i="6" s="1"/>
  <c r="T49" i="6"/>
  <c r="T51" i="6" s="1"/>
  <c r="R54" i="6" l="1"/>
  <c r="V26" i="6"/>
  <c r="V54" i="6" s="1"/>
  <c r="AH52" i="6" a="1"/>
  <c r="AH52" i="6" s="1"/>
  <c r="AH53" i="6" s="1"/>
  <c r="AI49" i="6"/>
  <c r="AI51" i="6" s="1"/>
  <c r="AI52" i="6" s="1" a="1"/>
  <c r="AI52" i="6" s="1"/>
  <c r="AI53" i="6" s="1"/>
  <c r="F54" i="6"/>
  <c r="F55" i="6" s="1"/>
  <c r="F56" i="6" s="1"/>
  <c r="T54" i="6"/>
  <c r="AH12" i="6"/>
  <c r="AH13" i="6" s="1"/>
  <c r="AH33" i="6"/>
  <c r="AI12" i="6"/>
  <c r="AI13" i="6" s="1"/>
  <c r="AI33" i="6"/>
  <c r="AI41" i="6" s="1"/>
  <c r="AK12" i="6"/>
  <c r="AK13" i="6" s="1"/>
  <c r="AK33" i="6"/>
  <c r="AK41" i="6" s="1"/>
  <c r="Z43" i="6"/>
  <c r="Z44" i="6"/>
  <c r="Z41" i="6"/>
  <c r="AJ25" i="6" a="1"/>
  <c r="AJ25" i="6" s="1"/>
  <c r="AJ26" i="6" s="1"/>
  <c r="AJ14" i="6" a="1"/>
  <c r="AJ14" i="6" s="1"/>
  <c r="AJ15" i="6" s="1"/>
  <c r="AJ16" i="6" s="1"/>
  <c r="T52" i="6" a="1"/>
  <c r="T52" i="6" s="1"/>
  <c r="T53" i="6" s="1"/>
  <c r="AC25" i="6" a="1"/>
  <c r="AC25" i="6" s="1"/>
  <c r="AC26" i="6" s="1"/>
  <c r="AC14" i="6" a="1"/>
  <c r="AC14" i="6" s="1"/>
  <c r="AC15" i="6" s="1"/>
  <c r="AC16" i="6" s="1"/>
  <c r="V14" i="6" a="1"/>
  <c r="V14" i="6" s="1"/>
  <c r="V15" i="6" s="1"/>
  <c r="AA25" i="6" a="1"/>
  <c r="AA25" i="6" s="1"/>
  <c r="AA26" i="6" s="1"/>
  <c r="AA14" i="6" a="1"/>
  <c r="AA14" i="6" s="1"/>
  <c r="AA15" i="6" s="1"/>
  <c r="AA16" i="6" s="1"/>
  <c r="AD52" i="6" a="1"/>
  <c r="AD52" i="6" s="1"/>
  <c r="AD53" i="6" s="1"/>
  <c r="AD14" i="6" a="1"/>
  <c r="AD14" i="6" s="1"/>
  <c r="AD15" i="6" s="1"/>
  <c r="Z13" i="6"/>
  <c r="AB19" i="6"/>
  <c r="AB20" i="6" s="1"/>
  <c r="R19" i="6"/>
  <c r="R20" i="6" s="1"/>
  <c r="V16" i="6"/>
  <c r="AC17" i="6"/>
  <c r="AA17" i="6"/>
  <c r="AJ17" i="6"/>
  <c r="S19" i="6"/>
  <c r="S20" i="6" s="1"/>
  <c r="U19" i="6"/>
  <c r="U20" i="6" s="1"/>
  <c r="N55" i="6"/>
  <c r="B56" i="6"/>
  <c r="B57" i="6" s="1"/>
  <c r="AJ49" i="6"/>
  <c r="AJ51" i="6" s="1"/>
  <c r="J55" i="6"/>
  <c r="L55" i="6"/>
  <c r="AB49" i="6"/>
  <c r="AB51" i="6" s="1"/>
  <c r="AL49" i="6"/>
  <c r="AL51" i="6" s="1"/>
  <c r="AH43" i="6" l="1"/>
  <c r="AH44" i="6"/>
  <c r="AH41" i="6"/>
  <c r="AB52" i="6" a="1"/>
  <c r="AB52" i="6" s="1"/>
  <c r="AB53" i="6" s="1"/>
  <c r="AK25" i="6" a="1"/>
  <c r="AK25" i="6" s="1"/>
  <c r="AK26" i="6" s="1"/>
  <c r="AK14" i="6" a="1"/>
  <c r="AK14" i="6" s="1"/>
  <c r="AK15" i="6" s="1"/>
  <c r="AK16" i="6" s="1"/>
  <c r="AI25" i="6" a="1"/>
  <c r="AI25" i="6" s="1"/>
  <c r="AI26" i="6" s="1"/>
  <c r="AI14" i="6" a="1"/>
  <c r="AI14" i="6" s="1"/>
  <c r="AI15" i="6" s="1"/>
  <c r="AI16" i="6" s="1"/>
  <c r="AH25" i="6" a="1"/>
  <c r="AH25" i="6" s="1"/>
  <c r="AH26" i="6" s="1"/>
  <c r="AH14" i="6" a="1"/>
  <c r="AH14" i="6" s="1"/>
  <c r="AH15" i="6" s="1"/>
  <c r="AH16" i="6" s="1"/>
  <c r="AJ52" i="6" a="1"/>
  <c r="AJ52" i="6" s="1"/>
  <c r="AJ53" i="6" s="1"/>
  <c r="AL52" i="6" a="1"/>
  <c r="AL52" i="6" s="1"/>
  <c r="AL53" i="6" s="1"/>
  <c r="Z17" i="6"/>
  <c r="Z25" i="6" a="1"/>
  <c r="Z25" i="6" s="1"/>
  <c r="Z26" i="6" s="1"/>
  <c r="AD26" i="6" s="1"/>
  <c r="AD54" i="6" s="1"/>
  <c r="Z14" i="6" a="1"/>
  <c r="Z14" i="6" s="1"/>
  <c r="Z15" i="6" s="1"/>
  <c r="Z16" i="6" s="1"/>
  <c r="Z54" i="6" s="1"/>
  <c r="F57" i="6"/>
  <c r="F27" i="6" s="1"/>
  <c r="G16" i="6" s="1"/>
  <c r="AL12" i="6"/>
  <c r="AL13" i="6" s="1"/>
  <c r="AC19" i="6"/>
  <c r="AC20" i="6" s="1"/>
  <c r="AH17" i="6"/>
  <c r="AA19" i="6"/>
  <c r="AA20" i="6" s="1"/>
  <c r="AK17" i="6"/>
  <c r="AJ19" i="6"/>
  <c r="AJ20" i="6" s="1"/>
  <c r="AI17" i="6"/>
  <c r="N56" i="6"/>
  <c r="N57" i="6" s="1"/>
  <c r="N27" i="6" s="1"/>
  <c r="N28" i="6" s="1"/>
  <c r="L56" i="6"/>
  <c r="L57" i="6" s="1"/>
  <c r="V55" i="6"/>
  <c r="T55" i="6"/>
  <c r="R55" i="6"/>
  <c r="J56" i="6"/>
  <c r="J57" i="6" s="1"/>
  <c r="AH54" i="6" l="1"/>
  <c r="AI54" i="6"/>
  <c r="AJ54" i="6"/>
  <c r="AB54" i="6"/>
  <c r="AB55" i="6" s="1"/>
  <c r="AD55" i="6"/>
  <c r="AD56" i="6" s="1"/>
  <c r="AD57" i="6" s="1"/>
  <c r="AD27" i="6" s="1"/>
  <c r="AD28" i="6" s="1"/>
  <c r="L58" i="6"/>
  <c r="L59" i="6" s="1"/>
  <c r="J58" i="6"/>
  <c r="J59" i="6" s="1"/>
  <c r="AD16" i="6"/>
  <c r="Z19" i="6"/>
  <c r="Z20" i="6" s="1"/>
  <c r="AL26" i="6"/>
  <c r="AL54" i="6" s="1"/>
  <c r="AL14" i="6" a="1"/>
  <c r="AL14" i="6" s="1"/>
  <c r="AL15" i="6" s="1"/>
  <c r="F28" i="6"/>
  <c r="B58" i="6" s="1"/>
  <c r="AH19" i="6"/>
  <c r="AH20" i="6" s="1"/>
  <c r="AL16" i="6"/>
  <c r="T56" i="6"/>
  <c r="T57" i="6" s="1"/>
  <c r="AI19" i="6"/>
  <c r="AI20" i="6" s="1"/>
  <c r="R56" i="6"/>
  <c r="R57" i="6" s="1"/>
  <c r="G19" i="6"/>
  <c r="G20" i="6" s="1"/>
  <c r="F4" i="6" s="1"/>
  <c r="AK19" i="6"/>
  <c r="AK20" i="6" s="1"/>
  <c r="Z55" i="6"/>
  <c r="V56" i="6"/>
  <c r="V57" i="6" s="1"/>
  <c r="V27" i="6" s="1"/>
  <c r="V28" i="6" s="1"/>
  <c r="R58" i="6" l="1"/>
  <c r="R59" i="6" s="1"/>
  <c r="T58" i="6"/>
  <c r="T59" i="6" s="1"/>
  <c r="B59" i="6"/>
  <c r="B60" i="6" s="1"/>
  <c r="B61" i="6" s="1"/>
  <c r="F5" i="6" s="1"/>
  <c r="F6" i="6" s="1"/>
  <c r="J60" i="6"/>
  <c r="J61" i="6" s="1"/>
  <c r="L60" i="6"/>
  <c r="L61" i="6" s="1"/>
  <c r="AB56" i="6"/>
  <c r="AB57" i="6" s="1"/>
  <c r="AB58" i="6" s="1"/>
  <c r="AI55" i="6"/>
  <c r="AH55" i="6"/>
  <c r="AJ55" i="6"/>
  <c r="AL55" i="6"/>
  <c r="Z56" i="6"/>
  <c r="Z57" i="6" s="1"/>
  <c r="Z58" i="6" s="1"/>
  <c r="N5" i="6" l="1"/>
  <c r="AB59" i="6"/>
  <c r="T60" i="6"/>
  <c r="T61" i="6" s="1"/>
  <c r="V5" i="6" s="1"/>
  <c r="R60" i="6"/>
  <c r="R61" i="6" s="1"/>
  <c r="Z59" i="6"/>
  <c r="AL56" i="6"/>
  <c r="AL57" i="6" s="1"/>
  <c r="AL27" i="6" s="1"/>
  <c r="AL28" i="6" s="1"/>
  <c r="AH56" i="6"/>
  <c r="AH57" i="6" s="1"/>
  <c r="AH58" i="6" s="1"/>
  <c r="AI56" i="6"/>
  <c r="AI57" i="6" s="1"/>
  <c r="AI58" i="6" s="1"/>
  <c r="AJ56" i="6"/>
  <c r="AJ57" i="6" s="1"/>
  <c r="AJ58" i="6" s="1"/>
  <c r="AJ59" i="6" l="1"/>
  <c r="Z60" i="6"/>
  <c r="Z61" i="6" s="1"/>
  <c r="AB60" i="6"/>
  <c r="AB61" i="6" s="1"/>
  <c r="AD5" i="6" s="1"/>
  <c r="AI59" i="6"/>
  <c r="AH59" i="6"/>
  <c r="AH60" i="6" l="1"/>
  <c r="AH61" i="6" s="1"/>
  <c r="AI60" i="6"/>
  <c r="AI61" i="6" s="1"/>
  <c r="AJ60" i="6"/>
  <c r="AJ61" i="6" s="1"/>
  <c r="AL5" i="6" s="1"/>
  <c r="A46" i="15" l="1"/>
  <c r="I46" i="15" s="1"/>
  <c r="Q46" i="15" s="1"/>
  <c r="Y46" i="15" s="1"/>
  <c r="AG46" i="15" s="1"/>
  <c r="R42" i="15"/>
  <c r="Z42" i="15" s="1"/>
  <c r="N42" i="15"/>
  <c r="J42" i="15"/>
  <c r="F42" i="15"/>
  <c r="B39" i="15"/>
  <c r="R38" i="15"/>
  <c r="M36" i="15"/>
  <c r="L36" i="15"/>
  <c r="K36" i="15"/>
  <c r="J36" i="15"/>
  <c r="M35" i="15"/>
  <c r="U35" i="15" s="1"/>
  <c r="AC35" i="15" s="1"/>
  <c r="AK35" i="15" s="1"/>
  <c r="L35" i="15"/>
  <c r="T35" i="15" s="1"/>
  <c r="AB35" i="15" s="1"/>
  <c r="AJ35" i="15" s="1"/>
  <c r="K35" i="15"/>
  <c r="S35" i="15" s="1"/>
  <c r="AA35" i="15" s="1"/>
  <c r="AI35" i="15" s="1"/>
  <c r="J35" i="15"/>
  <c r="R35" i="15" s="1"/>
  <c r="AK34" i="15"/>
  <c r="AJ34" i="15"/>
  <c r="AI34" i="15"/>
  <c r="AH34" i="15"/>
  <c r="AC34" i="15"/>
  <c r="AB34" i="15"/>
  <c r="AA34" i="15"/>
  <c r="Z34" i="15"/>
  <c r="AD34" i="15" s="1"/>
  <c r="V34" i="15"/>
  <c r="U34" i="15"/>
  <c r="T34" i="15"/>
  <c r="S34" i="15"/>
  <c r="R34" i="15"/>
  <c r="M34" i="15"/>
  <c r="L34" i="15"/>
  <c r="T40" i="15" s="1"/>
  <c r="K34" i="15"/>
  <c r="S40" i="15" s="1"/>
  <c r="J34" i="15"/>
  <c r="E34" i="15"/>
  <c r="D34" i="15"/>
  <c r="C34" i="15"/>
  <c r="B34" i="15"/>
  <c r="F34" i="15" s="1"/>
  <c r="E33" i="15"/>
  <c r="D33" i="15"/>
  <c r="C33" i="15"/>
  <c r="B33" i="15"/>
  <c r="J32" i="15"/>
  <c r="R32" i="15" s="1"/>
  <c r="Z32" i="15" s="1"/>
  <c r="AH32" i="15" s="1"/>
  <c r="B32" i="15"/>
  <c r="S23" i="15"/>
  <c r="S24" i="15" s="1"/>
  <c r="M23" i="15"/>
  <c r="M24" i="15" s="1"/>
  <c r="L23" i="15"/>
  <c r="L24" i="15" s="1"/>
  <c r="K23" i="15"/>
  <c r="K24" i="15" s="1"/>
  <c r="J23" i="15"/>
  <c r="J24" i="15" s="1"/>
  <c r="F23" i="15"/>
  <c r="F47" i="15" s="1"/>
  <c r="M11" i="15"/>
  <c r="U23" i="15" s="1"/>
  <c r="U24" i="15" s="1"/>
  <c r="L11" i="15"/>
  <c r="T23" i="15" s="1"/>
  <c r="T24" i="15" s="1"/>
  <c r="K11" i="15"/>
  <c r="S11" i="15" s="1"/>
  <c r="J11" i="15"/>
  <c r="R23" i="15" s="1"/>
  <c r="R24" i="15" s="1"/>
  <c r="G11" i="15"/>
  <c r="O11" i="15" s="1"/>
  <c r="F11" i="15"/>
  <c r="E10" i="15"/>
  <c r="E24" i="15" s="1"/>
  <c r="D10" i="15"/>
  <c r="L10" i="15" s="1"/>
  <c r="C10" i="15"/>
  <c r="C24" i="15" s="1"/>
  <c r="B10" i="15"/>
  <c r="B24" i="15" s="1"/>
  <c r="I9" i="15"/>
  <c r="Q9" i="15" s="1"/>
  <c r="Y9" i="15" s="1"/>
  <c r="AG9" i="15" s="1"/>
  <c r="U3" i="15"/>
  <c r="AC3" i="15" s="1"/>
  <c r="AK3" i="15" s="1"/>
  <c r="B67" i="6"/>
  <c r="F67" i="6" s="1"/>
  <c r="N11" i="15" l="1"/>
  <c r="N23" i="15"/>
  <c r="N47" i="15" s="1"/>
  <c r="T11" i="15"/>
  <c r="AB11" i="15" s="1"/>
  <c r="U11" i="15"/>
  <c r="AC11" i="15" s="1"/>
  <c r="AK11" i="15" s="1"/>
  <c r="AA40" i="15"/>
  <c r="AI40" i="15"/>
  <c r="U40" i="15"/>
  <c r="F49" i="15"/>
  <c r="F51" i="15" s="1"/>
  <c r="F52" i="15" s="1" a="1"/>
  <c r="F52" i="15" s="1"/>
  <c r="F53" i="15" s="1"/>
  <c r="L47" i="15"/>
  <c r="AA23" i="15"/>
  <c r="AA24" i="15" s="1"/>
  <c r="AA11" i="15"/>
  <c r="Z35" i="15"/>
  <c r="AH35" i="15" s="1"/>
  <c r="AH42" i="15"/>
  <c r="AL42" i="15" s="1"/>
  <c r="AD42" i="15"/>
  <c r="V24" i="15"/>
  <c r="V25" i="15" s="1" a="1"/>
  <c r="V25" i="15" s="1"/>
  <c r="AC40" i="15"/>
  <c r="AK40" i="15" s="1"/>
  <c r="N24" i="15"/>
  <c r="N25" i="15" s="1" a="1"/>
  <c r="N25" i="15" s="1"/>
  <c r="AJ11" i="15"/>
  <c r="AJ23" i="15"/>
  <c r="AJ24" i="15" s="1"/>
  <c r="V23" i="15"/>
  <c r="V47" i="15" s="1"/>
  <c r="AB40" i="15"/>
  <c r="AJ40" i="15" s="1"/>
  <c r="O13" i="15"/>
  <c r="W11" i="15"/>
  <c r="M10" i="15"/>
  <c r="D24" i="15"/>
  <c r="L33" i="15"/>
  <c r="B48" i="15"/>
  <c r="G13" i="15"/>
  <c r="AB23" i="15"/>
  <c r="AB24" i="15" s="1"/>
  <c r="L48" i="15"/>
  <c r="T10" i="15"/>
  <c r="B13" i="15"/>
  <c r="N34" i="15"/>
  <c r="AD46" i="15"/>
  <c r="C13" i="15"/>
  <c r="V50" i="15"/>
  <c r="L13" i="15"/>
  <c r="D13" i="15"/>
  <c r="V40" i="15"/>
  <c r="AD40" i="15" s="1"/>
  <c r="AL46" i="15"/>
  <c r="E13" i="15"/>
  <c r="AL34" i="15"/>
  <c r="B43" i="15"/>
  <c r="B47" i="15"/>
  <c r="B49" i="15" s="1"/>
  <c r="B51" i="15" s="1"/>
  <c r="B52" i="15" s="1" a="1"/>
  <c r="B52" i="15" s="1"/>
  <c r="B53" i="15" s="1"/>
  <c r="F12" i="15"/>
  <c r="F13" i="15" s="1"/>
  <c r="B37" i="15"/>
  <c r="V42" i="15"/>
  <c r="B44" i="15"/>
  <c r="C37" i="15"/>
  <c r="J47" i="15"/>
  <c r="J49" i="15" s="1"/>
  <c r="J51" i="15" s="1"/>
  <c r="J10" i="15"/>
  <c r="R11" i="15"/>
  <c r="S47" i="15" s="1"/>
  <c r="S49" i="15" s="1"/>
  <c r="S51" i="15" s="1"/>
  <c r="D37" i="15"/>
  <c r="K47" i="15"/>
  <c r="K49" i="15" s="1"/>
  <c r="K51" i="15" s="1"/>
  <c r="K10" i="15"/>
  <c r="E37" i="15"/>
  <c r="AK23" i="15" l="1"/>
  <c r="AK24" i="15" s="1"/>
  <c r="AC23" i="15"/>
  <c r="AC24" i="15" s="1"/>
  <c r="L49" i="15"/>
  <c r="L51" i="15" s="1"/>
  <c r="L52" i="15" s="1" a="1"/>
  <c r="L52" i="15" s="1"/>
  <c r="L53" i="15" s="1"/>
  <c r="S52" i="15" a="1"/>
  <c r="S52" i="15" s="1"/>
  <c r="S53" i="15" s="1"/>
  <c r="K52" i="15" a="1"/>
  <c r="K52" i="15" s="1"/>
  <c r="K53" i="15" s="1"/>
  <c r="J52" i="15" a="1"/>
  <c r="J52" i="15" s="1"/>
  <c r="J53" i="15" s="1"/>
  <c r="C25" i="15" a="1"/>
  <c r="C25" i="15" s="1"/>
  <c r="C26" i="15" s="1"/>
  <c r="C14" i="15" a="1"/>
  <c r="C14" i="15" s="1"/>
  <c r="C15" i="15" s="1"/>
  <c r="C16" i="15" s="1"/>
  <c r="L25" i="15" a="1"/>
  <c r="L25" i="15" s="1"/>
  <c r="L26" i="15" s="1"/>
  <c r="L14" i="15" a="1"/>
  <c r="L14" i="15" s="1"/>
  <c r="L15" i="15" s="1"/>
  <c r="L16" i="15" s="1"/>
  <c r="B25" i="15" a="1"/>
  <c r="B25" i="15" s="1"/>
  <c r="B26" i="15" s="1"/>
  <c r="B14" i="15" a="1"/>
  <c r="B14" i="15" s="1"/>
  <c r="B15" i="15" s="1"/>
  <c r="B16" i="15" s="1"/>
  <c r="D25" i="15" a="1"/>
  <c r="D25" i="15" s="1"/>
  <c r="D26" i="15" s="1"/>
  <c r="D14" i="15" a="1"/>
  <c r="D14" i="15" s="1"/>
  <c r="D15" i="15" s="1"/>
  <c r="D16" i="15" s="1"/>
  <c r="F14" i="15" a="1"/>
  <c r="F14" i="15" s="1"/>
  <c r="F15" i="15" s="1"/>
  <c r="E25" i="15" a="1"/>
  <c r="E25" i="15" s="1"/>
  <c r="E26" i="15" s="1"/>
  <c r="E14" i="15" a="1"/>
  <c r="E14" i="15" s="1"/>
  <c r="E15" i="15" s="1"/>
  <c r="E16" i="15" s="1"/>
  <c r="F24" i="15"/>
  <c r="F25" i="15" s="1" a="1"/>
  <c r="F25" i="15" s="1"/>
  <c r="B17" i="15"/>
  <c r="C17" i="15"/>
  <c r="E17" i="15"/>
  <c r="AB10" i="15"/>
  <c r="T33" i="15"/>
  <c r="T13" i="15"/>
  <c r="AE11" i="15"/>
  <c r="W13" i="15"/>
  <c r="G15" i="15"/>
  <c r="G17" i="15"/>
  <c r="G18" i="15"/>
  <c r="AL50" i="15"/>
  <c r="L41" i="15"/>
  <c r="L37" i="15"/>
  <c r="V48" i="15"/>
  <c r="V49" i="15" s="1"/>
  <c r="V51" i="15" s="1"/>
  <c r="L17" i="15"/>
  <c r="N40" i="15"/>
  <c r="F43" i="15"/>
  <c r="F36" i="15"/>
  <c r="F44" i="15"/>
  <c r="F37" i="15"/>
  <c r="R40" i="15"/>
  <c r="Z40" i="15" s="1"/>
  <c r="AH40" i="15" s="1"/>
  <c r="AI11" i="15"/>
  <c r="AI23" i="15"/>
  <c r="AI24" i="15" s="1"/>
  <c r="D17" i="15"/>
  <c r="AD50" i="15"/>
  <c r="V11" i="15"/>
  <c r="Z11" i="15"/>
  <c r="T47" i="15"/>
  <c r="R47" i="15"/>
  <c r="R49" i="15" s="1"/>
  <c r="R51" i="15" s="1"/>
  <c r="Z23" i="15"/>
  <c r="AL40" i="15"/>
  <c r="U10" i="15"/>
  <c r="M33" i="15"/>
  <c r="M13" i="15"/>
  <c r="O18" i="15"/>
  <c r="O15" i="15"/>
  <c r="O16" i="15" s="1"/>
  <c r="O17" i="15"/>
  <c r="K13" i="15"/>
  <c r="K33" i="15"/>
  <c r="S10" i="15"/>
  <c r="J33" i="15"/>
  <c r="J13" i="15"/>
  <c r="N12" i="15"/>
  <c r="N13" i="15" s="1"/>
  <c r="R10" i="15"/>
  <c r="K2" i="1"/>
  <c r="R52" i="15" l="1" a="1"/>
  <c r="R52" i="15" s="1"/>
  <c r="R53" i="15" s="1"/>
  <c r="N14" i="15" a="1"/>
  <c r="N14" i="15" s="1"/>
  <c r="N15" i="15" s="1"/>
  <c r="T25" i="15" a="1"/>
  <c r="T25" i="15" s="1"/>
  <c r="T26" i="15" s="1"/>
  <c r="T14" i="15" a="1"/>
  <c r="T14" i="15" s="1"/>
  <c r="T15" i="15" s="1"/>
  <c r="T16" i="15" s="1"/>
  <c r="J14" i="15" a="1"/>
  <c r="J14" i="15" s="1"/>
  <c r="J15" i="15" s="1"/>
  <c r="J16" i="15" s="1"/>
  <c r="J25" i="15" a="1"/>
  <c r="J25" i="15" s="1"/>
  <c r="J26" i="15" s="1"/>
  <c r="V52" i="15" a="1"/>
  <c r="V52" i="15" s="1"/>
  <c r="V53" i="15" s="1"/>
  <c r="K25" i="15" a="1"/>
  <c r="K25" i="15" s="1"/>
  <c r="K26" i="15" s="1"/>
  <c r="K14" i="15" a="1"/>
  <c r="K14" i="15" s="1"/>
  <c r="K15" i="15" s="1"/>
  <c r="K16" i="15" s="1"/>
  <c r="M25" i="15" a="1"/>
  <c r="M25" i="15" s="1"/>
  <c r="M26" i="15" s="1"/>
  <c r="M14" i="15" a="1"/>
  <c r="M14" i="15" s="1"/>
  <c r="M15" i="15" s="1"/>
  <c r="M16" i="15" s="1"/>
  <c r="E19" i="15"/>
  <c r="E20" i="15" s="1"/>
  <c r="B19" i="15"/>
  <c r="B20" i="15" s="1"/>
  <c r="F16" i="15"/>
  <c r="C19" i="15"/>
  <c r="C20" i="15" s="1"/>
  <c r="M17" i="15"/>
  <c r="T17" i="15"/>
  <c r="W15" i="15"/>
  <c r="W16" i="15" s="1"/>
  <c r="W18" i="15"/>
  <c r="W17" i="15"/>
  <c r="AC10" i="15"/>
  <c r="U33" i="15"/>
  <c r="U13" i="15"/>
  <c r="AE13" i="15"/>
  <c r="AM11" i="15"/>
  <c r="AM13" i="15" s="1"/>
  <c r="AA10" i="15"/>
  <c r="S33" i="15"/>
  <c r="S13" i="15"/>
  <c r="M41" i="15"/>
  <c r="M37" i="15"/>
  <c r="D19" i="15"/>
  <c r="D20" i="15"/>
  <c r="J17" i="15"/>
  <c r="O19" i="15"/>
  <c r="O20" i="15" s="1"/>
  <c r="T41" i="15"/>
  <c r="T48" i="15"/>
  <c r="AD48" i="15" s="1"/>
  <c r="AB33" i="15"/>
  <c r="AB13" i="15"/>
  <c r="AJ10" i="15"/>
  <c r="V12" i="15"/>
  <c r="V13" i="15" s="1"/>
  <c r="Z10" i="15"/>
  <c r="R33" i="15"/>
  <c r="R13" i="15"/>
  <c r="K17" i="15"/>
  <c r="F26" i="15"/>
  <c r="F54" i="15" s="1"/>
  <c r="Z24" i="15"/>
  <c r="AD23" i="15"/>
  <c r="AD47" i="15" s="1"/>
  <c r="K37" i="15"/>
  <c r="K41" i="15"/>
  <c r="L19" i="15"/>
  <c r="L20" i="15" s="1"/>
  <c r="J41" i="15"/>
  <c r="N48" i="15"/>
  <c r="N49" i="15" s="1"/>
  <c r="N51" i="15" s="1"/>
  <c r="N52" i="15" s="1" a="1"/>
  <c r="N52" i="15" s="1"/>
  <c r="N53" i="15" s="1"/>
  <c r="J43" i="15"/>
  <c r="J44" i="15"/>
  <c r="J37" i="15"/>
  <c r="AH11" i="15"/>
  <c r="AD11" i="15"/>
  <c r="AB47" i="15"/>
  <c r="AA47" i="15"/>
  <c r="AA49" i="15" s="1"/>
  <c r="AA51" i="15" s="1"/>
  <c r="AH23" i="15"/>
  <c r="Z47" i="15"/>
  <c r="Z49" i="15" s="1"/>
  <c r="Z51" i="15" s="1"/>
  <c r="Z52" i="15" l="1" a="1"/>
  <c r="Z52" i="15" s="1"/>
  <c r="Z53" i="15" s="1"/>
  <c r="AA52" i="15" a="1"/>
  <c r="AA52" i="15" s="1"/>
  <c r="AA53" i="15" s="1"/>
  <c r="AB14" i="15" a="1"/>
  <c r="AB14" i="15" s="1"/>
  <c r="AB15" i="15" s="1"/>
  <c r="AB16" i="15" s="1"/>
  <c r="AB25" i="15" a="1"/>
  <c r="AB25" i="15" s="1"/>
  <c r="AB26" i="15" s="1"/>
  <c r="S14" i="15" a="1"/>
  <c r="S14" i="15" s="1"/>
  <c r="S15" i="15" s="1"/>
  <c r="S16" i="15" s="1"/>
  <c r="S25" i="15" a="1"/>
  <c r="S25" i="15" s="1"/>
  <c r="S26" i="15" s="1"/>
  <c r="R14" i="15" a="1"/>
  <c r="R14" i="15" s="1"/>
  <c r="R15" i="15" s="1"/>
  <c r="R16" i="15" s="1"/>
  <c r="R25" i="15" a="1"/>
  <c r="R25" i="15" s="1"/>
  <c r="R26" i="15" s="1"/>
  <c r="U25" i="15" a="1"/>
  <c r="U25" i="15" s="1"/>
  <c r="U26" i="15" s="1"/>
  <c r="U14" i="15" a="1"/>
  <c r="U14" i="15" s="1"/>
  <c r="U15" i="15" s="1"/>
  <c r="U16" i="15" s="1"/>
  <c r="V14" i="15" a="1"/>
  <c r="V14" i="15" s="1"/>
  <c r="V15" i="15" s="1"/>
  <c r="T49" i="15"/>
  <c r="T51" i="15" s="1"/>
  <c r="T19" i="15"/>
  <c r="T20" i="15" s="1"/>
  <c r="S17" i="15"/>
  <c r="AB17" i="15"/>
  <c r="U17" i="15"/>
  <c r="F55" i="15"/>
  <c r="S41" i="15"/>
  <c r="AA13" i="15"/>
  <c r="AI10" i="15"/>
  <c r="AA33" i="15"/>
  <c r="N16" i="15"/>
  <c r="J19" i="15"/>
  <c r="J20" i="15" s="1"/>
  <c r="W19" i="15"/>
  <c r="W20" i="15" s="1"/>
  <c r="AC33" i="15"/>
  <c r="AC13" i="15"/>
  <c r="AK10" i="15"/>
  <c r="U41" i="15"/>
  <c r="B54" i="15"/>
  <c r="B55" i="15" s="1"/>
  <c r="AJ13" i="15"/>
  <c r="AJ33" i="15"/>
  <c r="AB48" i="15"/>
  <c r="AL48" i="15" s="1"/>
  <c r="AE18" i="15"/>
  <c r="AE15" i="15"/>
  <c r="AE16" i="15" s="1"/>
  <c r="AE17" i="15"/>
  <c r="R41" i="15"/>
  <c r="R44" i="15"/>
  <c r="R43" i="15"/>
  <c r="N26" i="15"/>
  <c r="N54" i="15" s="1"/>
  <c r="AM18" i="15"/>
  <c r="AM15" i="15"/>
  <c r="AM16" i="15" s="1"/>
  <c r="AM17" i="15"/>
  <c r="Z13" i="15"/>
  <c r="AH10" i="15"/>
  <c r="Z33" i="15"/>
  <c r="AD12" i="15"/>
  <c r="AD13" i="15" s="1"/>
  <c r="M19" i="15"/>
  <c r="M20" i="15" s="1"/>
  <c r="K19" i="15"/>
  <c r="K20" i="15" s="1"/>
  <c r="AJ47" i="15"/>
  <c r="AL11" i="15"/>
  <c r="AI47" i="15"/>
  <c r="AI49" i="15" s="1"/>
  <c r="AI51" i="15" s="1"/>
  <c r="AH47" i="15"/>
  <c r="AH49" i="15" s="1"/>
  <c r="AH51" i="15" s="1"/>
  <c r="N36" i="15"/>
  <c r="N41" i="15"/>
  <c r="N44" i="15"/>
  <c r="N43" i="15"/>
  <c r="AD49" i="15"/>
  <c r="AD51" i="15" s="1"/>
  <c r="R17" i="15"/>
  <c r="AL23" i="15"/>
  <c r="AL47" i="15" s="1"/>
  <c r="AH24" i="15"/>
  <c r="AB41" i="15"/>
  <c r="AD24" i="15"/>
  <c r="AD25" i="15" s="1" a="1"/>
  <c r="AD25" i="15" s="1"/>
  <c r="D14" i="2"/>
  <c r="B27" i="1"/>
  <c r="B23" i="2"/>
  <c r="E31" i="10"/>
  <c r="C4" i="1"/>
  <c r="D4" i="1"/>
  <c r="E4" i="1"/>
  <c r="F4" i="1"/>
  <c r="G4" i="1"/>
  <c r="H4" i="1"/>
  <c r="B4" i="1"/>
  <c r="I16" i="11"/>
  <c r="N16" i="11" s="1"/>
  <c r="S16" i="11" s="1"/>
  <c r="H16" i="11"/>
  <c r="M16" i="11" s="1"/>
  <c r="R16" i="11" s="1"/>
  <c r="J54" i="15" l="1"/>
  <c r="K54" i="15"/>
  <c r="K55" i="15" s="1"/>
  <c r="L54" i="15"/>
  <c r="L55" i="15" s="1"/>
  <c r="AH52" i="15" a="1"/>
  <c r="AH52" i="15" s="1"/>
  <c r="AH53" i="15" s="1"/>
  <c r="AI52" i="15" a="1"/>
  <c r="AI52" i="15" s="1"/>
  <c r="AI53" i="15" s="1"/>
  <c r="AC25" i="15" a="1"/>
  <c r="AC25" i="15" s="1"/>
  <c r="AC26" i="15" s="1"/>
  <c r="AC14" i="15" a="1"/>
  <c r="AC14" i="15" s="1"/>
  <c r="AC15" i="15" s="1"/>
  <c r="AC16" i="15" s="1"/>
  <c r="N4" i="15"/>
  <c r="AD52" i="15" a="1"/>
  <c r="AD52" i="15" s="1"/>
  <c r="AD53" i="15" s="1"/>
  <c r="T52" i="15" a="1"/>
  <c r="T52" i="15" s="1"/>
  <c r="T53" i="15" s="1"/>
  <c r="AJ14" i="15" a="1"/>
  <c r="AJ14" i="15" s="1"/>
  <c r="AJ15" i="15" s="1"/>
  <c r="AJ16" i="15" s="1"/>
  <c r="AJ25" i="15" a="1"/>
  <c r="AJ25" i="15" s="1"/>
  <c r="AJ26" i="15" s="1"/>
  <c r="AD14" i="15" a="1"/>
  <c r="AD14" i="15" s="1"/>
  <c r="AD15" i="15" s="1"/>
  <c r="Z25" i="15" a="1"/>
  <c r="Z25" i="15" s="1"/>
  <c r="Z26" i="15" s="1"/>
  <c r="Z14" i="15" a="1"/>
  <c r="Z14" i="15" s="1"/>
  <c r="Z15" i="15" s="1"/>
  <c r="Z16" i="15" s="1"/>
  <c r="AA14" i="15" a="1"/>
  <c r="AA14" i="15" s="1"/>
  <c r="AA15" i="15" s="1"/>
  <c r="AA16" i="15" s="1"/>
  <c r="AA25" i="15" a="1"/>
  <c r="AA25" i="15" s="1"/>
  <c r="AA26" i="15" s="1"/>
  <c r="V26" i="15"/>
  <c r="V54" i="15" s="1"/>
  <c r="AB49" i="15"/>
  <c r="AB51" i="15" s="1"/>
  <c r="AC17" i="15"/>
  <c r="S19" i="15"/>
  <c r="S20" i="15" s="1"/>
  <c r="R19" i="15"/>
  <c r="R20" i="15" s="1"/>
  <c r="V16" i="15"/>
  <c r="AA17" i="15"/>
  <c r="Z17" i="15"/>
  <c r="U19" i="15"/>
  <c r="U20" i="15" s="1"/>
  <c r="AC41" i="15"/>
  <c r="AB19" i="15"/>
  <c r="AB20" i="15" s="1"/>
  <c r="AH33" i="15"/>
  <c r="AL12" i="15"/>
  <c r="AL13" i="15" s="1"/>
  <c r="AH13" i="15"/>
  <c r="AL24" i="15"/>
  <c r="AL25" i="15" s="1" a="1"/>
  <c r="AL25" i="15" s="1"/>
  <c r="AE19" i="15"/>
  <c r="AE20" i="15" s="1"/>
  <c r="F56" i="15"/>
  <c r="F57" i="15" s="1"/>
  <c r="F27" i="15" s="1"/>
  <c r="B56" i="15"/>
  <c r="B57" i="15" s="1"/>
  <c r="AL49" i="15"/>
  <c r="AL51" i="15" s="1"/>
  <c r="J55" i="15"/>
  <c r="AM19" i="15"/>
  <c r="AM20" i="15"/>
  <c r="AJ17" i="15"/>
  <c r="AK13" i="15"/>
  <c r="AK33" i="15"/>
  <c r="V41" i="15"/>
  <c r="V44" i="15"/>
  <c r="V43" i="15"/>
  <c r="AJ41" i="15"/>
  <c r="AJ48" i="15"/>
  <c r="AJ49" i="15" s="1"/>
  <c r="AJ51" i="15" s="1"/>
  <c r="N55" i="15"/>
  <c r="AA41" i="15"/>
  <c r="Z44" i="15"/>
  <c r="Z43" i="15"/>
  <c r="Z41" i="15"/>
  <c r="AI13" i="15"/>
  <c r="AI33" i="15"/>
  <c r="S54" i="15" l="1"/>
  <c r="R54" i="15"/>
  <c r="T54" i="15"/>
  <c r="T55" i="15" s="1"/>
  <c r="AJ52" i="15" a="1"/>
  <c r="AJ52" i="15" s="1"/>
  <c r="AJ53" i="15" s="1"/>
  <c r="AB52" i="15" a="1"/>
  <c r="AB52" i="15" s="1"/>
  <c r="AB53" i="15" s="1"/>
  <c r="AL52" i="15" a="1"/>
  <c r="AL52" i="15" s="1"/>
  <c r="AL53" i="15" s="1"/>
  <c r="AL14" i="15" a="1"/>
  <c r="AL14" i="15" s="1"/>
  <c r="AL15" i="15" s="1"/>
  <c r="AI25" i="15" a="1"/>
  <c r="AI25" i="15" s="1"/>
  <c r="AI26" i="15" s="1"/>
  <c r="AI14" i="15" a="1"/>
  <c r="AI14" i="15" s="1"/>
  <c r="AI15" i="15" s="1"/>
  <c r="AI16" i="15" s="1"/>
  <c r="AK14" i="15" a="1"/>
  <c r="AK14" i="15" s="1"/>
  <c r="AK15" i="15" s="1"/>
  <c r="AK16" i="15" s="1"/>
  <c r="AK25" i="15" a="1"/>
  <c r="AK25" i="15" s="1"/>
  <c r="AK26" i="15" s="1"/>
  <c r="AH25" i="15" a="1"/>
  <c r="AH25" i="15" s="1"/>
  <c r="AH26" i="15" s="1"/>
  <c r="AH14" i="15" a="1"/>
  <c r="AH14" i="15" s="1"/>
  <c r="AH15" i="15" s="1"/>
  <c r="AH16" i="15" s="1"/>
  <c r="V4" i="15"/>
  <c r="AD26" i="15"/>
  <c r="AI17" i="15"/>
  <c r="AA19" i="15"/>
  <c r="AA20" i="15" s="1"/>
  <c r="N56" i="15"/>
  <c r="N57" i="15" s="1"/>
  <c r="N27" i="15" s="1"/>
  <c r="N28" i="15" s="1"/>
  <c r="AD16" i="15"/>
  <c r="Z19" i="15"/>
  <c r="Z20" i="15" s="1"/>
  <c r="AH17" i="15"/>
  <c r="AC19" i="15"/>
  <c r="AC20" i="15" s="1"/>
  <c r="K56" i="15"/>
  <c r="K57" i="15" s="1"/>
  <c r="AI41" i="15"/>
  <c r="AJ19" i="15"/>
  <c r="AJ20" i="15" s="1"/>
  <c r="AH41" i="15"/>
  <c r="AH44" i="15"/>
  <c r="AH43" i="15"/>
  <c r="AK17" i="15"/>
  <c r="G16" i="15"/>
  <c r="F28" i="15"/>
  <c r="B58" i="15" s="1"/>
  <c r="B59" i="15" s="1"/>
  <c r="AK41" i="15"/>
  <c r="L56" i="15"/>
  <c r="L57" i="15" s="1"/>
  <c r="J56" i="15"/>
  <c r="J57" i="15" s="1"/>
  <c r="AD43" i="15"/>
  <c r="AD41" i="15"/>
  <c r="AD44" i="15"/>
  <c r="V55" i="15"/>
  <c r="S55" i="15"/>
  <c r="R55" i="15"/>
  <c r="N3" i="7"/>
  <c r="O3" i="7"/>
  <c r="P5" i="7"/>
  <c r="C5" i="1"/>
  <c r="D5" i="1"/>
  <c r="E5" i="1"/>
  <c r="F5" i="1"/>
  <c r="G5" i="1"/>
  <c r="H5" i="1"/>
  <c r="B5" i="1"/>
  <c r="G3" i="1"/>
  <c r="H3" i="1"/>
  <c r="F3" i="1"/>
  <c r="C3" i="1"/>
  <c r="D3" i="1"/>
  <c r="E3" i="1"/>
  <c r="B3" i="1"/>
  <c r="I83" i="2"/>
  <c r="H83" i="2"/>
  <c r="G83" i="2"/>
  <c r="F83" i="2"/>
  <c r="E83" i="2"/>
  <c r="D83" i="2"/>
  <c r="C83" i="2"/>
  <c r="I70" i="2"/>
  <c r="H70" i="2"/>
  <c r="G70" i="2"/>
  <c r="F70" i="2"/>
  <c r="E70" i="2"/>
  <c r="D70" i="2"/>
  <c r="C70" i="2"/>
  <c r="I57" i="2"/>
  <c r="H57" i="2"/>
  <c r="G57" i="2"/>
  <c r="F57" i="2"/>
  <c r="E57" i="2"/>
  <c r="D57" i="2"/>
  <c r="C57" i="2"/>
  <c r="I44" i="2"/>
  <c r="H44" i="2"/>
  <c r="G44" i="2"/>
  <c r="F44" i="2"/>
  <c r="E44" i="2"/>
  <c r="D44" i="2"/>
  <c r="C44" i="2"/>
  <c r="D31" i="2"/>
  <c r="E31" i="2"/>
  <c r="F31" i="2"/>
  <c r="G31" i="2"/>
  <c r="H31" i="2"/>
  <c r="I31" i="2"/>
  <c r="I78" i="2"/>
  <c r="H78" i="2"/>
  <c r="G78" i="2"/>
  <c r="F78" i="2"/>
  <c r="E78" i="2"/>
  <c r="D78" i="2"/>
  <c r="C78" i="2"/>
  <c r="B77" i="2"/>
  <c r="I65" i="2"/>
  <c r="H65" i="2"/>
  <c r="G65" i="2"/>
  <c r="F65" i="2"/>
  <c r="E65" i="2"/>
  <c r="D65" i="2"/>
  <c r="C65" i="2"/>
  <c r="B64" i="2"/>
  <c r="I52" i="2"/>
  <c r="H52" i="2"/>
  <c r="G52" i="2"/>
  <c r="F52" i="2"/>
  <c r="E52" i="2"/>
  <c r="D52" i="2"/>
  <c r="C52" i="2"/>
  <c r="B51" i="2"/>
  <c r="I39" i="2"/>
  <c r="H39" i="2"/>
  <c r="G39" i="2"/>
  <c r="F39" i="2"/>
  <c r="E39" i="2"/>
  <c r="D39" i="2"/>
  <c r="C39" i="2"/>
  <c r="D26" i="2"/>
  <c r="E26" i="2"/>
  <c r="F26" i="2"/>
  <c r="G26" i="2"/>
  <c r="H26" i="2"/>
  <c r="I26" i="2"/>
  <c r="C26" i="2"/>
  <c r="G6" i="7"/>
  <c r="O5" i="7" l="1"/>
  <c r="O9" i="7"/>
  <c r="N5" i="7"/>
  <c r="N9" i="7"/>
  <c r="Z54" i="15"/>
  <c r="AA54" i="15"/>
  <c r="AA55" i="15" s="1"/>
  <c r="AD54" i="15"/>
  <c r="AD55" i="15" s="1"/>
  <c r="AD56" i="15" s="1"/>
  <c r="AD57" i="15" s="1"/>
  <c r="AD27" i="15" s="1"/>
  <c r="AD28" i="15" s="1"/>
  <c r="AB54" i="15"/>
  <c r="AB55" i="15" s="1"/>
  <c r="AD4" i="15"/>
  <c r="AL26" i="15"/>
  <c r="AH19" i="15"/>
  <c r="AH20" i="15" s="1"/>
  <c r="AL16" i="15"/>
  <c r="B60" i="15"/>
  <c r="B61" i="15" s="1"/>
  <c r="F5" i="15" s="1"/>
  <c r="AI19" i="15"/>
  <c r="AI20" i="15" s="1"/>
  <c r="AK19" i="15"/>
  <c r="AK20" i="15" s="1"/>
  <c r="L58" i="15"/>
  <c r="L59" i="15" s="1"/>
  <c r="AL41" i="15"/>
  <c r="AL44" i="15"/>
  <c r="AL43" i="15"/>
  <c r="S56" i="15"/>
  <c r="S57" i="15" s="1"/>
  <c r="J58" i="15"/>
  <c r="J59" i="15" s="1"/>
  <c r="R56" i="15"/>
  <c r="R57" i="15" s="1"/>
  <c r="T56" i="15"/>
  <c r="T57" i="15" s="1"/>
  <c r="K58" i="15"/>
  <c r="K59" i="15" s="1"/>
  <c r="Z55" i="15"/>
  <c r="G19" i="15"/>
  <c r="G20" i="15" s="1"/>
  <c r="F4" i="15" s="1"/>
  <c r="V56" i="15"/>
  <c r="V57" i="15" s="1"/>
  <c r="V27" i="15" s="1"/>
  <c r="V28" i="15" s="1"/>
  <c r="B57" i="2"/>
  <c r="B83" i="2"/>
  <c r="B70" i="2"/>
  <c r="B44" i="2"/>
  <c r="B10" i="5"/>
  <c r="B9" i="5"/>
  <c r="E10" i="3"/>
  <c r="F10" i="3"/>
  <c r="E11" i="3"/>
  <c r="F11" i="3"/>
  <c r="C6" i="3"/>
  <c r="G7" i="3"/>
  <c r="G11" i="3" s="1"/>
  <c r="D7" i="3"/>
  <c r="D10" i="3" s="1"/>
  <c r="B7" i="3"/>
  <c r="B11" i="3" s="1"/>
  <c r="AL54" i="15" l="1"/>
  <c r="AL55" i="15" s="1"/>
  <c r="AL56" i="15" s="1"/>
  <c r="AL57" i="15" s="1"/>
  <c r="AL27" i="15" s="1"/>
  <c r="AL28" i="15" s="1"/>
  <c r="AH54" i="15"/>
  <c r="AH55" i="15" s="1"/>
  <c r="AI54" i="15"/>
  <c r="AI55" i="15" s="1"/>
  <c r="AJ54" i="15"/>
  <c r="AJ55" i="15" s="1"/>
  <c r="L60" i="15"/>
  <c r="L61" i="15" s="1"/>
  <c r="N5" i="15" s="1"/>
  <c r="N6" i="15" s="1"/>
  <c r="T58" i="15"/>
  <c r="T59" i="15" s="1"/>
  <c r="S58" i="15"/>
  <c r="S59" i="15" s="1"/>
  <c r="K60" i="15"/>
  <c r="K61" i="15" s="1"/>
  <c r="R58" i="15"/>
  <c r="R59" i="15" s="1"/>
  <c r="AL4" i="15"/>
  <c r="AA56" i="15"/>
  <c r="AA57" i="15" s="1"/>
  <c r="F6" i="15"/>
  <c r="AB56" i="15"/>
  <c r="AB57" i="15" s="1"/>
  <c r="J60" i="15"/>
  <c r="J61" i="15" s="1"/>
  <c r="Z56" i="15"/>
  <c r="Z57" i="15" s="1"/>
  <c r="G10" i="3"/>
  <c r="B10" i="3"/>
  <c r="D11" i="3"/>
  <c r="C7" i="3"/>
  <c r="C10" i="3" s="1"/>
  <c r="AB58" i="15" l="1"/>
  <c r="AB59" i="15" s="1"/>
  <c r="R60" i="15"/>
  <c r="R61" i="15" s="1"/>
  <c r="T60" i="15"/>
  <c r="T61" i="15" s="1"/>
  <c r="V5" i="15" s="1"/>
  <c r="V6" i="15" s="1"/>
  <c r="Z58" i="15"/>
  <c r="Z59" i="15" s="1"/>
  <c r="S60" i="15"/>
  <c r="S61" i="15" s="1"/>
  <c r="AH56" i="15"/>
  <c r="AH57" i="15" s="1"/>
  <c r="AJ56" i="15"/>
  <c r="AJ57" i="15" s="1"/>
  <c r="AI56" i="15"/>
  <c r="AI57" i="15" s="1"/>
  <c r="AA58" i="15"/>
  <c r="AA59" i="15" s="1"/>
  <c r="C11" i="3"/>
  <c r="AA60" i="15" l="1"/>
  <c r="AA61" i="15" s="1"/>
  <c r="AH58" i="15"/>
  <c r="AH59" i="15" s="1"/>
  <c r="AJ58" i="15"/>
  <c r="AJ59" i="15" s="1"/>
  <c r="Z60" i="15"/>
  <c r="Z61" i="15" s="1"/>
  <c r="AB60" i="15"/>
  <c r="AB61" i="15" s="1"/>
  <c r="AD5" i="15" s="1"/>
  <c r="AD6" i="15" s="1"/>
  <c r="AI58" i="15"/>
  <c r="AI59" i="15" s="1"/>
  <c r="D22" i="9"/>
  <c r="D23" i="9" s="1"/>
  <c r="E22" i="9"/>
  <c r="E23" i="9" s="1"/>
  <c r="F22" i="9"/>
  <c r="F23" i="9" s="1"/>
  <c r="G22" i="9"/>
  <c r="G23" i="9" s="1"/>
  <c r="H22" i="9"/>
  <c r="H23" i="9" s="1"/>
  <c r="I22" i="9"/>
  <c r="I23" i="9" s="1"/>
  <c r="C22" i="9"/>
  <c r="C23" i="9" s="1"/>
  <c r="D21" i="9"/>
  <c r="E21" i="9"/>
  <c r="F21" i="9"/>
  <c r="G21" i="9"/>
  <c r="H21" i="9"/>
  <c r="I21" i="9"/>
  <c r="C21" i="9"/>
  <c r="D20" i="9"/>
  <c r="E20" i="9"/>
  <c r="F20" i="9"/>
  <c r="G20" i="9"/>
  <c r="H20" i="9"/>
  <c r="I20" i="9"/>
  <c r="C20" i="9"/>
  <c r="B12" i="11"/>
  <c r="B13" i="11"/>
  <c r="G13" i="11" s="1"/>
  <c r="L13" i="11" s="1"/>
  <c r="Q13" i="11" s="1"/>
  <c r="B14" i="11"/>
  <c r="G14" i="11" s="1"/>
  <c r="L14" i="11" s="1"/>
  <c r="Q14" i="11" s="1"/>
  <c r="B11" i="11"/>
  <c r="B4" i="11"/>
  <c r="B1" i="11"/>
  <c r="C56" i="8"/>
  <c r="B56" i="8"/>
  <c r="C45" i="8"/>
  <c r="C52" i="8"/>
  <c r="B52" i="8"/>
  <c r="B45" i="8"/>
  <c r="AJ60" i="15" l="1"/>
  <c r="AJ61" i="15" s="1"/>
  <c r="AL5" i="15" s="1"/>
  <c r="AL6" i="15" s="1"/>
  <c r="AI60" i="15"/>
  <c r="AI61" i="15" s="1"/>
  <c r="AH60" i="15"/>
  <c r="AH61" i="15" s="1"/>
  <c r="G1" i="11"/>
  <c r="L1" i="11" s="1"/>
  <c r="D1" i="11"/>
  <c r="F24" i="9"/>
  <c r="D24" i="9"/>
  <c r="E24" i="9"/>
  <c r="C24" i="9"/>
  <c r="I24" i="9"/>
  <c r="H24" i="9"/>
  <c r="G24" i="9"/>
  <c r="C1" i="11"/>
  <c r="F40" i="8"/>
  <c r="G40" i="8"/>
  <c r="G38" i="8"/>
  <c r="G56" i="8" s="1"/>
  <c r="F38" i="8"/>
  <c r="F56" i="8" s="1"/>
  <c r="C14" i="8"/>
  <c r="G14" i="8" s="1"/>
  <c r="K14" i="8" s="1"/>
  <c r="O14" i="8" s="1"/>
  <c r="C13" i="8"/>
  <c r="G13" i="8" s="1"/>
  <c r="K13" i="8" s="1"/>
  <c r="O13" i="8" s="1"/>
  <c r="B14" i="8"/>
  <c r="F14" i="8" s="1"/>
  <c r="J14" i="8" s="1"/>
  <c r="N14" i="8" s="1"/>
  <c r="B13" i="8"/>
  <c r="F13" i="8" s="1"/>
  <c r="J13" i="8" s="1"/>
  <c r="N13" i="8" s="1"/>
  <c r="C4" i="8"/>
  <c r="B4" i="8"/>
  <c r="N2" i="8"/>
  <c r="O2" i="8" s="1"/>
  <c r="N1" i="8"/>
  <c r="J2" i="8"/>
  <c r="K2" i="8" s="1"/>
  <c r="J1" i="8"/>
  <c r="F2" i="8"/>
  <c r="G2" i="8" s="1"/>
  <c r="F1" i="8"/>
  <c r="B2" i="8"/>
  <c r="C2" i="8" s="1"/>
  <c r="B1" i="8"/>
  <c r="C20" i="8"/>
  <c r="B20" i="8"/>
  <c r="T3" i="7"/>
  <c r="T9" i="7" s="1"/>
  <c r="U3" i="7"/>
  <c r="U9" i="7" s="1"/>
  <c r="V3" i="7"/>
  <c r="V9" i="7" s="1"/>
  <c r="M3" i="7"/>
  <c r="M9" i="7" s="1"/>
  <c r="N14" i="7"/>
  <c r="T14" i="7" s="1"/>
  <c r="Z14" i="7" s="1"/>
  <c r="O14" i="7"/>
  <c r="U14" i="7" s="1"/>
  <c r="AA14" i="7" s="1"/>
  <c r="V14" i="7"/>
  <c r="AB14" i="7" s="1"/>
  <c r="G14" i="7"/>
  <c r="M14" i="7" s="1"/>
  <c r="S14" i="7" s="1"/>
  <c r="Y14" i="7" s="1"/>
  <c r="N12" i="7"/>
  <c r="O12" i="7"/>
  <c r="V12" i="7"/>
  <c r="G12" i="7"/>
  <c r="H5" i="7"/>
  <c r="I5" i="7"/>
  <c r="G5" i="7"/>
  <c r="H6" i="7"/>
  <c r="I6" i="7"/>
  <c r="V6" i="7"/>
  <c r="AB6" i="7" s="1"/>
  <c r="H7" i="7"/>
  <c r="N7" i="7" s="1"/>
  <c r="T7" i="7" s="1"/>
  <c r="Z7" i="7" s="1"/>
  <c r="I7" i="7"/>
  <c r="O7" i="7" s="1"/>
  <c r="U7" i="7" s="1"/>
  <c r="AA7" i="7" s="1"/>
  <c r="V7" i="7"/>
  <c r="AB7" i="7" s="1"/>
  <c r="G7" i="7"/>
  <c r="M7" i="7" s="1"/>
  <c r="S7" i="7" s="1"/>
  <c r="Y7" i="7" s="1"/>
  <c r="M6" i="7"/>
  <c r="S6" i="7" s="1"/>
  <c r="Y6" i="7" s="1"/>
  <c r="Q12" i="11"/>
  <c r="Q11" i="11"/>
  <c r="Q15" i="11" s="1"/>
  <c r="L12" i="11"/>
  <c r="L11" i="11"/>
  <c r="G12" i="11"/>
  <c r="G11" i="11"/>
  <c r="O12" i="8"/>
  <c r="N12" i="8"/>
  <c r="O11" i="8"/>
  <c r="N11" i="8"/>
  <c r="K12" i="8"/>
  <c r="J12" i="8"/>
  <c r="K11" i="8"/>
  <c r="J11" i="8"/>
  <c r="G12" i="8"/>
  <c r="F12" i="8"/>
  <c r="G11" i="8"/>
  <c r="F11" i="8"/>
  <c r="C12" i="8"/>
  <c r="C11" i="8"/>
  <c r="B11" i="8"/>
  <c r="B12" i="8"/>
  <c r="B15" i="5"/>
  <c r="B13" i="5"/>
  <c r="Q26" i="11"/>
  <c r="L26" i="11"/>
  <c r="S20" i="11"/>
  <c r="R20" i="11"/>
  <c r="G4" i="11"/>
  <c r="G23" i="11" s="1"/>
  <c r="N20" i="11"/>
  <c r="M20" i="11"/>
  <c r="I20" i="11"/>
  <c r="H20" i="11"/>
  <c r="B15" i="11"/>
  <c r="B26" i="11" s="1"/>
  <c r="B23" i="11"/>
  <c r="AB12" i="7" l="1"/>
  <c r="AB13" i="7" s="1"/>
  <c r="V13" i="7"/>
  <c r="U12" i="7"/>
  <c r="O13" i="7"/>
  <c r="T12" i="7"/>
  <c r="N13" i="7"/>
  <c r="O6" i="7"/>
  <c r="U6" i="7" s="1"/>
  <c r="AA6" i="7" s="1"/>
  <c r="M12" i="7"/>
  <c r="G13" i="7"/>
  <c r="N6" i="7"/>
  <c r="T6" i="7" s="1"/>
  <c r="Z6" i="7" s="1"/>
  <c r="Z3" i="7"/>
  <c r="T5" i="7"/>
  <c r="AA3" i="7"/>
  <c r="U5" i="7"/>
  <c r="AB3" i="7"/>
  <c r="V5" i="7"/>
  <c r="S3" i="7"/>
  <c r="S9" i="7" s="1"/>
  <c r="M5" i="7"/>
  <c r="O64" i="8"/>
  <c r="N64" i="8"/>
  <c r="J64" i="8"/>
  <c r="G64" i="8"/>
  <c r="K64" i="8"/>
  <c r="F64" i="8"/>
  <c r="B24" i="9"/>
  <c r="B36" i="1" s="1"/>
  <c r="I1" i="11"/>
  <c r="H1" i="11"/>
  <c r="K1" i="8"/>
  <c r="O1" i="8"/>
  <c r="K38" i="8"/>
  <c r="K56" i="8" s="1"/>
  <c r="G52" i="8"/>
  <c r="G45" i="8"/>
  <c r="B64" i="8"/>
  <c r="C64" i="8"/>
  <c r="G1" i="8"/>
  <c r="G44" i="8" s="1"/>
  <c r="F44" i="8"/>
  <c r="J38" i="8"/>
  <c r="J56" i="8" s="1"/>
  <c r="F52" i="8"/>
  <c r="F45" i="8"/>
  <c r="C1" i="8"/>
  <c r="C44" i="8" s="1"/>
  <c r="B44" i="8"/>
  <c r="K40" i="8"/>
  <c r="J40" i="8"/>
  <c r="J44" i="8" s="1"/>
  <c r="J25" i="8"/>
  <c r="N25" i="8"/>
  <c r="G15" i="11"/>
  <c r="G26" i="11" s="1"/>
  <c r="L15" i="11"/>
  <c r="L4" i="11"/>
  <c r="Q1" i="11"/>
  <c r="R4" i="11"/>
  <c r="Z12" i="7" l="1"/>
  <c r="Z13" i="7" s="1"/>
  <c r="T13" i="7"/>
  <c r="AB5" i="7"/>
  <c r="AB9" i="7"/>
  <c r="AA5" i="7"/>
  <c r="AA9" i="7"/>
  <c r="AA12" i="7"/>
  <c r="AA13" i="7" s="1"/>
  <c r="U13" i="7"/>
  <c r="S12" i="7"/>
  <c r="M13" i="7"/>
  <c r="Z5" i="7"/>
  <c r="Z9" i="7"/>
  <c r="Y3" i="7"/>
  <c r="S5" i="7"/>
  <c r="F65" i="8"/>
  <c r="J65" i="8"/>
  <c r="G65" i="8"/>
  <c r="C22" i="8"/>
  <c r="L23" i="11"/>
  <c r="Q4" i="11"/>
  <c r="Q23" i="11" s="1"/>
  <c r="M1" i="11"/>
  <c r="H3" i="11"/>
  <c r="N1" i="11"/>
  <c r="I3" i="11"/>
  <c r="C65" i="8"/>
  <c r="O38" i="8"/>
  <c r="O56" i="8" s="1"/>
  <c r="K52" i="8"/>
  <c r="K45" i="8"/>
  <c r="B65" i="8"/>
  <c r="N38" i="8"/>
  <c r="N56" i="8" s="1"/>
  <c r="J52" i="8"/>
  <c r="J45" i="8"/>
  <c r="K44" i="8"/>
  <c r="K65" i="8" s="1"/>
  <c r="N40" i="8"/>
  <c r="N44" i="8" s="1"/>
  <c r="N65" i="8" s="1"/>
  <c r="O40" i="8"/>
  <c r="O44" i="8" s="1"/>
  <c r="O65" i="8" s="1"/>
  <c r="S4" i="11"/>
  <c r="Y12" i="7" l="1"/>
  <c r="Y13" i="7" s="1"/>
  <c r="S13" i="7"/>
  <c r="Y5" i="7"/>
  <c r="Y9" i="7"/>
  <c r="R1" i="11"/>
  <c r="S1" i="11"/>
  <c r="G3" i="11"/>
  <c r="N45" i="8"/>
  <c r="N52" i="8"/>
  <c r="O52" i="8"/>
  <c r="O45" i="8"/>
  <c r="B14" i="9"/>
  <c r="B4" i="9"/>
  <c r="B22" i="8"/>
  <c r="C21" i="8"/>
  <c r="B21" i="8"/>
  <c r="O15" i="8"/>
  <c r="O25" i="8" s="1"/>
  <c r="N15" i="8"/>
  <c r="K15" i="8"/>
  <c r="K25" i="8" s="1"/>
  <c r="J15" i="8"/>
  <c r="G15" i="8"/>
  <c r="G25" i="8" s="1"/>
  <c r="F15" i="8"/>
  <c r="F25" i="8" s="1"/>
  <c r="C15" i="8"/>
  <c r="C25" i="8" s="1"/>
  <c r="B15" i="8"/>
  <c r="B25" i="8" s="1"/>
  <c r="G4" i="8"/>
  <c r="K4" i="8" s="1"/>
  <c r="F4" i="8"/>
  <c r="C3" i="8"/>
  <c r="C46" i="8" s="1"/>
  <c r="C47" i="8" s="1"/>
  <c r="B3" i="8"/>
  <c r="B46" i="8" s="1"/>
  <c r="AB19" i="7"/>
  <c r="AA19" i="7"/>
  <c r="Z19" i="7"/>
  <c r="Y19" i="7"/>
  <c r="V19" i="7"/>
  <c r="U19" i="7"/>
  <c r="T19" i="7"/>
  <c r="S19" i="7"/>
  <c r="P19" i="7"/>
  <c r="O19" i="7"/>
  <c r="N19" i="7"/>
  <c r="AB15" i="7"/>
  <c r="AB16" i="7" s="1"/>
  <c r="AA15" i="7"/>
  <c r="AA16" i="7" s="1"/>
  <c r="Z15" i="7"/>
  <c r="Z16" i="7" s="1"/>
  <c r="Y15" i="7"/>
  <c r="V15" i="7"/>
  <c r="V16" i="7" s="1"/>
  <c r="U15" i="7"/>
  <c r="U16" i="7" s="1"/>
  <c r="T15" i="7"/>
  <c r="T16" i="7" s="1"/>
  <c r="S15" i="7"/>
  <c r="S16" i="7" s="1"/>
  <c r="P15" i="7"/>
  <c r="P16" i="7" s="1"/>
  <c r="O15" i="7"/>
  <c r="O16" i="7" s="1"/>
  <c r="N15" i="7"/>
  <c r="N16" i="7" s="1"/>
  <c r="M15" i="7"/>
  <c r="M16" i="7" s="1"/>
  <c r="G15" i="7"/>
  <c r="G16" i="7" s="1"/>
  <c r="AB8" i="7"/>
  <c r="AA8" i="7"/>
  <c r="Z8" i="7"/>
  <c r="Y8" i="7"/>
  <c r="V8" i="7"/>
  <c r="U8" i="7"/>
  <c r="T8" i="7"/>
  <c r="S8" i="7"/>
  <c r="P8" i="7"/>
  <c r="P17" i="7" s="1"/>
  <c r="O8" i="7"/>
  <c r="O17" i="7" s="1"/>
  <c r="N8" i="7"/>
  <c r="N17" i="7" s="1"/>
  <c r="M8" i="7"/>
  <c r="M17" i="7" s="1"/>
  <c r="I8" i="7"/>
  <c r="I17" i="7" s="1"/>
  <c r="I18" i="7" s="1"/>
  <c r="I20" i="7" s="1"/>
  <c r="I21" i="7" s="1" a="1"/>
  <c r="I21" i="7" s="1"/>
  <c r="I23" i="7" s="1"/>
  <c r="H8" i="7"/>
  <c r="H17" i="7" s="1"/>
  <c r="H18" i="7" s="1"/>
  <c r="H20" i="7" s="1"/>
  <c r="H21" i="7" s="1" a="1"/>
  <c r="H21" i="7" s="1"/>
  <c r="H23" i="7" s="1"/>
  <c r="H24" i="7" s="1"/>
  <c r="H25" i="7" s="1"/>
  <c r="G8" i="7"/>
  <c r="B14" i="5"/>
  <c r="B38" i="2"/>
  <c r="C31" i="2"/>
  <c r="B31" i="2" s="1"/>
  <c r="B25" i="2"/>
  <c r="R17" i="2"/>
  <c r="Q17" i="2"/>
  <c r="P17" i="2"/>
  <c r="O17" i="2"/>
  <c r="N17" i="2"/>
  <c r="M17" i="2"/>
  <c r="L17" i="2"/>
  <c r="K17" i="2"/>
  <c r="J17" i="2"/>
  <c r="B9" i="9" s="1"/>
  <c r="I17" i="2"/>
  <c r="H17" i="2"/>
  <c r="G17" i="2"/>
  <c r="F17" i="2"/>
  <c r="E17" i="2"/>
  <c r="D17" i="2"/>
  <c r="C17" i="2"/>
  <c r="I24" i="7" l="1"/>
  <c r="I25" i="7" s="1"/>
  <c r="Y16" i="7"/>
  <c r="Y18" i="7" s="1"/>
  <c r="Y20" i="7" s="1"/>
  <c r="B16" i="5"/>
  <c r="B21" i="5"/>
  <c r="M18" i="7"/>
  <c r="M20" i="7" s="1"/>
  <c r="M21" i="7" s="1" a="1"/>
  <c r="M21" i="7" s="1"/>
  <c r="M23" i="7" s="1"/>
  <c r="V18" i="7"/>
  <c r="V20" i="7" s="1"/>
  <c r="V21" i="7" s="1" a="1"/>
  <c r="V21" i="7" s="1"/>
  <c r="B17" i="2"/>
  <c r="Z18" i="7"/>
  <c r="Z20" i="7" s="1"/>
  <c r="Z21" i="7" s="1" a="1"/>
  <c r="Z21" i="7" s="1"/>
  <c r="S18" i="7"/>
  <c r="S20" i="7" s="1"/>
  <c r="S21" i="7" s="1" a="1"/>
  <c r="S21" i="7" s="1"/>
  <c r="T18" i="7"/>
  <c r="T20" i="7" s="1"/>
  <c r="T21" i="7" s="1" a="1"/>
  <c r="T21" i="7" s="1"/>
  <c r="U18" i="7"/>
  <c r="U20" i="7" s="1"/>
  <c r="U21" i="7" s="1" a="1"/>
  <c r="U21" i="7" s="1"/>
  <c r="AA18" i="7"/>
  <c r="AA20" i="7" s="1"/>
  <c r="AB18" i="7"/>
  <c r="AB20" i="7" s="1"/>
  <c r="AB21" i="7" s="1" a="1"/>
  <c r="AB21" i="7" s="1"/>
  <c r="B23" i="8"/>
  <c r="B24" i="8" s="1"/>
  <c r="B26" i="8" s="1"/>
  <c r="B28" i="8" s="1"/>
  <c r="B47" i="8"/>
  <c r="G3" i="8"/>
  <c r="G46" i="8" s="1"/>
  <c r="G47" i="8" s="1"/>
  <c r="G22" i="8"/>
  <c r="F20" i="8"/>
  <c r="F27" i="8" s="1"/>
  <c r="G20" i="8"/>
  <c r="G21" i="8" s="1"/>
  <c r="F22" i="8"/>
  <c r="J4" i="8"/>
  <c r="N18" i="7"/>
  <c r="N20" i="7" s="1"/>
  <c r="O4" i="8"/>
  <c r="C23" i="8"/>
  <c r="C24" i="8" s="1"/>
  <c r="C26" i="8" s="1"/>
  <c r="C28" i="8" s="1"/>
  <c r="P18" i="7"/>
  <c r="P20" i="7" s="1"/>
  <c r="O18" i="7"/>
  <c r="O20" i="7" s="1"/>
  <c r="F3" i="8"/>
  <c r="F46" i="8" s="1"/>
  <c r="F47" i="8" s="1"/>
  <c r="B5" i="9"/>
  <c r="AC73" i="6"/>
  <c r="O57" i="8" a="1"/>
  <c r="B57" i="8" a="1"/>
  <c r="F57" i="8" a="1"/>
  <c r="D10" i="11" a="1"/>
  <c r="AI73" i="6"/>
  <c r="J57" i="8" a="1"/>
  <c r="C39" i="8" a="1"/>
  <c r="M73" i="6"/>
  <c r="C10" i="11" a="1"/>
  <c r="AJ73" i="6"/>
  <c r="B68" i="6"/>
  <c r="G57" i="8" a="1"/>
  <c r="N57" i="8" a="1"/>
  <c r="K57" i="8" a="1"/>
  <c r="AH73" i="6"/>
  <c r="E69" i="6"/>
  <c r="C57" i="8" a="1"/>
  <c r="B39" i="8" a="1"/>
  <c r="AB73" i="6"/>
  <c r="AK73" i="6"/>
  <c r="B75" i="6"/>
  <c r="D17" i="11" a="1"/>
  <c r="D69" i="6"/>
  <c r="C68" i="6"/>
  <c r="U73" i="6"/>
  <c r="K73" i="6"/>
  <c r="C69" i="6"/>
  <c r="E68" i="6"/>
  <c r="L73" i="6"/>
  <c r="C5" i="6"/>
  <c r="B5" i="5"/>
  <c r="T73" i="6"/>
  <c r="R73" i="6"/>
  <c r="S73" i="6"/>
  <c r="J73" i="6"/>
  <c r="B69" i="6"/>
  <c r="D68" i="6"/>
  <c r="C3" i="6"/>
  <c r="C17" i="11" a="1"/>
  <c r="Z73" i="6"/>
  <c r="AA73" i="6"/>
  <c r="F80" i="6" l="1"/>
  <c r="AL66" i="6"/>
  <c r="AH71" i="6"/>
  <c r="C4" i="6"/>
  <c r="AD66" i="6"/>
  <c r="Z71" i="6"/>
  <c r="R71" i="6"/>
  <c r="N66" i="6"/>
  <c r="G4" i="6"/>
  <c r="G26" i="6"/>
  <c r="J75" i="6"/>
  <c r="J71" i="6"/>
  <c r="M69" i="6"/>
  <c r="U69" i="6" s="1"/>
  <c r="AC69" i="6" s="1"/>
  <c r="AK69" i="6" s="1"/>
  <c r="L69" i="6"/>
  <c r="T69" i="6" s="1"/>
  <c r="AB69" i="6" s="1"/>
  <c r="AJ69" i="6" s="1"/>
  <c r="K69" i="6"/>
  <c r="S69" i="6" s="1"/>
  <c r="AA69" i="6" s="1"/>
  <c r="AI69" i="6" s="1"/>
  <c r="J69" i="6"/>
  <c r="R69" i="6" s="1"/>
  <c r="Z69" i="6" s="1"/>
  <c r="AH69" i="6" s="1"/>
  <c r="F75" i="6"/>
  <c r="L68" i="6"/>
  <c r="M68" i="6"/>
  <c r="U68" i="6" s="1"/>
  <c r="AC68" i="6" s="1"/>
  <c r="AK68" i="6" s="1"/>
  <c r="K68" i="6"/>
  <c r="S68" i="6" s="1"/>
  <c r="AA68" i="6" s="1"/>
  <c r="AI68" i="6" s="1"/>
  <c r="J68" i="6"/>
  <c r="V66" i="6"/>
  <c r="F66" i="6"/>
  <c r="F81" i="6" s="1"/>
  <c r="E66" i="6"/>
  <c r="M66" i="6" s="1"/>
  <c r="C66" i="6"/>
  <c r="K66" i="6" s="1"/>
  <c r="B66" i="6"/>
  <c r="D66" i="6"/>
  <c r="L66" i="6" s="1"/>
  <c r="B76" i="6"/>
  <c r="B71" i="6"/>
  <c r="B72" i="6" s="1"/>
  <c r="B80" i="6"/>
  <c r="A79" i="6"/>
  <c r="D17" i="11"/>
  <c r="C17" i="11"/>
  <c r="D10" i="11"/>
  <c r="B10" i="9"/>
  <c r="B8" i="9"/>
  <c r="C10" i="11"/>
  <c r="O57" i="8"/>
  <c r="N57" i="8"/>
  <c r="J57" i="8"/>
  <c r="K57" i="8"/>
  <c r="F57" i="8"/>
  <c r="G57" i="8"/>
  <c r="C57" i="8"/>
  <c r="B57" i="8"/>
  <c r="C39" i="8"/>
  <c r="B39" i="8"/>
  <c r="B3" i="9"/>
  <c r="B17" i="5"/>
  <c r="B18" i="5" s="1"/>
  <c r="B19" i="5" s="1" a="1"/>
  <c r="B19" i="5" s="1"/>
  <c r="B20" i="5" s="1"/>
  <c r="B22" i="5" s="1"/>
  <c r="B28" i="1" s="1"/>
  <c r="K3" i="8"/>
  <c r="K46" i="8" s="1"/>
  <c r="K47" i="8" s="1"/>
  <c r="F21" i="8"/>
  <c r="T23" i="7"/>
  <c r="U23" i="7"/>
  <c r="U24" i="7" s="1"/>
  <c r="U25" i="7" s="1"/>
  <c r="V23" i="7"/>
  <c r="V24" i="7" s="1"/>
  <c r="V25" i="7" s="1"/>
  <c r="G23" i="8"/>
  <c r="G24" i="8" s="1"/>
  <c r="G26" i="8" s="1"/>
  <c r="G27" i="8"/>
  <c r="K22" i="8"/>
  <c r="K20" i="8"/>
  <c r="M24" i="7"/>
  <c r="M25" i="7" s="1"/>
  <c r="B10" i="1" s="1"/>
  <c r="P21" i="7" a="1"/>
  <c r="P21" i="7" s="1"/>
  <c r="N4" i="8"/>
  <c r="J22" i="8"/>
  <c r="B29" i="8" a="1"/>
  <c r="B29" i="8" s="1"/>
  <c r="B30" i="8" s="1" a="1"/>
  <c r="B30" i="8" s="1"/>
  <c r="B31" i="8" s="1"/>
  <c r="J20" i="8"/>
  <c r="J3" i="8"/>
  <c r="J46" i="8" s="1"/>
  <c r="J47" i="8" s="1"/>
  <c r="AA21" i="7" a="1"/>
  <c r="AA21" i="7" s="1"/>
  <c r="S23" i="7"/>
  <c r="C29" i="8" a="1"/>
  <c r="C29" i="8" s="1"/>
  <c r="C30" i="8" s="1" a="1"/>
  <c r="C30" i="8" s="1"/>
  <c r="C31" i="8" s="1"/>
  <c r="O22" i="8"/>
  <c r="O21" i="7" a="1"/>
  <c r="O21" i="7" s="1"/>
  <c r="N21" i="7" a="1"/>
  <c r="N21" i="7" s="1"/>
  <c r="N23" i="7" s="1"/>
  <c r="F79" i="6" l="1"/>
  <c r="N79" i="6"/>
  <c r="O26" i="6"/>
  <c r="N80" i="6"/>
  <c r="AD79" i="6"/>
  <c r="AD83" i="6" s="1"/>
  <c r="AL79" i="6"/>
  <c r="AL83" i="6" s="1"/>
  <c r="V79" i="6"/>
  <c r="AL69" i="6"/>
  <c r="AL76" i="6"/>
  <c r="AL70" i="6"/>
  <c r="AL77" i="6"/>
  <c r="AD76" i="6"/>
  <c r="AD77" i="6"/>
  <c r="AD70" i="6"/>
  <c r="AD69" i="6"/>
  <c r="V76" i="6"/>
  <c r="V70" i="6"/>
  <c r="V69" i="6"/>
  <c r="V77" i="6"/>
  <c r="N75" i="6"/>
  <c r="R75" i="6"/>
  <c r="R68" i="6"/>
  <c r="T68" i="6"/>
  <c r="AB68" i="6" s="1"/>
  <c r="AJ68" i="6" s="1"/>
  <c r="I79" i="6"/>
  <c r="Q79" i="6" s="1"/>
  <c r="Y79" i="6" s="1"/>
  <c r="K80" i="6"/>
  <c r="L80" i="6"/>
  <c r="J80" i="6"/>
  <c r="J82" i="6" s="1"/>
  <c r="J84" i="6" s="1"/>
  <c r="J87" i="6" s="1"/>
  <c r="N77" i="6"/>
  <c r="N81" i="6"/>
  <c r="N76" i="6"/>
  <c r="N70" i="6"/>
  <c r="N69" i="6"/>
  <c r="L70" i="6"/>
  <c r="L74" i="6"/>
  <c r="K70" i="6"/>
  <c r="K74" i="6"/>
  <c r="M70" i="6"/>
  <c r="M74" i="6"/>
  <c r="U66" i="6"/>
  <c r="AC66" i="6" s="1"/>
  <c r="AK66" i="6" s="1"/>
  <c r="T66" i="6"/>
  <c r="AB66" i="6" s="1"/>
  <c r="AJ66" i="6" s="1"/>
  <c r="S66" i="6"/>
  <c r="AA66" i="6" s="1"/>
  <c r="AI66" i="6" s="1"/>
  <c r="D70" i="6"/>
  <c r="E70" i="6"/>
  <c r="B70" i="6"/>
  <c r="C70" i="6"/>
  <c r="F82" i="6"/>
  <c r="F84" i="6" s="1"/>
  <c r="F87" i="6" s="1"/>
  <c r="F69" i="6"/>
  <c r="F70" i="6" s="1"/>
  <c r="F76" i="6"/>
  <c r="J66" i="6"/>
  <c r="B81" i="6"/>
  <c r="B59" i="8" a="1"/>
  <c r="B59" i="8" s="1"/>
  <c r="B60" i="8" a="1"/>
  <c r="B60" i="8" s="1"/>
  <c r="C59" i="8" a="1"/>
  <c r="C59" i="8" s="1"/>
  <c r="C60" i="8" a="1"/>
  <c r="C60" i="8" s="1"/>
  <c r="K59" i="8" a="1"/>
  <c r="K59" i="8" s="1"/>
  <c r="K60" i="8" a="1"/>
  <c r="K60" i="8" s="1"/>
  <c r="G59" i="8" a="1"/>
  <c r="G59" i="8" s="1"/>
  <c r="G60" i="8" a="1"/>
  <c r="G60" i="8" s="1"/>
  <c r="J59" i="8" a="1"/>
  <c r="J59" i="8" s="1"/>
  <c r="J60" i="8" a="1"/>
  <c r="J60" i="8" s="1"/>
  <c r="F59" i="8" a="1"/>
  <c r="F59" i="8" s="1"/>
  <c r="F60" i="8" a="1"/>
  <c r="F60" i="8" s="1"/>
  <c r="N59" i="8" a="1"/>
  <c r="N59" i="8" s="1"/>
  <c r="N60" i="8" a="1"/>
  <c r="N60" i="8" s="1"/>
  <c r="C39" i="11" a="1"/>
  <c r="C39" i="11" s="1"/>
  <c r="C40" i="11" a="1"/>
  <c r="C40" i="11" s="1"/>
  <c r="O59" i="8" a="1"/>
  <c r="O59" i="8" s="1"/>
  <c r="O60" i="8" a="1"/>
  <c r="O60" i="8" s="1"/>
  <c r="D39" i="11" a="1"/>
  <c r="D39" i="11" s="1"/>
  <c r="D40" i="11" a="1"/>
  <c r="D40" i="11" s="1"/>
  <c r="B6" i="9"/>
  <c r="B7" i="9" s="1"/>
  <c r="B33" i="1"/>
  <c r="D2" i="11"/>
  <c r="I2" i="11" s="1"/>
  <c r="N2" i="11" s="1"/>
  <c r="D3" i="11"/>
  <c r="B48" i="8"/>
  <c r="B49" i="8" s="1"/>
  <c r="B50" i="8" s="1" a="1"/>
  <c r="B50" i="8" s="1"/>
  <c r="B51" i="8" s="1"/>
  <c r="B53" i="8" s="1"/>
  <c r="F39" i="8"/>
  <c r="C48" i="8"/>
  <c r="C49" i="8" s="1"/>
  <c r="C50" i="8" s="1" a="1"/>
  <c r="C50" i="8" s="1"/>
  <c r="C51" i="8" s="1"/>
  <c r="C53" i="8" s="1"/>
  <c r="G39" i="8"/>
  <c r="C2" i="11"/>
  <c r="C3" i="11"/>
  <c r="H17" i="11"/>
  <c r="H40" i="11" s="1" a="1"/>
  <c r="H40" i="11" s="1"/>
  <c r="I17" i="11"/>
  <c r="I40" i="11" s="1" a="1"/>
  <c r="I40" i="11" s="1"/>
  <c r="F23" i="8"/>
  <c r="F24" i="8" s="1"/>
  <c r="F26" i="8" s="1"/>
  <c r="F28" i="8" s="1"/>
  <c r="F29" i="8" s="1" a="1"/>
  <c r="F29" i="8" s="1"/>
  <c r="F30" i="8" s="1" a="1"/>
  <c r="F30" i="8" s="1"/>
  <c r="F31" i="8" s="1"/>
  <c r="O3" i="8"/>
  <c r="O46" i="8" s="1"/>
  <c r="O47" i="8" s="1"/>
  <c r="O20" i="8"/>
  <c r="O21" i="8" s="1"/>
  <c r="G28" i="8"/>
  <c r="G29" i="8" s="1" a="1"/>
  <c r="G29" i="8" s="1"/>
  <c r="G30" i="8" s="1" a="1"/>
  <c r="G30" i="8" s="1"/>
  <c r="G31" i="8" s="1"/>
  <c r="P23" i="7"/>
  <c r="P24" i="7" s="1"/>
  <c r="P25" i="7" s="1"/>
  <c r="O23" i="7"/>
  <c r="O24" i="7" s="1"/>
  <c r="O25" i="7" s="1"/>
  <c r="T24" i="7"/>
  <c r="T25" i="7" s="1"/>
  <c r="K21" i="8"/>
  <c r="K27" i="8"/>
  <c r="C32" i="8"/>
  <c r="C33" i="8" s="1"/>
  <c r="C6" i="8" s="1"/>
  <c r="B32" i="8"/>
  <c r="B33" i="8" s="1"/>
  <c r="B6" i="8" s="1"/>
  <c r="N20" i="8"/>
  <c r="N3" i="8"/>
  <c r="N46" i="8" s="1"/>
  <c r="N47" i="8" s="1"/>
  <c r="J21" i="8"/>
  <c r="J27" i="8"/>
  <c r="N22" i="8"/>
  <c r="S24" i="7"/>
  <c r="S25" i="7" s="1"/>
  <c r="B11" i="1" s="1"/>
  <c r="N24" i="7"/>
  <c r="N25" i="7" s="1"/>
  <c r="V83" i="6" l="1"/>
  <c r="L81" i="6"/>
  <c r="L82" i="6" s="1"/>
  <c r="L84" i="6" s="1"/>
  <c r="L87" i="6" s="1"/>
  <c r="R80" i="6"/>
  <c r="R82" i="6" s="1"/>
  <c r="R84" i="6" s="1"/>
  <c r="R87" i="6" s="1"/>
  <c r="AA49" i="6"/>
  <c r="AA51" i="6" s="1"/>
  <c r="AA54" i="6" s="1"/>
  <c r="V80" i="6"/>
  <c r="V81" i="6" s="1"/>
  <c r="V82" i="6" s="1"/>
  <c r="T80" i="6"/>
  <c r="AJ70" i="6"/>
  <c r="AJ74" i="6"/>
  <c r="AK70" i="6"/>
  <c r="AK74" i="6"/>
  <c r="AI70" i="6"/>
  <c r="AI74" i="6"/>
  <c r="S80" i="6"/>
  <c r="S81" i="6" s="1"/>
  <c r="Z68" i="6"/>
  <c r="K48" i="6"/>
  <c r="K49" i="6" s="1"/>
  <c r="K51" i="6" s="1"/>
  <c r="K81" i="6"/>
  <c r="K82" i="6" s="1"/>
  <c r="K84" i="6" s="1"/>
  <c r="K87" i="6" s="1"/>
  <c r="AA70" i="6"/>
  <c r="AA74" i="6"/>
  <c r="W26" i="6"/>
  <c r="AB70" i="6"/>
  <c r="AB74" i="6"/>
  <c r="V75" i="6"/>
  <c r="Z75" i="6"/>
  <c r="AC70" i="6"/>
  <c r="AC74" i="6"/>
  <c r="U74" i="6"/>
  <c r="U70" i="6"/>
  <c r="T70" i="6"/>
  <c r="T74" i="6"/>
  <c r="S70" i="6"/>
  <c r="S74" i="6"/>
  <c r="F85" i="6" a="1"/>
  <c r="F85" i="6" s="1"/>
  <c r="F86" i="6" s="1"/>
  <c r="J85" i="6" a="1"/>
  <c r="J85" i="6" s="1"/>
  <c r="J86" i="6" s="1"/>
  <c r="J77" i="6"/>
  <c r="N82" i="6"/>
  <c r="N84" i="6" s="1"/>
  <c r="N85" i="6" s="1" a="1"/>
  <c r="N85" i="6" s="1"/>
  <c r="J74" i="6"/>
  <c r="J76" i="6"/>
  <c r="B77" i="6"/>
  <c r="J70" i="6"/>
  <c r="F77" i="6"/>
  <c r="R66" i="6"/>
  <c r="Z66" i="6" s="1"/>
  <c r="AH66" i="6" s="1"/>
  <c r="B82" i="6"/>
  <c r="B84" i="6" s="1"/>
  <c r="B87" i="6" s="1"/>
  <c r="O61" i="8"/>
  <c r="K61" i="8"/>
  <c r="C41" i="11"/>
  <c r="B24" i="1" s="1"/>
  <c r="F61" i="8"/>
  <c r="D41" i="11"/>
  <c r="G61" i="8"/>
  <c r="C61" i="8"/>
  <c r="C36" i="8" s="1"/>
  <c r="J61" i="8"/>
  <c r="B61" i="8"/>
  <c r="B36" i="8" s="1"/>
  <c r="B11" i="9"/>
  <c r="B12" i="9" s="1" a="1"/>
  <c r="B12" i="9" s="1"/>
  <c r="B13" i="9" s="1"/>
  <c r="B15" i="9" s="1"/>
  <c r="B35" i="1" s="1"/>
  <c r="B37" i="1" s="1"/>
  <c r="M17" i="11"/>
  <c r="M40" i="11" s="1" a="1"/>
  <c r="M40" i="11" s="1"/>
  <c r="H39" i="11" a="1"/>
  <c r="H39" i="11" s="1"/>
  <c r="H41" i="11" s="1"/>
  <c r="S2" i="11"/>
  <c r="N3" i="11"/>
  <c r="S3" i="11" s="1"/>
  <c r="H2" i="11"/>
  <c r="M2" i="11" s="1"/>
  <c r="B2" i="11"/>
  <c r="B20" i="11" s="1"/>
  <c r="F48" i="8"/>
  <c r="F49" i="8" s="1"/>
  <c r="F50" i="8" s="1" a="1"/>
  <c r="F50" i="8" s="1"/>
  <c r="F51" i="8" s="1"/>
  <c r="F53" i="8" s="1"/>
  <c r="J39" i="8"/>
  <c r="G48" i="8"/>
  <c r="G49" i="8" s="1"/>
  <c r="G50" i="8" s="1" a="1"/>
  <c r="G50" i="8" s="1"/>
  <c r="G51" i="8" s="1"/>
  <c r="G53" i="8" s="1"/>
  <c r="K39" i="8"/>
  <c r="N17" i="11"/>
  <c r="N40" i="11" s="1" a="1"/>
  <c r="N40" i="11" s="1"/>
  <c r="I39" i="11" a="1"/>
  <c r="I39" i="11" s="1"/>
  <c r="I41" i="11" s="1"/>
  <c r="B3" i="11"/>
  <c r="O27" i="8"/>
  <c r="K23" i="8"/>
  <c r="K24" i="8" s="1"/>
  <c r="F32" i="8"/>
  <c r="F33" i="8" s="1"/>
  <c r="F6" i="8" s="1"/>
  <c r="N27" i="8"/>
  <c r="N21" i="8"/>
  <c r="N61" i="8" s="1"/>
  <c r="G32" i="8"/>
  <c r="G33" i="8" s="1"/>
  <c r="G6" i="8" s="1"/>
  <c r="J23" i="8"/>
  <c r="J24" i="8" s="1"/>
  <c r="O23" i="8"/>
  <c r="O24" i="8" s="1"/>
  <c r="N87" i="6" l="1"/>
  <c r="V84" i="6"/>
  <c r="V87" i="6" s="1"/>
  <c r="AD80" i="6"/>
  <c r="AD81" i="6" s="1"/>
  <c r="AD82" i="6" s="1"/>
  <c r="AD84" i="6" s="1"/>
  <c r="T81" i="6"/>
  <c r="T82" i="6" s="1"/>
  <c r="T84" i="6" s="1"/>
  <c r="T87" i="6" s="1"/>
  <c r="Z80" i="6"/>
  <c r="Z82" i="6" s="1"/>
  <c r="Z84" i="6" s="1"/>
  <c r="Z87" i="6" s="1"/>
  <c r="AB80" i="6"/>
  <c r="AA80" i="6"/>
  <c r="AA52" i="6" a="1"/>
  <c r="AA52" i="6" s="1"/>
  <c r="AA53" i="6" s="1"/>
  <c r="AH68" i="6"/>
  <c r="AD75" i="6"/>
  <c r="AH75" i="6"/>
  <c r="AL75" i="6" s="1"/>
  <c r="AH70" i="6"/>
  <c r="AH76" i="6"/>
  <c r="AH74" i="6"/>
  <c r="AH77" i="6"/>
  <c r="AE26" i="6"/>
  <c r="S49" i="6"/>
  <c r="S51" i="6" s="1"/>
  <c r="S54" i="6" s="1"/>
  <c r="R85" i="6" a="1"/>
  <c r="R85" i="6" s="1"/>
  <c r="S82" i="6"/>
  <c r="S84" i="6" s="1"/>
  <c r="S87" i="6" s="1"/>
  <c r="K52" i="6" a="1"/>
  <c r="K52" i="6" s="1"/>
  <c r="K53" i="6" s="1"/>
  <c r="K54" i="6"/>
  <c r="K85" i="6" a="1"/>
  <c r="K85" i="6" s="1"/>
  <c r="K86" i="6" s="1"/>
  <c r="K88" i="6" s="1"/>
  <c r="K89" i="6" s="1"/>
  <c r="K90" i="6" s="1"/>
  <c r="L85" i="6" a="1"/>
  <c r="L85" i="6" s="1"/>
  <c r="L86" i="6" s="1"/>
  <c r="Z77" i="6"/>
  <c r="Z70" i="6"/>
  <c r="Z74" i="6"/>
  <c r="Z76" i="6"/>
  <c r="R76" i="6"/>
  <c r="R70" i="6"/>
  <c r="R74" i="6"/>
  <c r="R77" i="6"/>
  <c r="J88" i="6"/>
  <c r="J89" i="6" s="1"/>
  <c r="J90" i="6" s="1"/>
  <c r="N86" i="6"/>
  <c r="B85" i="6" a="1"/>
  <c r="B85" i="6" s="1"/>
  <c r="B86" i="6" s="1"/>
  <c r="B88" i="6" s="1"/>
  <c r="F88" i="6"/>
  <c r="F36" i="8"/>
  <c r="G36" i="8"/>
  <c r="B41" i="11"/>
  <c r="B37" i="11" s="1"/>
  <c r="B26" i="9"/>
  <c r="S22" i="11"/>
  <c r="S23" i="11"/>
  <c r="G41" i="11"/>
  <c r="G37" i="11" s="1"/>
  <c r="O39" i="8"/>
  <c r="O48" i="8" s="1"/>
  <c r="O49" i="8" s="1"/>
  <c r="O50" i="8" s="1" a="1"/>
  <c r="O50" i="8" s="1"/>
  <c r="O51" i="8" s="1"/>
  <c r="O53" i="8" s="1"/>
  <c r="O36" i="8" s="1"/>
  <c r="K48" i="8"/>
  <c r="K49" i="8" s="1"/>
  <c r="K50" i="8" s="1" a="1"/>
  <c r="K50" i="8" s="1"/>
  <c r="K51" i="8" s="1"/>
  <c r="K53" i="8" s="1"/>
  <c r="K36" i="8" s="1"/>
  <c r="N39" i="8"/>
  <c r="N48" i="8" s="1"/>
  <c r="N49" i="8" s="1"/>
  <c r="N50" i="8" s="1" a="1"/>
  <c r="N50" i="8" s="1"/>
  <c r="N51" i="8" s="1"/>
  <c r="N53" i="8" s="1"/>
  <c r="N36" i="8" s="1"/>
  <c r="J48" i="8"/>
  <c r="J49" i="8" s="1"/>
  <c r="J50" i="8" s="1" a="1"/>
  <c r="J50" i="8" s="1"/>
  <c r="J51" i="8" s="1"/>
  <c r="J53" i="8" s="1"/>
  <c r="J36" i="8" s="1"/>
  <c r="R2" i="11"/>
  <c r="L2" i="11"/>
  <c r="M3" i="11"/>
  <c r="M39" i="11" a="1"/>
  <c r="M39" i="11" s="1"/>
  <c r="M41" i="11" s="1"/>
  <c r="R17" i="11"/>
  <c r="N39" i="11" a="1"/>
  <c r="N39" i="11" s="1"/>
  <c r="N41" i="11" s="1"/>
  <c r="S17" i="11"/>
  <c r="B22" i="11"/>
  <c r="B24" i="11" s="1"/>
  <c r="B25" i="11" s="1"/>
  <c r="B27" i="11" s="1"/>
  <c r="B29" i="11" s="1"/>
  <c r="B30" i="11" s="1" a="1"/>
  <c r="B30" i="11" s="1"/>
  <c r="B31" i="11" s="1"/>
  <c r="B32" i="11" s="1"/>
  <c r="B33" i="11" s="1"/>
  <c r="B34" i="11" s="1"/>
  <c r="B6" i="11" s="1"/>
  <c r="G2" i="11"/>
  <c r="G22" i="11" s="1"/>
  <c r="K26" i="8"/>
  <c r="K28" i="8" s="1"/>
  <c r="K29" i="8" s="1" a="1"/>
  <c r="K29" i="8" s="1"/>
  <c r="K30" i="8" s="1" a="1"/>
  <c r="K30" i="8" s="1"/>
  <c r="K31" i="8" s="1"/>
  <c r="O26" i="8"/>
  <c r="O28" i="8" s="1"/>
  <c r="O29" i="8" s="1" a="1"/>
  <c r="O29" i="8" s="1"/>
  <c r="O30" i="8" s="1" a="1"/>
  <c r="O30" i="8" s="1"/>
  <c r="O31" i="8" s="1"/>
  <c r="J26" i="8"/>
  <c r="J28" i="8" s="1"/>
  <c r="J29" i="8" s="1" a="1"/>
  <c r="J29" i="8" s="1"/>
  <c r="J30" i="8" s="1" a="1"/>
  <c r="J30" i="8" s="1"/>
  <c r="J31" i="8" s="1"/>
  <c r="N23" i="8"/>
  <c r="N24" i="8" s="1"/>
  <c r="V85" i="6" l="1" a="1"/>
  <c r="V85" i="6" s="1"/>
  <c r="V86" i="6" s="1"/>
  <c r="V88" i="6" s="1"/>
  <c r="AD87" i="6"/>
  <c r="AI80" i="6"/>
  <c r="AI82" i="6" s="1"/>
  <c r="AI84" i="6" s="1"/>
  <c r="AI85" i="6" s="1" a="1"/>
  <c r="AI85" i="6" s="1"/>
  <c r="AI86" i="6" s="1"/>
  <c r="AJ80" i="6"/>
  <c r="AM26" i="6"/>
  <c r="AH80" i="6"/>
  <c r="AH82" i="6" s="1"/>
  <c r="AH84" i="6" s="1"/>
  <c r="AH85" i="6" s="1" a="1"/>
  <c r="AH85" i="6" s="1"/>
  <c r="AH86" i="6" s="1"/>
  <c r="AD85" i="6" a="1"/>
  <c r="AD85" i="6" s="1"/>
  <c r="AD86" i="6" s="1"/>
  <c r="Z85" i="6" a="1"/>
  <c r="Z85" i="6" s="1"/>
  <c r="Z86" i="6" s="1"/>
  <c r="AL80" i="6"/>
  <c r="AL81" i="6" s="1"/>
  <c r="AL82" i="6" s="1"/>
  <c r="AL84" i="6" s="1"/>
  <c r="AB81" i="6"/>
  <c r="AB82" i="6" s="1"/>
  <c r="AB84" i="6" s="1"/>
  <c r="AB87" i="6" s="1"/>
  <c r="AA81" i="6"/>
  <c r="AA82" i="6" s="1"/>
  <c r="AA84" i="6" s="1"/>
  <c r="AA87" i="6" s="1"/>
  <c r="AA55" i="6"/>
  <c r="AA56" i="6" s="1"/>
  <c r="AA57" i="6" s="1"/>
  <c r="R86" i="6"/>
  <c r="R88" i="6" s="1"/>
  <c r="S52" i="6" a="1"/>
  <c r="S52" i="6" s="1"/>
  <c r="S53" i="6" s="1"/>
  <c r="S55" i="6" s="1"/>
  <c r="S56" i="6" s="1"/>
  <c r="S57" i="6" s="1"/>
  <c r="S58" i="6" s="1"/>
  <c r="T85" i="6" a="1"/>
  <c r="T85" i="6" s="1"/>
  <c r="T86" i="6" s="1"/>
  <c r="S85" i="6" a="1"/>
  <c r="S85" i="6" s="1"/>
  <c r="S86" i="6" s="1"/>
  <c r="K55" i="6"/>
  <c r="K56" i="6" s="1"/>
  <c r="K57" i="6" s="1"/>
  <c r="K58" i="6" s="1"/>
  <c r="K59" i="6" s="1"/>
  <c r="K60" i="6" s="1"/>
  <c r="K61" i="6" s="1"/>
  <c r="L88" i="6"/>
  <c r="L89" i="6" s="1"/>
  <c r="L90" i="6" s="1"/>
  <c r="N88" i="6"/>
  <c r="O27" i="6" s="1"/>
  <c r="O28" i="6" s="1"/>
  <c r="F89" i="6"/>
  <c r="F90" i="6" s="1"/>
  <c r="G27" i="6"/>
  <c r="G28" i="6" s="1"/>
  <c r="B89" i="6"/>
  <c r="B90" i="6" s="1"/>
  <c r="S39" i="11" a="1"/>
  <c r="S39" i="11" s="1"/>
  <c r="S40" i="11" a="1"/>
  <c r="S40" i="11" s="1"/>
  <c r="R39" i="11" a="1"/>
  <c r="R39" i="11" s="1"/>
  <c r="R40" i="11" a="1"/>
  <c r="R40" i="11" s="1"/>
  <c r="S24" i="11"/>
  <c r="S25" i="11" s="1"/>
  <c r="R3" i="11"/>
  <c r="L3" i="11"/>
  <c r="Q3" i="11" s="1"/>
  <c r="L41" i="11"/>
  <c r="L37" i="11" s="1"/>
  <c r="Q2" i="11"/>
  <c r="Q22" i="11" s="1"/>
  <c r="L22" i="11"/>
  <c r="R23" i="11"/>
  <c r="R22" i="11"/>
  <c r="G24" i="11"/>
  <c r="G25" i="11" s="1"/>
  <c r="G27" i="11" s="1"/>
  <c r="G28" i="11"/>
  <c r="N26" i="8"/>
  <c r="N28" i="8" s="1"/>
  <c r="N29" i="8" s="1" a="1"/>
  <c r="N29" i="8" s="1"/>
  <c r="N30" i="8" s="1" a="1"/>
  <c r="N30" i="8" s="1"/>
  <c r="N31" i="8" s="1"/>
  <c r="K32" i="8"/>
  <c r="K33" i="8" s="1"/>
  <c r="K6" i="8" s="1"/>
  <c r="J32" i="8"/>
  <c r="J33" i="8" s="1"/>
  <c r="J6" i="8" s="1"/>
  <c r="O32" i="8"/>
  <c r="O33" i="8" s="1"/>
  <c r="O6" i="8" s="1"/>
  <c r="K91" i="6" l="1"/>
  <c r="K92" i="6" s="1"/>
  <c r="K93" i="6" s="1"/>
  <c r="K94" i="6" s="1"/>
  <c r="AL87" i="6"/>
  <c r="AI87" i="6"/>
  <c r="AI88" i="6" s="1"/>
  <c r="AI89" i="6" s="1"/>
  <c r="AI90" i="6" s="1"/>
  <c r="AH87" i="6"/>
  <c r="AH88" i="6" s="1"/>
  <c r="AH89" i="6" s="1"/>
  <c r="AH90" i="6" s="1"/>
  <c r="AJ81" i="6"/>
  <c r="AJ82" i="6" s="1"/>
  <c r="AJ84" i="6" s="1"/>
  <c r="AL85" i="6" a="1"/>
  <c r="AL85" i="6" s="1"/>
  <c r="AL86" i="6" s="1"/>
  <c r="Z88" i="6"/>
  <c r="Z89" i="6" s="1"/>
  <c r="Z90" i="6" s="1"/>
  <c r="AB85" i="6" a="1"/>
  <c r="AB85" i="6" s="1"/>
  <c r="AB86" i="6" s="1"/>
  <c r="AA85" i="6" a="1"/>
  <c r="AA85" i="6" s="1"/>
  <c r="AA86" i="6" s="1"/>
  <c r="AA58" i="6"/>
  <c r="AA59" i="6" s="1"/>
  <c r="AA60" i="6" s="1"/>
  <c r="AA61" i="6" s="1"/>
  <c r="AD88" i="6"/>
  <c r="AE27" i="6" s="1"/>
  <c r="AE28" i="6" s="1"/>
  <c r="R89" i="6"/>
  <c r="R90" i="6" s="1"/>
  <c r="J91" i="6"/>
  <c r="J92" i="6" s="1"/>
  <c r="J93" i="6" s="1"/>
  <c r="J94" i="6" s="1"/>
  <c r="V89" i="6"/>
  <c r="V90" i="6" s="1"/>
  <c r="T88" i="6"/>
  <c r="S88" i="6"/>
  <c r="S59" i="6"/>
  <c r="S60" i="6" s="1"/>
  <c r="S61" i="6" s="1"/>
  <c r="B91" i="6"/>
  <c r="B92" i="6" s="1"/>
  <c r="N89" i="6"/>
  <c r="N90" i="6" s="1"/>
  <c r="O16" i="6"/>
  <c r="O19" i="6" s="1"/>
  <c r="O20" i="6" s="1"/>
  <c r="O4" i="6" s="1"/>
  <c r="L91" i="6"/>
  <c r="L92" i="6" s="1"/>
  <c r="L93" i="6" s="1"/>
  <c r="L94" i="6" s="1"/>
  <c r="O5" i="6" s="1"/>
  <c r="W27" i="6"/>
  <c r="L21" i="1"/>
  <c r="R41" i="11"/>
  <c r="S41" i="11"/>
  <c r="R24" i="11"/>
  <c r="R25" i="11" s="1"/>
  <c r="Q28" i="11"/>
  <c r="Q24" i="11"/>
  <c r="Q25" i="11" s="1"/>
  <c r="Q27" i="11" s="1"/>
  <c r="G29" i="11"/>
  <c r="G30" i="11" s="1" a="1"/>
  <c r="G30" i="11" s="1"/>
  <c r="G31" i="11" s="1"/>
  <c r="G32" i="11" s="1"/>
  <c r="G33" i="11" s="1"/>
  <c r="G34" i="11" s="1"/>
  <c r="G6" i="11" s="1"/>
  <c r="L24" i="11"/>
  <c r="L25" i="11" s="1"/>
  <c r="L27" i="11" s="1"/>
  <c r="L28" i="11"/>
  <c r="N32" i="8"/>
  <c r="N33" i="8" s="1"/>
  <c r="N6" i="8" s="1"/>
  <c r="AL88" i="6" l="1"/>
  <c r="AL89" i="6" s="1"/>
  <c r="AJ85" i="6" a="1"/>
  <c r="AJ85" i="6" s="1"/>
  <c r="AJ86" i="6" s="1"/>
  <c r="AJ87" i="6"/>
  <c r="Z91" i="6"/>
  <c r="Z92" i="6" s="1"/>
  <c r="Z93" i="6" s="1"/>
  <c r="Z94" i="6" s="1"/>
  <c r="AB88" i="6"/>
  <c r="AB89" i="6" s="1"/>
  <c r="AB90" i="6" s="1"/>
  <c r="AB91" i="6" s="1"/>
  <c r="AA88" i="6"/>
  <c r="AA89" i="6" s="1"/>
  <c r="AA90" i="6" s="1"/>
  <c r="O6" i="6"/>
  <c r="AD89" i="6"/>
  <c r="AD90" i="6" s="1"/>
  <c r="T89" i="6"/>
  <c r="T90" i="6" s="1"/>
  <c r="S89" i="6"/>
  <c r="S90" i="6" s="1"/>
  <c r="N4" i="6"/>
  <c r="N6" i="6" s="1"/>
  <c r="AE16" i="6"/>
  <c r="AE19" i="6" s="1"/>
  <c r="AE20" i="6" s="1"/>
  <c r="AE4" i="6" s="1"/>
  <c r="W16" i="6"/>
  <c r="W19" i="6" s="1"/>
  <c r="W20" i="6" s="1"/>
  <c r="W28" i="6"/>
  <c r="R91" i="6" s="1"/>
  <c r="R92" i="6" s="1"/>
  <c r="R93" i="6" s="1"/>
  <c r="R94" i="6" s="1"/>
  <c r="B93" i="6"/>
  <c r="B94" i="6" s="1"/>
  <c r="G5" i="6" s="1"/>
  <c r="G6" i="6" s="1"/>
  <c r="Q41" i="11"/>
  <c r="Q37" i="11" s="1"/>
  <c r="Q29" i="11"/>
  <c r="Q30" i="11" s="1" a="1"/>
  <c r="Q30" i="11" s="1"/>
  <c r="Q31" i="11" s="1"/>
  <c r="Q32" i="11" s="1"/>
  <c r="Q33" i="11" s="1"/>
  <c r="Q34" i="11" s="1"/>
  <c r="Q6" i="11" s="1"/>
  <c r="L29" i="11"/>
  <c r="L30" i="11" s="1" a="1"/>
  <c r="L30" i="11" s="1"/>
  <c r="L31" i="11" s="1"/>
  <c r="L32" i="11" s="1"/>
  <c r="L33" i="11" s="1"/>
  <c r="L34" i="11" s="1"/>
  <c r="L6" i="11" s="1"/>
  <c r="V4" i="6" l="1"/>
  <c r="V6" i="6" s="1"/>
  <c r="W4" i="6"/>
  <c r="AL90" i="6"/>
  <c r="AM27" i="6" s="1"/>
  <c r="AJ88" i="6"/>
  <c r="AJ89" i="6" s="1"/>
  <c r="AJ90" i="6" s="1"/>
  <c r="AA91" i="6"/>
  <c r="AA92" i="6" s="1"/>
  <c r="AA93" i="6" s="1"/>
  <c r="AA94" i="6" s="1"/>
  <c r="AB92" i="6"/>
  <c r="AB93" i="6" s="1"/>
  <c r="AB94" i="6" s="1"/>
  <c r="S91" i="6"/>
  <c r="S92" i="6" s="1"/>
  <c r="S93" i="6" s="1"/>
  <c r="S94" i="6" s="1"/>
  <c r="T91" i="6"/>
  <c r="T92" i="6" s="1"/>
  <c r="T93" i="6" s="1"/>
  <c r="T94" i="6" s="1"/>
  <c r="AD4" i="6"/>
  <c r="AD6" i="6" s="1"/>
  <c r="M21" i="1"/>
  <c r="G17" i="7"/>
  <c r="G18" i="7" s="1"/>
  <c r="G20" i="7" s="1"/>
  <c r="AE5" i="6" l="1"/>
  <c r="AE6" i="6" s="1"/>
  <c r="W5" i="6"/>
  <c r="W6" i="6" s="1"/>
  <c r="K11" i="1"/>
  <c r="K6" i="1"/>
  <c r="K16" i="1" s="1"/>
  <c r="G21" i="7" a="1"/>
  <c r="G21" i="7" s="1"/>
  <c r="G22" i="7" s="1"/>
  <c r="G23" i="7" s="1"/>
  <c r="Y23" i="7"/>
  <c r="Z23" i="7"/>
  <c r="AB23" i="7"/>
  <c r="AA23" i="7"/>
  <c r="N21" i="1" l="1"/>
  <c r="G24" i="7"/>
  <c r="G25" i="7" s="1"/>
  <c r="B9" i="1" s="1"/>
  <c r="AA24" i="7"/>
  <c r="AA25" i="7" s="1"/>
  <c r="Z24" i="7"/>
  <c r="Z25" i="7" s="1"/>
  <c r="Y24" i="7"/>
  <c r="Y25" i="7" s="1"/>
  <c r="AB24" i="7"/>
  <c r="AB25" i="7" s="1"/>
  <c r="B25" i="5"/>
  <c r="B26" i="5" s="1"/>
  <c r="O21" i="1" l="1"/>
  <c r="B2" i="5"/>
  <c r="B29" i="1"/>
  <c r="B30" i="1" s="1"/>
  <c r="L11" i="1" l="1"/>
  <c r="L6" i="1" l="1"/>
  <c r="L16" i="1" s="1"/>
  <c r="M16" i="1"/>
  <c r="D20" i="11"/>
  <c r="C20" i="11"/>
  <c r="B23" i="1" s="1"/>
  <c r="B25" i="1" s="1"/>
  <c r="M6" i="1" l="1"/>
  <c r="M11" i="1"/>
  <c r="N16" i="1" l="1"/>
  <c r="N11" i="1"/>
  <c r="N6" i="1" l="1"/>
  <c r="O16" i="1" l="1"/>
  <c r="O6" i="1" l="1"/>
  <c r="O11" i="1"/>
  <c r="AM28" i="6"/>
  <c r="AH91" i="6" s="1"/>
  <c r="AH92" i="6" s="1"/>
  <c r="AH93" i="6" s="1"/>
  <c r="AH94" i="6" s="1"/>
  <c r="AM16" i="6"/>
  <c r="AJ91" i="6" l="1"/>
  <c r="AJ92" i="6" s="1"/>
  <c r="AJ93" i="6" s="1"/>
  <c r="AJ94" i="6" s="1"/>
  <c r="AI91" i="6"/>
  <c r="AI92" i="6" s="1"/>
  <c r="AI93" i="6" s="1"/>
  <c r="AI94" i="6" s="1"/>
  <c r="AM19" i="6"/>
  <c r="AM20" i="6" s="1"/>
  <c r="AM4" i="6" s="1"/>
  <c r="AM5" i="6" l="1"/>
  <c r="AM6" i="6" s="1"/>
  <c r="AL4" i="6"/>
  <c r="AL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E067F011-4785-467F-A9A6-11F8528996E7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거주중인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
증여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양도하고자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부부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공동명의의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077F61D7-86A2-42E1-B50A-A60BE8736054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BF103393-7920-4C57-91C3-E750C8F670D9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2" authorId="0" shapeId="0" xr:uid="{2DA378EB-1919-452E-992D-5A920B7C35FF}">
      <text>
        <r>
          <rPr>
            <sz val="9"/>
            <color indexed="81"/>
            <rFont val="돋움"/>
            <family val="3"/>
            <charset val="129"/>
          </rPr>
          <t>개정안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기본공제의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합산과세는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부부여부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분할양도는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<sst xmlns="http://schemas.openxmlformats.org/spreadsheetml/2006/main" count="1671" uniqueCount="373">
  <si>
    <t>1세대1주택</t>
  </si>
  <si>
    <t>지역구분</t>
  </si>
  <si>
    <t>거주</t>
  </si>
  <si>
    <t>연령</t>
  </si>
  <si>
    <t>2주택</t>
  </si>
  <si>
    <t>3주택</t>
  </si>
  <si>
    <t>4주택</t>
  </si>
  <si>
    <t>중과세율</t>
  </si>
  <si>
    <t>주택1</t>
  </si>
  <si>
    <t>주택2</t>
  </si>
  <si>
    <t>비고</t>
  </si>
  <si>
    <t>주택3</t>
  </si>
  <si>
    <t>주택4</t>
  </si>
  <si>
    <t>건축물</t>
  </si>
  <si>
    <t>주택</t>
  </si>
  <si>
    <t>토지1</t>
  </si>
  <si>
    <t>감정평가</t>
  </si>
  <si>
    <t>토지2</t>
  </si>
  <si>
    <t>종합합산토지</t>
  </si>
  <si>
    <t>조정대상지역</t>
  </si>
  <si>
    <t>금융재산/채무</t>
  </si>
  <si>
    <t>별도합산토지</t>
  </si>
  <si>
    <t>보험</t>
  </si>
  <si>
    <t>근로소득</t>
  </si>
  <si>
    <t>차량</t>
  </si>
  <si>
    <t>회원권</t>
  </si>
  <si>
    <t>기타재산1</t>
  </si>
  <si>
    <t>기타재산2</t>
  </si>
  <si>
    <t>기타재산3</t>
  </si>
  <si>
    <t>그 외 채무</t>
  </si>
  <si>
    <t>사전증여재산</t>
  </si>
  <si>
    <t>기증여산출세액</t>
  </si>
  <si>
    <t>취득세</t>
  </si>
  <si>
    <t>지방교육세</t>
  </si>
  <si>
    <t>농어촌특별세</t>
  </si>
  <si>
    <t>주소</t>
  </si>
  <si>
    <t>보충적평가액</t>
  </si>
  <si>
    <t>일반지역</t>
  </si>
  <si>
    <t>시가표준액</t>
  </si>
  <si>
    <t>구분</t>
  </si>
  <si>
    <t>취득가액</t>
  </si>
  <si>
    <t>보유기간</t>
  </si>
  <si>
    <t>거주기간</t>
  </si>
  <si>
    <t>다주택자</t>
  </si>
  <si>
    <t>보유지분</t>
  </si>
  <si>
    <t>소계</t>
  </si>
  <si>
    <t>관계</t>
  </si>
  <si>
    <t>배우자</t>
  </si>
  <si>
    <t>상속지분</t>
  </si>
  <si>
    <t>상증공제</t>
  </si>
  <si>
    <t>직계존비속</t>
  </si>
  <si>
    <t>자녀</t>
  </si>
  <si>
    <t>동거</t>
  </si>
  <si>
    <t>농어촌</t>
  </si>
  <si>
    <t>증여자</t>
  </si>
  <si>
    <t>미성년자</t>
  </si>
  <si>
    <t>증여지분</t>
  </si>
  <si>
    <t>총금액</t>
  </si>
  <si>
    <t>증여재산가액</t>
  </si>
  <si>
    <t>합계</t>
  </si>
  <si>
    <t>증여재산공제</t>
  </si>
  <si>
    <t>과세표준</t>
  </si>
  <si>
    <t>세율</t>
  </si>
  <si>
    <t>산출세액</t>
  </si>
  <si>
    <t>증여세액공제</t>
  </si>
  <si>
    <t>예상증가율(%)</t>
  </si>
  <si>
    <t>현행법</t>
  </si>
  <si>
    <t>기본공제확대</t>
  </si>
  <si>
    <t>주택소계</t>
  </si>
  <si>
    <t>장특공한도</t>
  </si>
  <si>
    <t>비사토</t>
  </si>
  <si>
    <t>부부</t>
  </si>
  <si>
    <t>건물</t>
  </si>
  <si>
    <t>보유</t>
  </si>
  <si>
    <t>시가표준액(예상)</t>
  </si>
  <si>
    <t>적용세율</t>
  </si>
  <si>
    <t>공정시장가액비율</t>
  </si>
  <si>
    <t>매도지분</t>
  </si>
  <si>
    <t>동일주택분할매도</t>
  </si>
  <si>
    <t>지분양도가액</t>
  </si>
  <si>
    <t>취득가액 등</t>
  </si>
  <si>
    <t>양도차익</t>
  </si>
  <si>
    <t>과세대상 양도차익</t>
  </si>
  <si>
    <t>장기보유특별공제</t>
  </si>
  <si>
    <t>과세표준(주택상한)</t>
  </si>
  <si>
    <t>소득금액</t>
  </si>
  <si>
    <t>재산세 과세표준</t>
  </si>
  <si>
    <t>기본공제</t>
  </si>
  <si>
    <t>t</t>
  </si>
  <si>
    <t>채무액</t>
  </si>
  <si>
    <t>Ⅰ. 증여자 부담 예상세액</t>
  </si>
  <si>
    <t>재산세액</t>
  </si>
  <si>
    <t>도시지역분</t>
  </si>
  <si>
    <t>지역자원시설세</t>
  </si>
  <si>
    <t>재산세납부액</t>
  </si>
  <si>
    <t>양도소득세</t>
  </si>
  <si>
    <t>지방소득세</t>
  </si>
  <si>
    <t>소유자1 거주지</t>
  </si>
  <si>
    <t>소유지분(%)</t>
  </si>
  <si>
    <t>보유공제</t>
  </si>
  <si>
    <t>주택수</t>
  </si>
  <si>
    <t>Ⅱ. 수증자 부담 예상세액</t>
  </si>
  <si>
    <t>연령(세)</t>
  </si>
  <si>
    <t>상속재산가액</t>
  </si>
  <si>
    <t>연령공제</t>
  </si>
  <si>
    <t>주택재산세율</t>
  </si>
  <si>
    <t>채무</t>
  </si>
  <si>
    <t>재산세 공정시장가액비율</t>
  </si>
  <si>
    <t>2026년 종합부동산세 세율</t>
  </si>
  <si>
    <t>연령공제(%)</t>
  </si>
  <si>
    <t>종합합산토지 세율</t>
  </si>
  <si>
    <t>종부세 공정시장가액비율</t>
  </si>
  <si>
    <t>기본세율</t>
  </si>
  <si>
    <t>기본세율+10%</t>
  </si>
  <si>
    <t>기본세율+20%</t>
  </si>
  <si>
    <t>기본세율+30%</t>
  </si>
  <si>
    <t>배우자상속공제</t>
  </si>
  <si>
    <t>현재</t>
  </si>
  <si>
    <t>증여재산한도(10년)</t>
  </si>
  <si>
    <t>상속/증여세율</t>
  </si>
  <si>
    <t>금융재산공제</t>
  </si>
  <si>
    <t>과세표준 이하</t>
  </si>
  <si>
    <t>주택t</t>
  </si>
  <si>
    <t>표준누진공제</t>
  </si>
  <si>
    <t>1세대t</t>
  </si>
  <si>
    <t>1주택누진공제</t>
  </si>
  <si>
    <t>비율</t>
  </si>
  <si>
    <t>일괄공제</t>
  </si>
  <si>
    <t>기본누진공제</t>
  </si>
  <si>
    <t>중과누진공제</t>
  </si>
  <si>
    <t>누진공제</t>
  </si>
  <si>
    <t>1주택거주</t>
  </si>
  <si>
    <t>and</t>
  </si>
  <si>
    <t>동거상속공제</t>
  </si>
  <si>
    <t>3주택이상</t>
  </si>
  <si>
    <t>1주택보유</t>
  </si>
  <si>
    <t>주택공시가격</t>
  </si>
  <si>
    <t>기타친족</t>
  </si>
  <si>
    <t>6억초과</t>
  </si>
  <si>
    <t>공제금액</t>
  </si>
  <si>
    <t>다주택거주</t>
  </si>
  <si>
    <t>or</t>
  </si>
  <si>
    <t>다주택보유</t>
  </si>
  <si>
    <t>별도합산토지 세율</t>
  </si>
  <si>
    <t>비조정대상지역</t>
  </si>
  <si>
    <t>종합합산토지세율</t>
  </si>
  <si>
    <t>공제한도</t>
  </si>
  <si>
    <t>공제초과금액</t>
  </si>
  <si>
    <t>2027년 종합부동산세 세율</t>
  </si>
  <si>
    <t>1,2주택t</t>
  </si>
  <si>
    <t>1,2주택누진공제</t>
  </si>
  <si>
    <t>3주택t</t>
  </si>
  <si>
    <t>3주택누진공제</t>
  </si>
  <si>
    <t>별도합산토지세율</t>
  </si>
  <si>
    <t>건축물세율</t>
  </si>
  <si>
    <t>골프장</t>
  </si>
  <si>
    <t>2028년 종합부동산세 세율</t>
  </si>
  <si>
    <t>공장</t>
  </si>
  <si>
    <t>모든주택t</t>
  </si>
  <si>
    <t>모든주택누진공제</t>
  </si>
  <si>
    <t>1. 양도분 취득세</t>
  </si>
  <si>
    <t>종합부동산세액</t>
  </si>
  <si>
    <t>공제할재산세액</t>
  </si>
  <si>
    <t>세부담상한초과세액</t>
  </si>
  <si>
    <t>2. 증여분 취득세</t>
  </si>
  <si>
    <t>종합부동산세</t>
  </si>
  <si>
    <t>종부세납부액</t>
  </si>
  <si>
    <t>특수관계</t>
  </si>
  <si>
    <t>특수관계</t>
    <phoneticPr fontId="16" type="noConversion"/>
  </si>
  <si>
    <t>양수자1</t>
    <phoneticPr fontId="16" type="noConversion"/>
  </si>
  <si>
    <t>양수자2</t>
    <phoneticPr fontId="16" type="noConversion"/>
  </si>
  <si>
    <t>기준양도금액</t>
    <phoneticPr fontId="16" type="noConversion"/>
  </si>
  <si>
    <t>양도가액(지분)=채무</t>
    <phoneticPr fontId="16" type="noConversion"/>
  </si>
  <si>
    <t>특수관계의 양도가액</t>
    <phoneticPr fontId="16" type="noConversion"/>
  </si>
  <si>
    <t>양도자: 저가양도</t>
    <phoneticPr fontId="16" type="noConversion"/>
  </si>
  <si>
    <t>부계부 양도가액</t>
    <phoneticPr fontId="16" type="noConversion"/>
  </si>
  <si>
    <t>Ⅰ. 양도자 부담</t>
    <phoneticPr fontId="16" type="noConversion"/>
  </si>
  <si>
    <t>주택면적</t>
    <phoneticPr fontId="16" type="noConversion"/>
  </si>
  <si>
    <t>Ⅱ. 양수자 부담</t>
    <phoneticPr fontId="16" type="noConversion"/>
  </si>
  <si>
    <t>양도소득세</t>
    <phoneticPr fontId="16" type="noConversion"/>
  </si>
  <si>
    <t>재산세 소계</t>
    <phoneticPr fontId="16" type="noConversion"/>
  </si>
  <si>
    <t>2026년 비과세</t>
    <phoneticPr fontId="16" type="noConversion"/>
  </si>
  <si>
    <t>2027년 비과세</t>
    <phoneticPr fontId="16" type="noConversion"/>
  </si>
  <si>
    <t>2028년 비과세</t>
    <phoneticPr fontId="16" type="noConversion"/>
  </si>
  <si>
    <t>일반과세</t>
    <phoneticPr fontId="16" type="noConversion"/>
  </si>
  <si>
    <t>2주택 중과세</t>
    <phoneticPr fontId="16" type="noConversion"/>
  </si>
  <si>
    <t>3주택 중과세</t>
    <phoneticPr fontId="16" type="noConversion"/>
  </si>
  <si>
    <t>증여세(자녀)</t>
    <phoneticPr fontId="16" type="noConversion"/>
  </si>
  <si>
    <t>증여취득세(자녀)</t>
    <phoneticPr fontId="16" type="noConversion"/>
  </si>
  <si>
    <t>증여 합계</t>
    <phoneticPr fontId="16" type="noConversion"/>
  </si>
  <si>
    <t>저가양수도</t>
    <phoneticPr fontId="16" type="noConversion"/>
  </si>
  <si>
    <t>시가</t>
    <phoneticPr fontId="16" type="noConversion"/>
  </si>
  <si>
    <t>필요자금(3억 or 30% 차감금액)</t>
    <phoneticPr fontId="16" type="noConversion"/>
  </si>
  <si>
    <t>매매취득세</t>
    <phoneticPr fontId="16" type="noConversion"/>
  </si>
  <si>
    <t>순수증여</t>
    <phoneticPr fontId="16" type="noConversion"/>
  </si>
  <si>
    <t>종합부동산세 소계</t>
    <phoneticPr fontId="16" type="noConversion"/>
  </si>
  <si>
    <t>합계</t>
    <phoneticPr fontId="16" type="noConversion"/>
  </si>
  <si>
    <t>*보유세(현행 보유)</t>
    <phoneticPr fontId="16" type="noConversion"/>
  </si>
  <si>
    <t>(15% 상승 가정)</t>
    <phoneticPr fontId="16" type="noConversion"/>
  </si>
  <si>
    <t>*보유세(2026년 양도/증여 후)</t>
    <phoneticPr fontId="16" type="noConversion"/>
  </si>
  <si>
    <t>*보유세(2027년 6/1 이후 양도/증여)</t>
    <phoneticPr fontId="16" type="noConversion"/>
  </si>
  <si>
    <t>*자녀의 보유세</t>
    <phoneticPr fontId="16" type="noConversion"/>
  </si>
  <si>
    <t>1주택</t>
    <phoneticPr fontId="16" type="noConversion"/>
  </si>
  <si>
    <t>2주택</t>
    <phoneticPr fontId="16" type="noConversion"/>
  </si>
  <si>
    <t>3주택</t>
    <phoneticPr fontId="16" type="noConversion"/>
  </si>
  <si>
    <t>1.1~3.3%</t>
    <phoneticPr fontId="16" type="noConversion"/>
  </si>
  <si>
    <t>85 초과</t>
    <phoneticPr fontId="16" type="noConversion"/>
  </si>
  <si>
    <t>1.3~3.5%</t>
    <phoneticPr fontId="16" type="noConversion"/>
  </si>
  <si>
    <t>4주택</t>
    <phoneticPr fontId="16" type="noConversion"/>
  </si>
  <si>
    <t>주택수</t>
    <phoneticPr fontId="16" type="noConversion"/>
  </si>
  <si>
    <t>유상취득</t>
    <phoneticPr fontId="16" type="noConversion"/>
  </si>
  <si>
    <t>무주택자</t>
    <phoneticPr fontId="16" type="noConversion"/>
  </si>
  <si>
    <t>상속취득</t>
    <phoneticPr fontId="16" type="noConversion"/>
  </si>
  <si>
    <t>일반지역</t>
    <phoneticPr fontId="16" type="noConversion"/>
  </si>
  <si>
    <t>조정대상지역</t>
    <phoneticPr fontId="16" type="noConversion"/>
  </si>
  <si>
    <t>무상취득</t>
    <phoneticPr fontId="16" type="noConversion"/>
  </si>
  <si>
    <t>국평</t>
    <phoneticPr fontId="16" type="noConversion"/>
  </si>
  <si>
    <t>관계</t>
    <phoneticPr fontId="16" type="noConversion"/>
  </si>
  <si>
    <t>수증자이름</t>
    <phoneticPr fontId="16" type="noConversion"/>
  </si>
  <si>
    <t>지역</t>
    <phoneticPr fontId="16" type="noConversion"/>
  </si>
  <si>
    <t>재산구분</t>
    <phoneticPr fontId="16" type="noConversion"/>
  </si>
  <si>
    <t>보유지분</t>
    <phoneticPr fontId="16" type="noConversion"/>
  </si>
  <si>
    <t>취득세율</t>
    <phoneticPr fontId="16" type="noConversion"/>
  </si>
  <si>
    <t>취득세</t>
    <phoneticPr fontId="16" type="noConversion"/>
  </si>
  <si>
    <t>증여세</t>
    <phoneticPr fontId="16" type="noConversion"/>
  </si>
  <si>
    <t>보유기간</t>
    <phoneticPr fontId="16" type="noConversion"/>
  </si>
  <si>
    <t>거주기간</t>
    <phoneticPr fontId="16" type="noConversion"/>
  </si>
  <si>
    <t>감정평가</t>
    <phoneticPr fontId="16" type="noConversion"/>
  </si>
  <si>
    <t>취득가액</t>
    <phoneticPr fontId="16" type="noConversion"/>
  </si>
  <si>
    <t>채무액</t>
    <phoneticPr fontId="16" type="noConversion"/>
  </si>
  <si>
    <t>사전증여재산</t>
    <phoneticPr fontId="16" type="noConversion"/>
  </si>
  <si>
    <t>국평</t>
  </si>
  <si>
    <t>취득세+지방교육세</t>
    <phoneticPr fontId="16" type="noConversion"/>
  </si>
  <si>
    <t>취득세율 등</t>
    <phoneticPr fontId="16" type="noConversion"/>
  </si>
  <si>
    <t>상속재산가액</t>
    <phoneticPr fontId="16" type="noConversion"/>
  </si>
  <si>
    <t>농지</t>
    <phoneticPr fontId="16" type="noConversion"/>
  </si>
  <si>
    <t>무주택자 0.96%, 자경농지 0.18%</t>
    <phoneticPr fontId="16" type="noConversion"/>
  </si>
  <si>
    <t>세율</t>
    <phoneticPr fontId="22" type="noConversion"/>
  </si>
  <si>
    <t>주택 유상취득</t>
    <phoneticPr fontId="22" type="noConversion"/>
  </si>
  <si>
    <t>조정대상지역 내(외)</t>
    <phoneticPr fontId="22" type="noConversion"/>
  </si>
  <si>
    <t>주택 외</t>
    <phoneticPr fontId="22" type="noConversion"/>
  </si>
  <si>
    <t>6억원 이하</t>
    <phoneticPr fontId="22" type="noConversion"/>
  </si>
  <si>
    <t>6억원~9억원</t>
    <phoneticPr fontId="22" type="noConversion"/>
  </si>
  <si>
    <t>9억원 초과</t>
    <phoneticPr fontId="22" type="noConversion"/>
  </si>
  <si>
    <t>2주택(3주택)</t>
    <phoneticPr fontId="22" type="noConversion"/>
  </si>
  <si>
    <t>3주택(4주택)</t>
    <phoneticPr fontId="22" type="noConversion"/>
  </si>
  <si>
    <t>취득세율</t>
    <phoneticPr fontId="22" type="noConversion"/>
  </si>
  <si>
    <t>지방교육세율</t>
    <phoneticPr fontId="22" type="noConversion"/>
  </si>
  <si>
    <t>농어촌특별세율</t>
    <phoneticPr fontId="22" type="noConversion"/>
  </si>
  <si>
    <r>
      <t>취득세액: 85</t>
    </r>
    <r>
      <rPr>
        <sz val="11"/>
        <color theme="1"/>
        <rFont val="맑은 고딕"/>
        <family val="3"/>
        <charset val="129"/>
      </rPr>
      <t>㎡ 이하</t>
    </r>
    <phoneticPr fontId="22" type="noConversion"/>
  </si>
  <si>
    <r>
      <t>취득세액: 85</t>
    </r>
    <r>
      <rPr>
        <sz val="11"/>
        <color theme="1"/>
        <rFont val="맑은 고딕"/>
        <family val="3"/>
        <charset val="129"/>
      </rPr>
      <t>㎡ 초과</t>
    </r>
    <phoneticPr fontId="22" type="noConversion"/>
  </si>
  <si>
    <t>취득세 산정기준</t>
    <phoneticPr fontId="16" type="noConversion"/>
  </si>
  <si>
    <t>토지</t>
  </si>
  <si>
    <r>
      <rPr>
        <sz val="11"/>
        <color theme="1"/>
        <rFont val="Calibri"/>
        <family val="3"/>
        <charset val="129"/>
        <scheme val="minor"/>
      </rPr>
      <t>주택특징</t>
    </r>
    <phoneticPr fontId="16" type="noConversion"/>
  </si>
  <si>
    <t>주택</t>
    <phoneticPr fontId="16" type="noConversion"/>
  </si>
  <si>
    <t>토지1</t>
    <phoneticPr fontId="16" type="noConversion"/>
  </si>
  <si>
    <t>수기기입가능</t>
    <phoneticPr fontId="16" type="noConversion"/>
  </si>
  <si>
    <t>필수선택</t>
    <phoneticPr fontId="16" type="noConversion"/>
  </si>
  <si>
    <t>필수기입</t>
    <phoneticPr fontId="16" type="noConversion"/>
  </si>
  <si>
    <t>세액공제</t>
    <phoneticPr fontId="16" type="noConversion"/>
  </si>
  <si>
    <t>세액공제 후 종부세액</t>
    <phoneticPr fontId="16" type="noConversion"/>
  </si>
  <si>
    <t>개정안</t>
    <phoneticPr fontId="16" type="noConversion"/>
  </si>
  <si>
    <t xml:space="preserve"> </t>
    <phoneticPr fontId="16" type="noConversion"/>
  </si>
  <si>
    <t>소유자1의 거주지</t>
    <phoneticPr fontId="16" type="noConversion"/>
  </si>
  <si>
    <r>
      <rPr>
        <sz val="11"/>
        <color rgb="FF006100"/>
        <rFont val="Calibri"/>
        <family val="3"/>
        <charset val="129"/>
        <scheme val="minor"/>
      </rPr>
      <t>거주기간</t>
    </r>
    <phoneticPr fontId="16" type="noConversion"/>
  </si>
  <si>
    <r>
      <rPr>
        <sz val="11"/>
        <color rgb="FF006100"/>
        <rFont val="Calibri"/>
        <family val="3"/>
        <charset val="129"/>
        <scheme val="minor"/>
      </rPr>
      <t>거주공제</t>
    </r>
    <r>
      <rPr>
        <sz val="11"/>
        <color rgb="FF006100"/>
        <rFont val="Calibri"/>
        <family val="2"/>
        <scheme val="minor"/>
      </rPr>
      <t>(%)</t>
    </r>
  </si>
  <si>
    <r>
      <rPr>
        <sz val="11"/>
        <color rgb="FF006100"/>
        <rFont val="Calibri"/>
        <family val="3"/>
        <charset val="129"/>
        <scheme val="minor"/>
      </rPr>
      <t>공정시장가액비율</t>
    </r>
  </si>
  <si>
    <r>
      <rPr>
        <sz val="11"/>
        <color rgb="FF006100"/>
        <rFont val="Calibri"/>
        <family val="3"/>
        <charset val="129"/>
        <scheme val="minor"/>
      </rPr>
      <t>거주기간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연</t>
    </r>
    <r>
      <rPr>
        <sz val="11"/>
        <color rgb="FF006100"/>
        <rFont val="Calibri"/>
        <family val="2"/>
        <scheme val="minor"/>
      </rPr>
      <t>)</t>
    </r>
  </si>
  <si>
    <t>증여시점</t>
    <phoneticPr fontId="16" type="noConversion"/>
  </si>
  <si>
    <r>
      <t>(</t>
    </r>
    <r>
      <rPr>
        <sz val="11"/>
        <color theme="1"/>
        <rFont val="맑은 고딕"/>
        <family val="2"/>
        <charset val="129"/>
      </rPr>
      <t>이름)</t>
    </r>
    <phoneticPr fontId="16" type="noConversion"/>
  </si>
  <si>
    <t>대상1</t>
    <phoneticPr fontId="16" type="noConversion"/>
  </si>
  <si>
    <t>성춘향</t>
    <phoneticPr fontId="16" type="noConversion"/>
  </si>
  <si>
    <t>대상2</t>
    <phoneticPr fontId="16" type="noConversion"/>
  </si>
  <si>
    <t>대상3</t>
    <phoneticPr fontId="16" type="noConversion"/>
  </si>
  <si>
    <t>대상4</t>
    <phoneticPr fontId="16" type="noConversion"/>
  </si>
  <si>
    <t>대상5</t>
    <phoneticPr fontId="16" type="noConversion"/>
  </si>
  <si>
    <t>건축물</t>
    <phoneticPr fontId="16" type="noConversion"/>
  </si>
  <si>
    <t>토지2</t>
    <phoneticPr fontId="16" type="noConversion"/>
  </si>
  <si>
    <t>홍상수</t>
  </si>
  <si>
    <t>홍상수</t>
    <phoneticPr fontId="16" type="noConversion"/>
  </si>
  <si>
    <r>
      <t>2026</t>
    </r>
    <r>
      <rPr>
        <sz val="11"/>
        <color theme="1"/>
        <rFont val="맑은 고딕"/>
        <family val="3"/>
        <charset val="129"/>
      </rPr>
      <t>년 비과세</t>
    </r>
    <phoneticPr fontId="16" type="noConversion"/>
  </si>
  <si>
    <t>상속세</t>
    <phoneticPr fontId="16" type="noConversion"/>
  </si>
  <si>
    <t>상속취득세</t>
    <phoneticPr fontId="16" type="noConversion"/>
  </si>
  <si>
    <t>저가양수도 합계</t>
    <phoneticPr fontId="16" type="noConversion"/>
  </si>
  <si>
    <t>상속 합계</t>
    <phoneticPr fontId="16" type="noConversion"/>
  </si>
  <si>
    <r>
      <t>2026</t>
    </r>
    <r>
      <rPr>
        <sz val="11"/>
        <color theme="1"/>
        <rFont val="맑은 고딕"/>
        <family val="3"/>
        <charset val="129"/>
      </rPr>
      <t>년</t>
    </r>
    <phoneticPr fontId="16" type="noConversion"/>
  </si>
  <si>
    <r>
      <t>2027년</t>
    </r>
    <r>
      <rPr>
        <sz val="11"/>
        <color theme="1"/>
        <rFont val="맑은 고딕"/>
        <family val="3"/>
        <charset val="129"/>
      </rPr>
      <t/>
    </r>
  </si>
  <si>
    <r>
      <t>2028년</t>
    </r>
    <r>
      <rPr>
        <sz val="11"/>
        <color theme="1"/>
        <rFont val="맑은 고딕"/>
        <family val="3"/>
        <charset val="129"/>
      </rPr>
      <t/>
    </r>
  </si>
  <si>
    <r>
      <t>2029년</t>
    </r>
    <r>
      <rPr>
        <sz val="11"/>
        <color theme="1"/>
        <rFont val="맑은 고딕"/>
        <family val="3"/>
        <charset val="129"/>
      </rPr>
      <t/>
    </r>
  </si>
  <si>
    <r>
      <t>2030년</t>
    </r>
    <r>
      <rPr>
        <sz val="11"/>
        <color theme="1"/>
        <rFont val="맑은 고딕"/>
        <family val="3"/>
        <charset val="129"/>
      </rPr>
      <t/>
    </r>
  </si>
  <si>
    <t>초과분</t>
    <phoneticPr fontId="16" type="noConversion"/>
  </si>
  <si>
    <t>소유자1</t>
    <phoneticPr fontId="16" type="noConversion"/>
  </si>
  <si>
    <t>소유자2</t>
    <phoneticPr fontId="16" type="noConversion"/>
  </si>
  <si>
    <t>소유자</t>
    <phoneticPr fontId="16" type="noConversion"/>
  </si>
  <si>
    <r>
      <t>1세대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129"/>
        <scheme val="minor"/>
      </rPr>
      <t>주택</t>
    </r>
  </si>
  <si>
    <t>확인 후 기입</t>
    <phoneticPr fontId="16" type="noConversion"/>
  </si>
  <si>
    <t>해당없음</t>
    <phoneticPr fontId="16" type="noConversion"/>
  </si>
  <si>
    <t>재산세납부액</t>
    <phoneticPr fontId="16" type="noConversion"/>
  </si>
  <si>
    <t>비거주1주택</t>
    <phoneticPr fontId="16" type="noConversion"/>
  </si>
  <si>
    <t>거주용1주택</t>
    <phoneticPr fontId="16" type="noConversion"/>
  </si>
  <si>
    <t>과세표준</t>
    <phoneticPr fontId="16" type="noConversion"/>
  </si>
  <si>
    <t>시가표준</t>
    <phoneticPr fontId="16" type="noConversion"/>
  </si>
  <si>
    <t>전연도 재산세상당액</t>
    <phoneticPr fontId="16" type="noConversion"/>
  </si>
  <si>
    <t>전년도 종부세상당액</t>
    <phoneticPr fontId="16" type="noConversion"/>
  </si>
  <si>
    <r>
      <rPr>
        <sz val="11"/>
        <color rgb="FF006100"/>
        <rFont val="Calibri"/>
        <family val="3"/>
        <charset val="129"/>
        <scheme val="minor"/>
      </rPr>
      <t>세액공제</t>
    </r>
    <phoneticPr fontId="16" type="noConversion"/>
  </si>
  <si>
    <r>
      <rPr>
        <sz val="11"/>
        <color rgb="FF006100"/>
        <rFont val="Calibri"/>
        <family val="3"/>
        <charset val="129"/>
        <scheme val="minor"/>
      </rPr>
      <t>세액공제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종부세액</t>
    </r>
    <phoneticPr fontId="16" type="noConversion"/>
  </si>
  <si>
    <r>
      <rPr>
        <sz val="11"/>
        <color rgb="FF006100"/>
        <rFont val="Calibri"/>
        <family val="3"/>
        <charset val="129"/>
        <scheme val="minor"/>
      </rPr>
      <t>보유기간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연</t>
    </r>
    <r>
      <rPr>
        <sz val="11"/>
        <color rgb="FF006100"/>
        <rFont val="Calibri"/>
        <family val="2"/>
        <scheme val="minor"/>
      </rPr>
      <t>)</t>
    </r>
  </si>
  <si>
    <r>
      <rPr>
        <sz val="11"/>
        <color rgb="FF006100"/>
        <rFont val="Calibri"/>
        <family val="3"/>
        <charset val="129"/>
        <scheme val="minor"/>
      </rPr>
      <t>보유공제</t>
    </r>
    <r>
      <rPr>
        <sz val="11"/>
        <color rgb="FF006100"/>
        <rFont val="Calibri"/>
        <family val="2"/>
        <scheme val="minor"/>
      </rPr>
      <t>(%)</t>
    </r>
  </si>
  <si>
    <t>개정(미정)</t>
    <phoneticPr fontId="16" type="noConversion"/>
  </si>
  <si>
    <t>거주주택</t>
    <phoneticPr fontId="16" type="noConversion"/>
  </si>
  <si>
    <t>홍길동</t>
    <phoneticPr fontId="16" type="noConversion"/>
  </si>
  <si>
    <t>소계</t>
    <phoneticPr fontId="16" type="noConversion"/>
  </si>
  <si>
    <t>서현동</t>
    <phoneticPr fontId="16" type="noConversion"/>
  </si>
  <si>
    <t>잠원동</t>
    <phoneticPr fontId="16" type="noConversion"/>
  </si>
  <si>
    <t>보유세 합계</t>
    <phoneticPr fontId="16" type="noConversion"/>
  </si>
  <si>
    <t>전년도</t>
    <phoneticPr fontId="16" type="noConversion"/>
  </si>
  <si>
    <t>세부담상한액</t>
    <phoneticPr fontId="16" type="noConversion"/>
  </si>
  <si>
    <t>세액공제율</t>
    <phoneticPr fontId="16" type="noConversion"/>
  </si>
  <si>
    <t>소유자2</t>
  </si>
  <si>
    <t>세액공제율</t>
  </si>
  <si>
    <t>해당없음</t>
  </si>
  <si>
    <t>1세대1주택 여부</t>
    <phoneticPr fontId="16" type="noConversion"/>
  </si>
  <si>
    <t>소유지분(%)</t>
    <phoneticPr fontId="16" type="noConversion"/>
  </si>
  <si>
    <r>
      <rPr>
        <sz val="11"/>
        <color rgb="FF006100"/>
        <rFont val="Calibri"/>
        <family val="3"/>
        <charset val="129"/>
        <scheme val="minor"/>
      </rPr>
      <t>거주기간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연</t>
    </r>
    <r>
      <rPr>
        <sz val="11"/>
        <color rgb="FF006100"/>
        <rFont val="Calibri"/>
        <family val="2"/>
        <scheme val="minor"/>
      </rPr>
      <t>)</t>
    </r>
    <phoneticPr fontId="16" type="noConversion"/>
  </si>
  <si>
    <t>개정세법 분류</t>
    <phoneticPr fontId="16" type="noConversion"/>
  </si>
  <si>
    <t>*공동명의 상태에서 새 기본공제 산식의 ‘거주주택가액’을 지분상당액으로 볼지에 관한 별도 예규·시행규칙은 아직 나오지 않은 입법예고 단계</t>
    <phoneticPr fontId="16" type="noConversion"/>
  </si>
  <si>
    <t>소유자2 거주지</t>
  </si>
  <si>
    <t>*조정대상지역 보유자(1세대1주택 아님)와 3주택 이상 세율 적용자는 2027년에 특히 구분할 것</t>
    <phoneticPr fontId="16" type="noConversion"/>
  </si>
  <si>
    <t>수유동</t>
    <phoneticPr fontId="16" type="noConversion"/>
  </si>
  <si>
    <t>장위동</t>
    <phoneticPr fontId="16" type="noConversion"/>
  </si>
  <si>
    <r>
      <t>2026</t>
    </r>
    <r>
      <rPr>
        <b/>
        <sz val="11"/>
        <color rgb="FFFF0000"/>
        <rFont val="Calibri"/>
        <family val="3"/>
        <charset val="129"/>
        <scheme val="minor"/>
      </rPr>
      <t>년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3"/>
        <charset val="129"/>
        <scheme val="minor"/>
      </rPr>
      <t>비과세</t>
    </r>
    <phoneticPr fontId="16" type="noConversion"/>
  </si>
  <si>
    <r>
      <t>2027</t>
    </r>
    <r>
      <rPr>
        <b/>
        <sz val="11"/>
        <color rgb="FFFF0000"/>
        <rFont val="Calibri"/>
        <family val="3"/>
        <charset val="129"/>
        <scheme val="minor"/>
      </rPr>
      <t>년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3"/>
        <charset val="129"/>
        <scheme val="minor"/>
      </rPr>
      <t>비과세</t>
    </r>
    <phoneticPr fontId="16" type="noConversion"/>
  </si>
  <si>
    <r>
      <t>2028</t>
    </r>
    <r>
      <rPr>
        <b/>
        <sz val="11"/>
        <color rgb="FFFF0000"/>
        <rFont val="Calibri"/>
        <family val="3"/>
        <charset val="129"/>
        <scheme val="minor"/>
      </rPr>
      <t>년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3"/>
        <charset val="129"/>
        <scheme val="minor"/>
      </rPr>
      <t>비과세</t>
    </r>
    <phoneticPr fontId="16" type="noConversion"/>
  </si>
  <si>
    <r>
      <rPr>
        <b/>
        <sz val="11"/>
        <color theme="1"/>
        <rFont val="Calibri"/>
        <family val="3"/>
        <charset val="129"/>
        <scheme val="minor"/>
      </rPr>
      <t>현행법</t>
    </r>
  </si>
  <si>
    <r>
      <rPr>
        <b/>
        <sz val="11"/>
        <color theme="1"/>
        <rFont val="Calibri"/>
        <family val="3"/>
        <charset val="129"/>
        <scheme val="minor"/>
      </rPr>
      <t>기본공제확대</t>
    </r>
  </si>
  <si>
    <r>
      <rPr>
        <b/>
        <sz val="11"/>
        <color theme="1"/>
        <rFont val="Calibri"/>
        <family val="3"/>
        <charset val="129"/>
        <scheme val="minor"/>
      </rPr>
      <t>장특공한도</t>
    </r>
  </si>
  <si>
    <r>
      <rPr>
        <sz val="11"/>
        <color theme="1"/>
        <rFont val="Calibri"/>
        <family val="3"/>
        <charset val="129"/>
        <scheme val="minor"/>
      </rPr>
      <t>주택</t>
    </r>
    <r>
      <rPr>
        <sz val="11"/>
        <color theme="1"/>
        <rFont val="Calibri"/>
        <family val="2"/>
        <scheme val="minor"/>
      </rPr>
      <t>1</t>
    </r>
  </si>
  <si>
    <r>
      <t>1</t>
    </r>
    <r>
      <rPr>
        <sz val="11"/>
        <color theme="1"/>
        <rFont val="Calibri"/>
        <family val="3"/>
        <charset val="129"/>
        <scheme val="minor"/>
      </rPr>
      <t>세대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3"/>
        <charset val="129"/>
        <scheme val="minor"/>
      </rPr>
      <t>주택</t>
    </r>
  </si>
  <si>
    <r>
      <rPr>
        <sz val="11"/>
        <color theme="1"/>
        <rFont val="Calibri"/>
        <family val="3"/>
        <charset val="129"/>
        <scheme val="minor"/>
      </rPr>
      <t>주택</t>
    </r>
  </si>
  <si>
    <r>
      <t>2</t>
    </r>
    <r>
      <rPr>
        <sz val="11"/>
        <color theme="1"/>
        <rFont val="Calibri"/>
        <family val="3"/>
        <charset val="129"/>
        <scheme val="minor"/>
      </rPr>
      <t>주택</t>
    </r>
  </si>
  <si>
    <r>
      <t>3</t>
    </r>
    <r>
      <rPr>
        <sz val="11"/>
        <color theme="1"/>
        <rFont val="Calibri"/>
        <family val="3"/>
        <charset val="129"/>
        <scheme val="minor"/>
      </rPr>
      <t>주택</t>
    </r>
  </si>
  <si>
    <r>
      <rPr>
        <sz val="11"/>
        <color theme="1"/>
        <rFont val="Calibri"/>
        <family val="3"/>
        <charset val="129"/>
        <scheme val="minor"/>
      </rPr>
      <t>부부</t>
    </r>
  </si>
  <si>
    <r>
      <rPr>
        <sz val="11"/>
        <color theme="1"/>
        <rFont val="Calibri"/>
        <family val="3"/>
        <charset val="129"/>
        <scheme val="minor"/>
      </rPr>
      <t>지역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</si>
  <si>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보유기간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</si>
  <si>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거주기간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</si>
  <si>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적용세율</t>
    </r>
  </si>
  <si>
    <r>
      <rPr>
        <sz val="11"/>
        <color theme="1"/>
        <rFont val="Calibri"/>
        <family val="3"/>
        <charset val="129"/>
        <scheme val="minor"/>
      </rPr>
      <t>동일주택분할매도</t>
    </r>
  </si>
  <si>
    <r>
      <rPr>
        <sz val="11"/>
        <color theme="1"/>
        <rFont val="Calibri"/>
        <family val="3"/>
        <charset val="129"/>
        <scheme val="minor"/>
      </rPr>
      <t>감정평가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</si>
  <si>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취득가액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</si>
  <si>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양도차익</t>
    </r>
  </si>
  <si>
    <r>
      <rPr>
        <sz val="11"/>
        <color theme="1"/>
        <rFont val="Calibri"/>
        <family val="3"/>
        <charset val="129"/>
        <scheme val="minor"/>
      </rPr>
      <t>장기보유특별공제</t>
    </r>
  </si>
  <si>
    <r>
      <rPr>
        <sz val="11"/>
        <color theme="1"/>
        <rFont val="Calibri"/>
        <family val="3"/>
        <charset val="129"/>
        <scheme val="minor"/>
      </rPr>
      <t>소득금액</t>
    </r>
  </si>
  <si>
    <r>
      <rPr>
        <sz val="11"/>
        <color theme="1"/>
        <rFont val="Calibri"/>
        <family val="3"/>
        <charset val="129"/>
        <scheme val="minor"/>
      </rPr>
      <t>기본공제</t>
    </r>
  </si>
  <si>
    <r>
      <rPr>
        <sz val="11"/>
        <color theme="1"/>
        <rFont val="Calibri"/>
        <family val="3"/>
        <charset val="129"/>
        <scheme val="minor"/>
      </rPr>
      <t>과세표준</t>
    </r>
  </si>
  <si>
    <r>
      <rPr>
        <sz val="11"/>
        <color theme="1"/>
        <rFont val="Calibri"/>
        <family val="3"/>
        <charset val="129"/>
        <scheme val="minor"/>
      </rPr>
      <t>세율</t>
    </r>
  </si>
  <si>
    <r>
      <rPr>
        <sz val="11"/>
        <color theme="1"/>
        <rFont val="Calibri"/>
        <family val="3"/>
        <charset val="129"/>
        <scheme val="minor"/>
      </rPr>
      <t>산출세액</t>
    </r>
  </si>
  <si>
    <r>
      <rPr>
        <sz val="11"/>
        <color theme="1"/>
        <rFont val="Calibri"/>
        <family val="3"/>
        <charset val="129"/>
        <scheme val="minor"/>
      </rPr>
      <t>양도소득세</t>
    </r>
  </si>
  <si>
    <r>
      <rPr>
        <sz val="11"/>
        <color theme="1"/>
        <rFont val="Calibri"/>
        <family val="3"/>
        <charset val="129"/>
        <scheme val="minor"/>
      </rPr>
      <t>지방소득세</t>
    </r>
  </si>
  <si>
    <r>
      <rPr>
        <sz val="11"/>
        <color theme="1"/>
        <rFont val="Calibri"/>
        <family val="3"/>
        <charset val="129"/>
        <scheme val="minor"/>
      </rPr>
      <t>합계</t>
    </r>
  </si>
  <si>
    <t>주택2</t>
    <phoneticPr fontId="16" type="noConversion"/>
  </si>
  <si>
    <t>주택3</t>
    <phoneticPr fontId="16" type="noConversion"/>
  </si>
  <si>
    <t>주택4</t>
    <phoneticPr fontId="16" type="noConversion"/>
  </si>
  <si>
    <r>
      <t>주택</t>
    </r>
    <r>
      <rPr>
        <b/>
        <sz val="11"/>
        <color theme="1"/>
        <rFont val="Calibri"/>
        <family val="2"/>
        <scheme val="minor"/>
      </rPr>
      <t>1</t>
    </r>
    <phoneticPr fontId="16" type="noConversion"/>
  </si>
  <si>
    <t>기본세율</t>
    <phoneticPr fontId="16" type="noConversion"/>
  </si>
  <si>
    <t>기본세율+20%</t>
    <phoneticPr fontId="16" type="noConversion"/>
  </si>
  <si>
    <t>기본세율+30%</t>
    <phoneticPr fontId="16" type="noConversion"/>
  </si>
  <si>
    <t>참고용</t>
    <phoneticPr fontId="16" type="noConversion"/>
  </si>
  <si>
    <t>양도가액</t>
    <phoneticPr fontId="16" type="noConversion"/>
  </si>
  <si>
    <r>
      <t>과세대상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양도차익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지분</t>
    </r>
    <r>
      <rPr>
        <sz val="11"/>
        <color theme="1"/>
        <rFont val="Calibri"/>
        <family val="2"/>
        <scheme val="minor"/>
      </rPr>
      <t>)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</si>
  <si>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보유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</si>
  <si>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거주</t>
    </r>
    <phoneticPr fontId="16" type="noConversion"/>
  </si>
  <si>
    <r>
      <rPr>
        <sz val="11"/>
        <color theme="1"/>
        <rFont val="Calibri"/>
        <family val="3"/>
        <charset val="129"/>
        <scheme val="minor"/>
      </rPr>
      <t>매도지분</t>
    </r>
    <phoneticPr fontId="16" type="noConversion"/>
  </si>
  <si>
    <r>
      <rPr>
        <sz val="11"/>
        <color rgb="FF006100"/>
        <rFont val="Calibri"/>
        <family val="3"/>
        <charset val="129"/>
        <scheme val="minor"/>
      </rPr>
      <t>장기거주특별공제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</si>
</sst>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_-;\-* #,##0_-;_-* &quot;-&quot;_-;_-@"/>
    <numFmt numFmtId="177" formatCode="yyyy\-mm\-dd"/>
    <numFmt numFmtId="178" formatCode="0.0%"/>
    <numFmt numFmtId="179" formatCode="_-* #,##0.00_-;\-* #,##0.00_-;_-* &quot;-&quot;??_-;_-@"/>
    <numFmt numFmtId="180" formatCode="_-* #,##0.0_-;\-* #,##0.0_-;_-* &quot;-&quot;?_-;_-@"/>
    <numFmt numFmtId="181" formatCode="_-* #,##0.0_-;\-* #,##0.0_-;_-* &quot;-&quot;?_-;_-@_-"/>
    <numFmt numFmtId="182" formatCode="_-* #,##0_-;\-* #,##0_-;_-* &quot;-&quot;??_-;_-@_-"/>
  </numFmts>
  <fonts count="42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1"/>
      <name val="Calibri"/>
      <family val="2"/>
    </font>
    <font>
      <b/>
      <sz val="11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9C0006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Malgun Gothic"/>
      <family val="3"/>
      <charset val="129"/>
    </font>
    <font>
      <sz val="1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1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006100"/>
      <name val="Calibri"/>
      <family val="2"/>
      <charset val="129"/>
      <scheme val="minor"/>
    </font>
    <font>
      <sz val="11"/>
      <color rgb="FF006100"/>
      <name val="Calibri"/>
      <family val="3"/>
      <charset val="129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rgb="FF006100"/>
      <name val="Calibri"/>
      <family val="2"/>
      <scheme val="minor"/>
    </font>
    <font>
      <sz val="11"/>
      <color rgb="FF00B050"/>
      <name val="Malgun Gothic"/>
      <family val="3"/>
      <charset val="129"/>
    </font>
    <font>
      <sz val="11"/>
      <color theme="9"/>
      <name val="Malgun Gothic"/>
      <family val="3"/>
      <charset val="129"/>
    </font>
    <font>
      <sz val="11"/>
      <color rgb="FF9C5700"/>
      <name val="Calibri"/>
      <family val="2"/>
      <charset val="129"/>
      <scheme val="minor"/>
    </font>
    <font>
      <sz val="11"/>
      <color rgb="FF9C5700"/>
      <name val="맑은 고딕"/>
      <family val="2"/>
      <charset val="129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FF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F2CB"/>
        <bgColor rgb="FFFFF2CB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FC7CE"/>
        <b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5" tint="0.59999389629810485"/>
        <bgColor rgb="FF00B0F0"/>
      </patternFill>
    </fill>
    <fill>
      <patternFill patternType="solid">
        <fgColor theme="7" tint="0.79998168889431442"/>
        <bgColor rgb="FFFFF2CB"/>
      </patternFill>
    </fill>
    <fill>
      <patternFill patternType="solid">
        <fgColor theme="7" tint="0.79998168889431442"/>
        <bgColor rgb="FFFBE4D5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theme="1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7" tint="0.79998168889431442"/>
        <bgColor indexed="64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18" borderId="31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586"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9" fontId="7" fillId="0" borderId="0" xfId="0" applyNumberFormat="1" applyFont="1" applyAlignment="1">
      <alignment vertical="center"/>
    </xf>
    <xf numFmtId="177" fontId="7" fillId="0" borderId="0" xfId="0" applyNumberFormat="1" applyFont="1" applyAlignment="1">
      <alignment vertical="center"/>
    </xf>
    <xf numFmtId="9" fontId="7" fillId="0" borderId="2" xfId="0" applyNumberFormat="1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2" xfId="0" applyNumberFormat="1" applyFont="1" applyBorder="1" applyAlignment="1">
      <alignment vertical="center"/>
    </xf>
    <xf numFmtId="9" fontId="7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78" fontId="7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79" fontId="7" fillId="0" borderId="0" xfId="0" applyNumberFormat="1" applyFont="1" applyAlignment="1">
      <alignment vertical="center"/>
    </xf>
    <xf numFmtId="10" fontId="13" fillId="0" borderId="0" xfId="0" applyNumberFormat="1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76" fontId="7" fillId="0" borderId="14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9" fontId="7" fillId="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vertical="center"/>
    </xf>
    <xf numFmtId="9" fontId="7" fillId="0" borderId="6" xfId="0" applyNumberFormat="1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176" fontId="7" fillId="0" borderId="13" xfId="0" applyNumberFormat="1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76" fontId="7" fillId="0" borderId="12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76" fontId="7" fillId="0" borderId="11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176" fontId="13" fillId="0" borderId="0" xfId="0" applyNumberFormat="1" applyFont="1" applyAlignment="1">
      <alignment horizontal="center" vertical="center"/>
    </xf>
    <xf numFmtId="180" fontId="13" fillId="0" borderId="0" xfId="0" applyNumberFormat="1" applyFont="1" applyAlignment="1">
      <alignment vertical="center"/>
    </xf>
    <xf numFmtId="176" fontId="13" fillId="0" borderId="0" xfId="0" applyNumberFormat="1" applyFont="1" applyAlignment="1">
      <alignment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9" fontId="7" fillId="0" borderId="13" xfId="0" applyNumberFormat="1" applyFont="1" applyBorder="1" applyAlignment="1">
      <alignment vertical="center"/>
    </xf>
    <xf numFmtId="176" fontId="7" fillId="0" borderId="16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76" fontId="7" fillId="0" borderId="14" xfId="0" applyNumberFormat="1" applyFont="1" applyBorder="1" applyAlignment="1">
      <alignment vertical="center"/>
    </xf>
    <xf numFmtId="9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9" fontId="7" fillId="0" borderId="2" xfId="0" applyNumberFormat="1" applyFont="1" applyBorder="1" applyAlignment="1">
      <alignment vertical="center"/>
    </xf>
    <xf numFmtId="9" fontId="14" fillId="13" borderId="1" xfId="0" applyNumberFormat="1" applyFont="1" applyFill="1" applyBorder="1" applyAlignment="1">
      <alignment vertical="center"/>
    </xf>
    <xf numFmtId="11" fontId="7" fillId="0" borderId="0" xfId="0" applyNumberFormat="1" applyFont="1" applyAlignment="1">
      <alignment vertical="center"/>
    </xf>
    <xf numFmtId="11" fontId="7" fillId="0" borderId="2" xfId="0" applyNumberFormat="1" applyFont="1" applyBorder="1" applyAlignment="1">
      <alignment vertical="center"/>
    </xf>
    <xf numFmtId="178" fontId="14" fillId="13" borderId="1" xfId="0" applyNumberFormat="1" applyFont="1" applyFill="1" applyBorder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  <xf numFmtId="176" fontId="12" fillId="0" borderId="0" xfId="0" applyNumberFormat="1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9" fontId="7" fillId="0" borderId="0" xfId="1" applyFont="1" applyAlignment="1">
      <alignment horizontal="center" vertical="center"/>
    </xf>
    <xf numFmtId="0" fontId="17" fillId="0" borderId="0" xfId="0" applyFont="1" applyAlignment="1">
      <alignment vertical="center"/>
    </xf>
    <xf numFmtId="41" fontId="0" fillId="0" borderId="0" xfId="2" applyFont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vertical="center"/>
    </xf>
    <xf numFmtId="176" fontId="7" fillId="0" borderId="21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6" fontId="7" fillId="14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7" fillId="0" borderId="21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vertical="center"/>
    </xf>
    <xf numFmtId="176" fontId="7" fillId="0" borderId="24" xfId="0" applyNumberFormat="1" applyFont="1" applyBorder="1" applyAlignment="1">
      <alignment vertical="center"/>
    </xf>
    <xf numFmtId="176" fontId="8" fillId="0" borderId="24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80" fontId="1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7" fillId="6" borderId="21" xfId="0" applyFont="1" applyFill="1" applyBorder="1" applyAlignment="1">
      <alignment vertical="center"/>
    </xf>
    <xf numFmtId="176" fontId="7" fillId="6" borderId="21" xfId="0" applyNumberFormat="1" applyFont="1" applyFill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10" fontId="7" fillId="0" borderId="30" xfId="0" applyNumberFormat="1" applyFont="1" applyBorder="1" applyAlignment="1">
      <alignment horizontal="center" vertical="center"/>
    </xf>
    <xf numFmtId="9" fontId="7" fillId="0" borderId="30" xfId="0" applyNumberFormat="1" applyFont="1" applyBorder="1" applyAlignment="1">
      <alignment horizontal="center" vertical="center"/>
    </xf>
    <xf numFmtId="0" fontId="7" fillId="14" borderId="30" xfId="0" applyFont="1" applyFill="1" applyBorder="1" applyAlignment="1">
      <alignment horizontal="center" vertical="center"/>
    </xf>
    <xf numFmtId="0" fontId="15" fillId="14" borderId="30" xfId="0" applyFont="1" applyFill="1" applyBorder="1" applyAlignment="1">
      <alignment vertical="center"/>
    </xf>
    <xf numFmtId="0" fontId="15" fillId="14" borderId="30" xfId="0" applyFont="1" applyFill="1" applyBorder="1" applyAlignment="1">
      <alignment horizontal="center" vertical="center"/>
    </xf>
    <xf numFmtId="0" fontId="8" fillId="14" borderId="30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7" fillId="14" borderId="0" xfId="0" applyNumberFormat="1" applyFont="1" applyFill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41" fontId="0" fillId="0" borderId="30" xfId="2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9" fontId="7" fillId="0" borderId="21" xfId="0" applyNumberFormat="1" applyFont="1" applyBorder="1" applyAlignment="1">
      <alignment horizontal="center" vertical="center"/>
    </xf>
    <xf numFmtId="41" fontId="7" fillId="0" borderId="2" xfId="2" applyFont="1" applyBorder="1" applyAlignment="1">
      <alignment horizontal="center" vertical="center"/>
    </xf>
    <xf numFmtId="41" fontId="7" fillId="0" borderId="0" xfId="2" applyFont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176" fontId="8" fillId="0" borderId="9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32" xfId="0" applyBorder="1" applyAlignment="1">
      <alignment vertical="center"/>
    </xf>
    <xf numFmtId="0" fontId="15" fillId="0" borderId="30" xfId="0" applyFont="1" applyBorder="1" applyAlignment="1">
      <alignment horizontal="center" vertical="center"/>
    </xf>
    <xf numFmtId="41" fontId="7" fillId="0" borderId="30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center" vertical="center"/>
    </xf>
    <xf numFmtId="9" fontId="7" fillId="0" borderId="0" xfId="1" applyFont="1" applyAlignment="1">
      <alignment vertical="center"/>
    </xf>
    <xf numFmtId="9" fontId="0" fillId="0" borderId="0" xfId="1" applyFont="1" applyAlignment="1">
      <alignment vertical="center"/>
    </xf>
    <xf numFmtId="41" fontId="0" fillId="0" borderId="21" xfId="2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41" fontId="0" fillId="0" borderId="36" xfId="2" applyFont="1" applyBorder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right" vertical="center"/>
    </xf>
    <xf numFmtId="41" fontId="7" fillId="0" borderId="14" xfId="2" applyFont="1" applyBorder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vertical="center"/>
    </xf>
    <xf numFmtId="0" fontId="17" fillId="0" borderId="36" xfId="0" applyFont="1" applyBorder="1" applyAlignment="1">
      <alignment vertical="center"/>
    </xf>
    <xf numFmtId="176" fontId="7" fillId="0" borderId="36" xfId="0" applyNumberFormat="1" applyFont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0" fontId="0" fillId="0" borderId="30" xfId="0" applyBorder="1" applyAlignment="1">
      <alignment vertical="center"/>
    </xf>
    <xf numFmtId="10" fontId="0" fillId="0" borderId="30" xfId="0" applyNumberFormat="1" applyBorder="1" applyAlignment="1">
      <alignment vertical="center"/>
    </xf>
    <xf numFmtId="0" fontId="0" fillId="0" borderId="30" xfId="0" applyBorder="1" applyAlignment="1">
      <alignment horizontal="center" vertical="center"/>
    </xf>
    <xf numFmtId="10" fontId="0" fillId="0" borderId="30" xfId="0" applyNumberForma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76" fontId="7" fillId="0" borderId="38" xfId="0" applyNumberFormat="1" applyFont="1" applyBorder="1" applyAlignment="1">
      <alignment horizontal="center" vertical="center"/>
    </xf>
    <xf numFmtId="10" fontId="7" fillId="0" borderId="37" xfId="1" applyNumberFormat="1" applyFont="1" applyBorder="1" applyAlignment="1">
      <alignment horizontal="center" vertical="center"/>
    </xf>
    <xf numFmtId="176" fontId="7" fillId="7" borderId="22" xfId="0" applyNumberFormat="1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0" fillId="21" borderId="30" xfId="0" applyFill="1" applyBorder="1" applyAlignment="1">
      <alignment horizontal="left" vertical="center"/>
    </xf>
    <xf numFmtId="10" fontId="0" fillId="0" borderId="30" xfId="2" applyNumberFormat="1" applyFont="1" applyBorder="1">
      <alignment vertical="center"/>
    </xf>
    <xf numFmtId="0" fontId="0" fillId="21" borderId="0" xfId="0" applyFill="1" applyAlignment="1">
      <alignment vertical="center"/>
    </xf>
    <xf numFmtId="182" fontId="0" fillId="21" borderId="0" xfId="0" applyNumberFormat="1" applyFill="1" applyAlignment="1">
      <alignment vertical="center"/>
    </xf>
    <xf numFmtId="0" fontId="0" fillId="21" borderId="39" xfId="0" applyFill="1" applyBorder="1" applyAlignment="1">
      <alignment vertical="center"/>
    </xf>
    <xf numFmtId="182" fontId="0" fillId="21" borderId="39" xfId="0" applyNumberFormat="1" applyFill="1" applyBorder="1" applyAlignment="1">
      <alignment vertical="center"/>
    </xf>
    <xf numFmtId="0" fontId="0" fillId="21" borderId="40" xfId="0" applyFill="1" applyBorder="1" applyAlignment="1">
      <alignment vertical="center"/>
    </xf>
    <xf numFmtId="182" fontId="0" fillId="21" borderId="40" xfId="0" applyNumberFormat="1" applyFill="1" applyBorder="1" applyAlignment="1">
      <alignment vertical="center"/>
    </xf>
    <xf numFmtId="179" fontId="7" fillId="0" borderId="30" xfId="0" applyNumberFormat="1" applyFont="1" applyBorder="1" applyAlignment="1">
      <alignment horizontal="center" vertical="center"/>
    </xf>
    <xf numFmtId="0" fontId="5" fillId="20" borderId="30" xfId="5" applyBorder="1" applyAlignment="1">
      <alignment vertical="center"/>
    </xf>
    <xf numFmtId="0" fontId="7" fillId="5" borderId="3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1" fontId="0" fillId="22" borderId="30" xfId="2" applyFont="1" applyFill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28" fillId="18" borderId="31" xfId="3" applyFont="1" applyAlignment="1">
      <alignment horizontal="center" vertical="center"/>
    </xf>
    <xf numFmtId="0" fontId="8" fillId="18" borderId="31" xfId="3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1" fontId="7" fillId="0" borderId="41" xfId="2" applyFont="1" applyFill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28" fillId="0" borderId="8" xfId="0" applyFont="1" applyBorder="1" applyAlignment="1">
      <alignment horizontal="center" vertical="center"/>
    </xf>
    <xf numFmtId="9" fontId="7" fillId="0" borderId="47" xfId="0" applyNumberFormat="1" applyFont="1" applyBorder="1" applyAlignment="1">
      <alignment horizontal="center" vertical="center"/>
    </xf>
    <xf numFmtId="176" fontId="7" fillId="0" borderId="47" xfId="0" applyNumberFormat="1" applyFont="1" applyBorder="1" applyAlignment="1">
      <alignment horizontal="center" vertical="center"/>
    </xf>
    <xf numFmtId="10" fontId="7" fillId="0" borderId="47" xfId="0" applyNumberFormat="1" applyFont="1" applyBorder="1" applyAlignment="1">
      <alignment horizontal="center" vertical="center"/>
    </xf>
    <xf numFmtId="176" fontId="7" fillId="0" borderId="49" xfId="0" applyNumberFormat="1" applyFont="1" applyBorder="1" applyAlignment="1">
      <alignment horizontal="center" vertical="center"/>
    </xf>
    <xf numFmtId="176" fontId="7" fillId="0" borderId="50" xfId="0" applyNumberFormat="1" applyFont="1" applyBorder="1" applyAlignment="1">
      <alignment horizontal="center" vertical="center"/>
    </xf>
    <xf numFmtId="0" fontId="7" fillId="6" borderId="47" xfId="0" applyFont="1" applyFill="1" applyBorder="1" applyAlignment="1">
      <alignment horizontal="center" vertical="center"/>
    </xf>
    <xf numFmtId="176" fontId="7" fillId="0" borderId="51" xfId="0" applyNumberFormat="1" applyFont="1" applyBorder="1" applyAlignment="1">
      <alignment horizontal="center" vertical="center"/>
    </xf>
    <xf numFmtId="176" fontId="7" fillId="0" borderId="52" xfId="0" applyNumberFormat="1" applyFont="1" applyBorder="1" applyAlignment="1">
      <alignment horizontal="center" vertical="center"/>
    </xf>
    <xf numFmtId="176" fontId="7" fillId="0" borderId="53" xfId="0" applyNumberFormat="1" applyFont="1" applyBorder="1" applyAlignment="1">
      <alignment horizontal="center" vertical="center"/>
    </xf>
    <xf numFmtId="41" fontId="7" fillId="0" borderId="30" xfId="2" applyFont="1" applyBorder="1" applyAlignment="1">
      <alignment horizontal="center" vertical="center"/>
    </xf>
    <xf numFmtId="41" fontId="7" fillId="0" borderId="30" xfId="2" applyFont="1" applyFill="1" applyBorder="1" applyAlignment="1">
      <alignment horizontal="center" vertical="center"/>
    </xf>
    <xf numFmtId="41" fontId="7" fillId="0" borderId="0" xfId="2" applyFont="1" applyAlignment="1">
      <alignment vertical="center"/>
    </xf>
    <xf numFmtId="176" fontId="7" fillId="23" borderId="4" xfId="0" applyNumberFormat="1" applyFont="1" applyFill="1" applyBorder="1" applyAlignment="1">
      <alignment horizontal="center" vertical="center"/>
    </xf>
    <xf numFmtId="176" fontId="7" fillId="0" borderId="43" xfId="0" applyNumberFormat="1" applyFont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176" fontId="7" fillId="23" borderId="2" xfId="0" applyNumberFormat="1" applyFont="1" applyFill="1" applyBorder="1" applyAlignment="1">
      <alignment horizontal="center" vertical="center"/>
    </xf>
    <xf numFmtId="176" fontId="7" fillId="23" borderId="16" xfId="0" applyNumberFormat="1" applyFont="1" applyFill="1" applyBorder="1" applyAlignment="1">
      <alignment horizontal="center" vertical="center"/>
    </xf>
    <xf numFmtId="9" fontId="7" fillId="0" borderId="30" xfId="1" applyFont="1" applyBorder="1" applyAlignment="1">
      <alignment horizontal="center" vertical="center"/>
    </xf>
    <xf numFmtId="41" fontId="7" fillId="0" borderId="18" xfId="2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6" fontId="7" fillId="0" borderId="4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7" fillId="26" borderId="21" xfId="0" applyFont="1" applyFill="1" applyBorder="1" applyAlignment="1">
      <alignment horizontal="center" vertical="center"/>
    </xf>
    <xf numFmtId="0" fontId="7" fillId="27" borderId="21" xfId="0" applyFont="1" applyFill="1" applyBorder="1" applyAlignment="1">
      <alignment horizontal="center" vertical="center"/>
    </xf>
    <xf numFmtId="0" fontId="8" fillId="18" borderId="30" xfId="3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76" fontId="7" fillId="0" borderId="30" xfId="0" applyNumberFormat="1" applyFont="1" applyBorder="1" applyAlignment="1">
      <alignment vertical="center"/>
    </xf>
    <xf numFmtId="178" fontId="7" fillId="0" borderId="30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176" fontId="7" fillId="0" borderId="56" xfId="0" applyNumberFormat="1" applyFont="1" applyBorder="1" applyAlignment="1">
      <alignment horizontal="center" vertical="center"/>
    </xf>
    <xf numFmtId="176" fontId="7" fillId="0" borderId="57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176" fontId="7" fillId="0" borderId="58" xfId="0" applyNumberFormat="1" applyFont="1" applyBorder="1" applyAlignment="1">
      <alignment horizontal="center" vertical="center"/>
    </xf>
    <xf numFmtId="0" fontId="7" fillId="30" borderId="2" xfId="0" applyFont="1" applyFill="1" applyBorder="1" applyAlignment="1">
      <alignment horizontal="center" vertical="center"/>
    </xf>
    <xf numFmtId="41" fontId="7" fillId="0" borderId="1" xfId="0" applyNumberFormat="1" applyFont="1" applyBorder="1" applyAlignment="1">
      <alignment vertical="center"/>
    </xf>
    <xf numFmtId="176" fontId="30" fillId="28" borderId="30" xfId="6" applyNumberFormat="1" applyBorder="1" applyAlignment="1">
      <alignment horizontal="center" vertical="center"/>
    </xf>
    <xf numFmtId="0" fontId="30" fillId="28" borderId="30" xfId="6" applyBorder="1" applyAlignment="1">
      <alignment horizontal="center" vertical="center"/>
    </xf>
    <xf numFmtId="9" fontId="30" fillId="28" borderId="30" xfId="6" applyNumberFormat="1" applyBorder="1" applyAlignment="1">
      <alignment horizontal="center" vertical="center"/>
    </xf>
    <xf numFmtId="0" fontId="30" fillId="28" borderId="30" xfId="6" applyBorder="1" applyAlignment="1">
      <alignment horizontal="center"/>
    </xf>
    <xf numFmtId="176" fontId="7" fillId="31" borderId="21" xfId="0" applyNumberFormat="1" applyFont="1" applyFill="1" applyBorder="1" applyAlignment="1">
      <alignment vertical="center"/>
    </xf>
    <xf numFmtId="176" fontId="7" fillId="22" borderId="21" xfId="0" applyNumberFormat="1" applyFont="1" applyFill="1" applyBorder="1" applyAlignment="1">
      <alignment vertical="center"/>
    </xf>
    <xf numFmtId="9" fontId="7" fillId="31" borderId="29" xfId="0" applyNumberFormat="1" applyFont="1" applyFill="1" applyBorder="1" applyAlignment="1">
      <alignment vertical="center"/>
    </xf>
    <xf numFmtId="9" fontId="0" fillId="22" borderId="29" xfId="0" applyNumberFormat="1" applyFill="1" applyBorder="1" applyAlignment="1">
      <alignment vertical="center"/>
    </xf>
    <xf numFmtId="0" fontId="7" fillId="22" borderId="21" xfId="0" applyFont="1" applyFill="1" applyBorder="1" applyAlignment="1">
      <alignment vertical="center" wrapText="1"/>
    </xf>
    <xf numFmtId="176" fontId="7" fillId="22" borderId="33" xfId="0" applyNumberFormat="1" applyFont="1" applyFill="1" applyBorder="1" applyAlignment="1">
      <alignment vertical="center"/>
    </xf>
    <xf numFmtId="0" fontId="15" fillId="0" borderId="2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32" borderId="21" xfId="0" applyFill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7" fillId="2" borderId="26" xfId="0" applyFont="1" applyFill="1" applyBorder="1" applyAlignment="1">
      <alignment horizontal="center" vertical="center"/>
    </xf>
    <xf numFmtId="176" fontId="5" fillId="20" borderId="21" xfId="5" applyNumberFormat="1" applyBorder="1" applyAlignment="1">
      <alignment horizontal="center" vertical="center"/>
    </xf>
    <xf numFmtId="176" fontId="4" fillId="29" borderId="29" xfId="7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20" borderId="0" xfId="5" applyAlignment="1">
      <alignment horizontal="center" vertical="center"/>
    </xf>
    <xf numFmtId="0" fontId="4" fillId="20" borderId="0" xfId="5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5" fillId="20" borderId="26" xfId="5" applyBorder="1" applyAlignment="1">
      <alignment vertical="center"/>
    </xf>
    <xf numFmtId="0" fontId="5" fillId="20" borderId="32" xfId="5" applyBorder="1" applyAlignment="1">
      <alignment vertical="center"/>
    </xf>
    <xf numFmtId="0" fontId="5" fillId="20" borderId="21" xfId="5" applyBorder="1" applyAlignment="1">
      <alignment vertical="center"/>
    </xf>
    <xf numFmtId="0" fontId="5" fillId="20" borderId="33" xfId="5" applyBorder="1" applyAlignment="1">
      <alignment vertical="center"/>
    </xf>
    <xf numFmtId="9" fontId="5" fillId="20" borderId="29" xfId="5" applyNumberFormat="1" applyBorder="1" applyAlignment="1">
      <alignment vertical="center"/>
    </xf>
    <xf numFmtId="0" fontId="5" fillId="20" borderId="29" xfId="5" applyBorder="1" applyAlignment="1">
      <alignment vertical="center"/>
    </xf>
    <xf numFmtId="0" fontId="5" fillId="20" borderId="34" xfId="5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0" fillId="20" borderId="0" xfId="5" applyFont="1" applyAlignment="1">
      <alignment horizontal="center" vertical="center"/>
    </xf>
    <xf numFmtId="0" fontId="7" fillId="0" borderId="30" xfId="0" applyFont="1" applyBorder="1" applyAlignment="1">
      <alignment vertical="center"/>
    </xf>
    <xf numFmtId="14" fontId="0" fillId="0" borderId="30" xfId="0" applyNumberFormat="1" applyBorder="1" applyAlignment="1">
      <alignment vertical="center"/>
    </xf>
    <xf numFmtId="0" fontId="15" fillId="22" borderId="21" xfId="0" applyFont="1" applyFill="1" applyBorder="1" applyAlignment="1">
      <alignment vertical="center"/>
    </xf>
    <xf numFmtId="0" fontId="15" fillId="22" borderId="33" xfId="0" applyFont="1" applyFill="1" applyBorder="1" applyAlignment="1">
      <alignment vertical="center"/>
    </xf>
    <xf numFmtId="41" fontId="15" fillId="22" borderId="30" xfId="2" applyFont="1" applyFill="1" applyBorder="1" applyAlignment="1">
      <alignment horizontal="center" vertical="center"/>
    </xf>
    <xf numFmtId="0" fontId="20" fillId="19" borderId="30" xfId="4" applyFont="1" applyBorder="1" applyAlignment="1">
      <alignment horizontal="center" vertical="center"/>
    </xf>
    <xf numFmtId="0" fontId="7" fillId="17" borderId="3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0" fillId="22" borderId="34" xfId="0" applyNumberFormat="1" applyFill="1" applyBorder="1" applyAlignment="1">
      <alignment vertical="center"/>
    </xf>
    <xf numFmtId="176" fontId="7" fillId="23" borderId="38" xfId="0" applyNumberFormat="1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 shrinkToFit="1"/>
    </xf>
    <xf numFmtId="176" fontId="7" fillId="0" borderId="59" xfId="0" applyNumberFormat="1" applyFont="1" applyBorder="1" applyAlignment="1">
      <alignment horizontal="center" vertical="center"/>
    </xf>
    <xf numFmtId="176" fontId="7" fillId="23" borderId="59" xfId="0" applyNumberFormat="1" applyFont="1" applyFill="1" applyBorder="1" applyAlignment="1">
      <alignment horizontal="center" vertical="center"/>
    </xf>
    <xf numFmtId="0" fontId="7" fillId="5" borderId="54" xfId="0" applyFont="1" applyFill="1" applyBorder="1" applyAlignment="1">
      <alignment horizontal="center" vertical="center"/>
    </xf>
    <xf numFmtId="41" fontId="7" fillId="0" borderId="60" xfId="2" applyFont="1" applyBorder="1" applyAlignment="1">
      <alignment horizontal="center" vertical="center" shrinkToFit="1"/>
    </xf>
    <xf numFmtId="41" fontId="7" fillId="0" borderId="46" xfId="2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 shrinkToFit="1"/>
    </xf>
    <xf numFmtId="0" fontId="7" fillId="0" borderId="51" xfId="0" applyFont="1" applyBorder="1" applyAlignment="1">
      <alignment horizontal="center" vertical="center" shrinkToFit="1"/>
    </xf>
    <xf numFmtId="0" fontId="8" fillId="0" borderId="62" xfId="0" applyFont="1" applyBorder="1" applyAlignment="1">
      <alignment horizontal="center" vertical="center" shrinkToFit="1"/>
    </xf>
    <xf numFmtId="0" fontId="7" fillId="0" borderId="62" xfId="0" applyFont="1" applyBorder="1" applyAlignment="1">
      <alignment horizontal="center" vertical="center" shrinkToFit="1"/>
    </xf>
    <xf numFmtId="41" fontId="0" fillId="0" borderId="0" xfId="2" applyFont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41" fontId="0" fillId="0" borderId="39" xfId="2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33" borderId="0" xfId="2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41" fontId="0" fillId="0" borderId="39" xfId="0" applyNumberForma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76" fontId="4" fillId="29" borderId="21" xfId="7" applyNumberFormat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41" fontId="0" fillId="15" borderId="21" xfId="2" applyFont="1" applyFill="1" applyBorder="1" applyAlignment="1">
      <alignment horizontal="center" vertical="center"/>
    </xf>
    <xf numFmtId="41" fontId="0" fillId="16" borderId="21" xfId="2" applyFont="1" applyFill="1" applyBorder="1" applyAlignment="1">
      <alignment horizontal="center" vertical="center"/>
    </xf>
    <xf numFmtId="41" fontId="0" fillId="15" borderId="39" xfId="2" applyFont="1" applyFill="1" applyBorder="1" applyAlignment="1">
      <alignment horizontal="center" vertical="center"/>
    </xf>
    <xf numFmtId="41" fontId="0" fillId="16" borderId="39" xfId="2" applyFont="1" applyFill="1" applyBorder="1" applyAlignment="1">
      <alignment horizontal="center" vertical="center"/>
    </xf>
    <xf numFmtId="41" fontId="0" fillId="15" borderId="0" xfId="2" applyFont="1" applyFill="1" applyAlignment="1">
      <alignment horizontal="center" vertical="center"/>
    </xf>
    <xf numFmtId="41" fontId="0" fillId="16" borderId="0" xfId="2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41" fontId="0" fillId="34" borderId="21" xfId="2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1" fontId="0" fillId="34" borderId="39" xfId="2" applyFont="1" applyFill="1" applyBorder="1" applyAlignment="1">
      <alignment horizontal="center" vertical="center"/>
    </xf>
    <xf numFmtId="41" fontId="0" fillId="34" borderId="0" xfId="2" applyFont="1" applyFill="1" applyAlignment="1">
      <alignment horizontal="center" vertical="center"/>
    </xf>
    <xf numFmtId="0" fontId="21" fillId="15" borderId="2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7" fillId="0" borderId="30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shrinkToFit="1"/>
    </xf>
    <xf numFmtId="41" fontId="7" fillId="0" borderId="21" xfId="2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41" fontId="7" fillId="22" borderId="21" xfId="2" applyFont="1" applyFill="1" applyBorder="1" applyAlignment="1">
      <alignment vertical="center"/>
    </xf>
    <xf numFmtId="0" fontId="7" fillId="33" borderId="30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3" fillId="35" borderId="35" xfId="8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176" fontId="10" fillId="6" borderId="21" xfId="0" applyNumberFormat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 shrinkToFit="1"/>
    </xf>
    <xf numFmtId="0" fontId="28" fillId="0" borderId="21" xfId="0" applyFont="1" applyBorder="1" applyAlignment="1">
      <alignment horizontal="center" vertical="center"/>
    </xf>
    <xf numFmtId="9" fontId="0" fillId="14" borderId="30" xfId="1" applyFont="1" applyFill="1" applyBorder="1" applyAlignment="1">
      <alignment horizontal="center" vertical="center"/>
    </xf>
    <xf numFmtId="41" fontId="0" fillId="14" borderId="30" xfId="2" applyFont="1" applyFill="1" applyBorder="1" applyAlignment="1">
      <alignment horizontal="center" vertical="center"/>
    </xf>
    <xf numFmtId="41" fontId="9" fillId="37" borderId="21" xfId="2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6" fontId="7" fillId="31" borderId="26" xfId="0" applyNumberFormat="1" applyFont="1" applyFill="1" applyBorder="1" applyAlignment="1">
      <alignment vertical="center"/>
    </xf>
    <xf numFmtId="41" fontId="5" fillId="20" borderId="26" xfId="2" applyFont="1" applyFill="1" applyBorder="1" applyAlignment="1">
      <alignment vertical="center"/>
    </xf>
    <xf numFmtId="181" fontId="7" fillId="0" borderId="0" xfId="0" applyNumberFormat="1" applyFont="1" applyAlignment="1">
      <alignment horizontal="center" vertical="center"/>
    </xf>
    <xf numFmtId="0" fontId="36" fillId="0" borderId="0" xfId="0" applyFont="1" applyAlignment="1">
      <alignment vertical="center"/>
    </xf>
    <xf numFmtId="176" fontId="18" fillId="0" borderId="43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76" fontId="18" fillId="0" borderId="21" xfId="0" applyNumberFormat="1" applyFont="1" applyBorder="1" applyAlignment="1">
      <alignment horizontal="center" vertical="center"/>
    </xf>
    <xf numFmtId="176" fontId="18" fillId="0" borderId="9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shrinkToFit="1"/>
    </xf>
    <xf numFmtId="176" fontId="7" fillId="25" borderId="30" xfId="0" applyNumberFormat="1" applyFont="1" applyFill="1" applyBorder="1" applyAlignment="1">
      <alignment horizontal="center" vertical="center"/>
    </xf>
    <xf numFmtId="176" fontId="28" fillId="0" borderId="38" xfId="0" applyNumberFormat="1" applyFont="1" applyBorder="1" applyAlignment="1">
      <alignment horizontal="center" vertical="center"/>
    </xf>
    <xf numFmtId="10" fontId="7" fillId="0" borderId="30" xfId="1" applyNumberFormat="1" applyFont="1" applyFill="1" applyBorder="1" applyAlignment="1">
      <alignment horizontal="center" vertical="center"/>
    </xf>
    <xf numFmtId="176" fontId="7" fillId="0" borderId="41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176" fontId="18" fillId="0" borderId="54" xfId="0" applyNumberFormat="1" applyFont="1" applyBorder="1" applyAlignment="1">
      <alignment horizontal="center" vertical="center"/>
    </xf>
    <xf numFmtId="0" fontId="9" fillId="37" borderId="21" xfId="0" applyFont="1" applyFill="1" applyBorder="1" applyAlignment="1">
      <alignment horizontal="center" vertical="center"/>
    </xf>
    <xf numFmtId="41" fontId="7" fillId="0" borderId="62" xfId="2" applyFont="1" applyBorder="1" applyAlignment="1">
      <alignment horizontal="center" vertical="center"/>
    </xf>
    <xf numFmtId="0" fontId="8" fillId="18" borderId="63" xfId="3" applyFont="1" applyBorder="1" applyAlignment="1">
      <alignment horizontal="center" vertical="center"/>
    </xf>
    <xf numFmtId="9" fontId="7" fillId="9" borderId="3" xfId="0" applyNumberFormat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29" borderId="30" xfId="7" applyBorder="1" applyAlignment="1">
      <alignment horizontal="center" vertical="center"/>
    </xf>
    <xf numFmtId="0" fontId="30" fillId="28" borderId="18" xfId="6" applyBorder="1" applyAlignment="1">
      <alignment horizontal="center" vertical="center"/>
    </xf>
    <xf numFmtId="0" fontId="30" fillId="28" borderId="21" xfId="6" applyBorder="1" applyAlignment="1">
      <alignment horizontal="center" vertical="center"/>
    </xf>
    <xf numFmtId="0" fontId="7" fillId="36" borderId="0" xfId="0" applyFont="1" applyFill="1" applyAlignment="1">
      <alignment horizontal="center" vertical="center"/>
    </xf>
    <xf numFmtId="176" fontId="7" fillId="36" borderId="0" xfId="0" applyNumberFormat="1" applyFont="1" applyFill="1" applyAlignment="1">
      <alignment horizontal="center" vertical="center"/>
    </xf>
    <xf numFmtId="0" fontId="7" fillId="36" borderId="0" xfId="0" applyFont="1" applyFill="1" applyAlignment="1">
      <alignment vertical="center"/>
    </xf>
    <xf numFmtId="0" fontId="3" fillId="35" borderId="30" xfId="8" applyBorder="1" applyAlignment="1">
      <alignment horizontal="center" vertical="center"/>
    </xf>
    <xf numFmtId="176" fontId="38" fillId="38" borderId="30" xfId="9" applyNumberFormat="1" applyFont="1" applyBorder="1" applyAlignment="1">
      <alignment horizontal="center" vertical="center"/>
    </xf>
    <xf numFmtId="0" fontId="10" fillId="36" borderId="30" xfId="0" applyFont="1" applyFill="1" applyBorder="1" applyAlignment="1">
      <alignment horizontal="center" vertical="center"/>
    </xf>
    <xf numFmtId="0" fontId="3" fillId="0" borderId="30" xfId="8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8" fillId="18" borderId="64" xfId="3" applyFont="1" applyBorder="1" applyAlignment="1">
      <alignment horizontal="center" vertical="center"/>
    </xf>
    <xf numFmtId="0" fontId="20" fillId="0" borderId="21" xfId="8" applyFont="1" applyFill="1" applyBorder="1" applyAlignment="1">
      <alignment horizontal="center" vertical="center"/>
    </xf>
    <xf numFmtId="0" fontId="2" fillId="0" borderId="21" xfId="8" applyFont="1" applyFill="1" applyBorder="1" applyAlignment="1">
      <alignment horizontal="center" vertical="center"/>
    </xf>
    <xf numFmtId="0" fontId="3" fillId="0" borderId="21" xfId="8" applyFill="1" applyBorder="1" applyAlignment="1">
      <alignment horizontal="center" vertical="center"/>
    </xf>
    <xf numFmtId="9" fontId="7" fillId="9" borderId="4" xfId="0" applyNumberFormat="1" applyFont="1" applyFill="1" applyBorder="1" applyAlignment="1">
      <alignment horizontal="center" vertical="center"/>
    </xf>
    <xf numFmtId="9" fontId="13" fillId="0" borderId="30" xfId="0" applyNumberFormat="1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176" fontId="13" fillId="0" borderId="30" xfId="0" applyNumberFormat="1" applyFont="1" applyBorder="1" applyAlignment="1">
      <alignment horizontal="center" vertical="center"/>
    </xf>
    <xf numFmtId="176" fontId="13" fillId="0" borderId="41" xfId="0" applyNumberFormat="1" applyFont="1" applyBorder="1" applyAlignment="1">
      <alignment horizontal="center" vertical="center"/>
    </xf>
    <xf numFmtId="176" fontId="8" fillId="0" borderId="65" xfId="0" applyNumberFormat="1" applyFont="1" applyBorder="1" applyAlignment="1">
      <alignment horizontal="center" vertical="center"/>
    </xf>
    <xf numFmtId="41" fontId="36" fillId="0" borderId="0" xfId="2" applyFont="1" applyAlignment="1">
      <alignment vertical="center"/>
    </xf>
    <xf numFmtId="176" fontId="13" fillId="0" borderId="66" xfId="0" applyNumberFormat="1" applyFont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shrinkToFit="1"/>
    </xf>
    <xf numFmtId="176" fontId="8" fillId="0" borderId="67" xfId="0" applyNumberFormat="1" applyFont="1" applyBorder="1" applyAlignment="1">
      <alignment horizontal="center" vertical="center"/>
    </xf>
    <xf numFmtId="0" fontId="31" fillId="28" borderId="30" xfId="6" applyFont="1" applyBorder="1" applyAlignment="1">
      <alignment horizontal="center" vertical="center"/>
    </xf>
    <xf numFmtId="176" fontId="28" fillId="0" borderId="68" xfId="0" applyNumberFormat="1" applyFont="1" applyBorder="1" applyAlignment="1">
      <alignment horizontal="center" vertical="center"/>
    </xf>
    <xf numFmtId="0" fontId="28" fillId="18" borderId="64" xfId="3" applyFont="1" applyBorder="1" applyAlignment="1">
      <alignment horizontal="center" vertical="center"/>
    </xf>
    <xf numFmtId="0" fontId="28" fillId="0" borderId="64" xfId="3" applyFont="1" applyFill="1" applyBorder="1" applyAlignment="1">
      <alignment horizontal="center" vertical="center"/>
    </xf>
    <xf numFmtId="0" fontId="8" fillId="0" borderId="31" xfId="3" applyFont="1" applyFill="1" applyAlignment="1">
      <alignment horizontal="center" vertical="center"/>
    </xf>
    <xf numFmtId="9" fontId="7" fillId="0" borderId="69" xfId="1" applyFont="1" applyBorder="1" applyAlignment="1">
      <alignment horizontal="center" vertical="center"/>
    </xf>
    <xf numFmtId="0" fontId="4" fillId="29" borderId="41" xfId="7" applyBorder="1" applyAlignment="1">
      <alignment horizontal="center" vertical="center"/>
    </xf>
    <xf numFmtId="41" fontId="3" fillId="35" borderId="30" xfId="8" applyNumberFormat="1" applyBorder="1" applyAlignment="1">
      <alignment horizontal="center" vertical="center"/>
    </xf>
    <xf numFmtId="41" fontId="3" fillId="35" borderId="70" xfId="8" applyNumberFormat="1" applyBorder="1" applyAlignment="1">
      <alignment horizontal="center" vertical="center"/>
    </xf>
    <xf numFmtId="41" fontId="3" fillId="35" borderId="41" xfId="8" applyNumberFormat="1" applyBorder="1" applyAlignment="1">
      <alignment horizontal="center" vertical="center"/>
    </xf>
    <xf numFmtId="9" fontId="7" fillId="0" borderId="70" xfId="1" applyFont="1" applyBorder="1" applyAlignment="1">
      <alignment horizontal="center" vertical="center"/>
    </xf>
    <xf numFmtId="9" fontId="7" fillId="0" borderId="41" xfId="0" applyNumberFormat="1" applyFont="1" applyBorder="1" applyAlignment="1">
      <alignment horizontal="center" vertical="center"/>
    </xf>
    <xf numFmtId="41" fontId="7" fillId="0" borderId="70" xfId="2" applyFont="1" applyBorder="1" applyAlignment="1">
      <alignment horizontal="center" vertical="center"/>
    </xf>
    <xf numFmtId="41" fontId="7" fillId="0" borderId="41" xfId="2" applyFont="1" applyBorder="1" applyAlignment="1">
      <alignment horizontal="center" vertical="center"/>
    </xf>
    <xf numFmtId="41" fontId="13" fillId="0" borderId="70" xfId="2" applyFont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9" fontId="7" fillId="0" borderId="72" xfId="0" applyNumberFormat="1" applyFont="1" applyBorder="1" applyAlignment="1">
      <alignment horizontal="center" vertical="center"/>
    </xf>
    <xf numFmtId="9" fontId="7" fillId="0" borderId="71" xfId="0" applyNumberFormat="1" applyFont="1" applyBorder="1" applyAlignment="1">
      <alignment horizontal="center" vertical="center"/>
    </xf>
    <xf numFmtId="9" fontId="7" fillId="0" borderId="73" xfId="0" applyNumberFormat="1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9" fontId="13" fillId="0" borderId="70" xfId="1" applyFont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9" fontId="18" fillId="0" borderId="70" xfId="1" applyFont="1" applyBorder="1" applyAlignment="1">
      <alignment horizontal="center" vertical="center"/>
    </xf>
    <xf numFmtId="9" fontId="18" fillId="0" borderId="41" xfId="0" applyNumberFormat="1" applyFont="1" applyBorder="1" applyAlignment="1">
      <alignment horizontal="center" vertical="center"/>
    </xf>
    <xf numFmtId="9" fontId="18" fillId="0" borderId="70" xfId="0" applyNumberFormat="1" applyFont="1" applyBorder="1" applyAlignment="1">
      <alignment horizontal="center" vertical="center"/>
    </xf>
    <xf numFmtId="3" fontId="7" fillId="0" borderId="41" xfId="0" applyNumberFormat="1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9" fontId="7" fillId="0" borderId="74" xfId="0" applyNumberFormat="1" applyFont="1" applyBorder="1" applyAlignment="1">
      <alignment horizontal="center" vertical="center"/>
    </xf>
    <xf numFmtId="9" fontId="7" fillId="0" borderId="75" xfId="0" applyNumberFormat="1" applyFont="1" applyBorder="1" applyAlignment="1">
      <alignment horizontal="center" vertical="center"/>
    </xf>
    <xf numFmtId="9" fontId="7" fillId="0" borderId="75" xfId="1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41" fontId="7" fillId="0" borderId="75" xfId="2" applyFont="1" applyBorder="1" applyAlignment="1">
      <alignment horizontal="center" vertical="center"/>
    </xf>
    <xf numFmtId="41" fontId="13" fillId="0" borderId="70" xfId="1" applyNumberFormat="1" applyFont="1" applyBorder="1" applyAlignment="1">
      <alignment horizontal="center" vertical="center"/>
    </xf>
    <xf numFmtId="41" fontId="7" fillId="0" borderId="75" xfId="0" applyNumberFormat="1" applyFont="1" applyBorder="1" applyAlignment="1">
      <alignment horizontal="center" vertical="center"/>
    </xf>
    <xf numFmtId="41" fontId="13" fillId="0" borderId="75" xfId="0" applyNumberFormat="1" applyFont="1" applyBorder="1" applyAlignment="1">
      <alignment horizontal="center" vertical="center"/>
    </xf>
    <xf numFmtId="41" fontId="7" fillId="0" borderId="75" xfId="0" applyNumberFormat="1" applyFont="1" applyBorder="1" applyAlignment="1">
      <alignment vertical="center"/>
    </xf>
    <xf numFmtId="9" fontId="8" fillId="0" borderId="21" xfId="0" applyNumberFormat="1" applyFont="1" applyBorder="1" applyAlignment="1">
      <alignment horizontal="center" vertical="center"/>
    </xf>
    <xf numFmtId="9" fontId="7" fillId="0" borderId="75" xfId="1" applyFont="1" applyBorder="1" applyAlignment="1">
      <alignment vertical="center"/>
    </xf>
    <xf numFmtId="9" fontId="13" fillId="0" borderId="75" xfId="1" applyFont="1" applyBorder="1" applyAlignment="1">
      <alignment vertical="center"/>
    </xf>
    <xf numFmtId="9" fontId="34" fillId="28" borderId="41" xfId="6" applyNumberFormat="1" applyFont="1" applyBorder="1" applyAlignment="1">
      <alignment horizontal="center"/>
    </xf>
    <xf numFmtId="9" fontId="34" fillId="28" borderId="21" xfId="6" applyNumberFormat="1" applyFont="1" applyBorder="1" applyAlignment="1">
      <alignment horizontal="center"/>
    </xf>
    <xf numFmtId="9" fontId="34" fillId="28" borderId="70" xfId="6" applyNumberFormat="1" applyFont="1" applyBorder="1" applyAlignment="1">
      <alignment horizontal="center"/>
    </xf>
    <xf numFmtId="176" fontId="7" fillId="0" borderId="75" xfId="0" applyNumberFormat="1" applyFont="1" applyBorder="1" applyAlignment="1">
      <alignment horizontal="center" vertical="center"/>
    </xf>
    <xf numFmtId="178" fontId="7" fillId="0" borderId="21" xfId="0" applyNumberFormat="1" applyFont="1" applyBorder="1" applyAlignment="1">
      <alignment horizontal="center" vertical="center"/>
    </xf>
    <xf numFmtId="178" fontId="7" fillId="0" borderId="75" xfId="0" applyNumberFormat="1" applyFont="1" applyBorder="1" applyAlignment="1">
      <alignment horizontal="center" vertical="center"/>
    </xf>
    <xf numFmtId="178" fontId="7" fillId="0" borderId="41" xfId="0" applyNumberFormat="1" applyFont="1" applyBorder="1" applyAlignment="1">
      <alignment horizontal="center" vertical="center"/>
    </xf>
    <xf numFmtId="178" fontId="7" fillId="0" borderId="70" xfId="0" applyNumberFormat="1" applyFont="1" applyBorder="1" applyAlignment="1">
      <alignment horizontal="center" vertical="center"/>
    </xf>
    <xf numFmtId="176" fontId="13" fillId="0" borderId="21" xfId="0" applyNumberFormat="1" applyFont="1" applyBorder="1" applyAlignment="1">
      <alignment horizontal="center" vertical="center"/>
    </xf>
    <xf numFmtId="176" fontId="7" fillId="0" borderId="70" xfId="0" applyNumberFormat="1" applyFont="1" applyBorder="1" applyAlignment="1">
      <alignment horizontal="center" vertical="center"/>
    </xf>
    <xf numFmtId="176" fontId="13" fillId="0" borderId="75" xfId="0" applyNumberFormat="1" applyFont="1" applyBorder="1" applyAlignment="1">
      <alignment horizontal="center" vertical="center"/>
    </xf>
    <xf numFmtId="176" fontId="18" fillId="0" borderId="75" xfId="0" applyNumberFormat="1" applyFont="1" applyBorder="1" applyAlignment="1">
      <alignment horizontal="center" vertical="center"/>
    </xf>
    <xf numFmtId="41" fontId="13" fillId="0" borderId="21" xfId="2" applyFont="1" applyBorder="1" applyAlignment="1">
      <alignment horizontal="center" vertical="center"/>
    </xf>
    <xf numFmtId="41" fontId="18" fillId="0" borderId="75" xfId="2" applyFont="1" applyBorder="1" applyAlignment="1">
      <alignment horizontal="center" vertical="center"/>
    </xf>
    <xf numFmtId="41" fontId="30" fillId="28" borderId="30" xfId="2" applyFont="1" applyFill="1" applyBorder="1" applyAlignment="1">
      <alignment horizontal="center" vertical="center"/>
    </xf>
    <xf numFmtId="41" fontId="30" fillId="28" borderId="41" xfId="2" applyFont="1" applyFill="1" applyBorder="1" applyAlignment="1">
      <alignment horizontal="center" vertical="center"/>
    </xf>
    <xf numFmtId="41" fontId="30" fillId="28" borderId="70" xfId="2" applyFont="1" applyFill="1" applyBorder="1" applyAlignment="1">
      <alignment horizontal="center" vertical="center"/>
    </xf>
    <xf numFmtId="176" fontId="18" fillId="0" borderId="76" xfId="0" applyNumberFormat="1" applyFont="1" applyBorder="1" applyAlignment="1">
      <alignment horizontal="center" vertical="center"/>
    </xf>
    <xf numFmtId="176" fontId="30" fillId="28" borderId="41" xfId="6" applyNumberForma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0" fontId="7" fillId="23" borderId="72" xfId="0" applyFont="1" applyFill="1" applyBorder="1" applyAlignment="1">
      <alignment horizontal="center" vertical="center"/>
    </xf>
    <xf numFmtId="0" fontId="7" fillId="23" borderId="30" xfId="0" applyFont="1" applyFill="1" applyBorder="1" applyAlignment="1">
      <alignment horizontal="center" vertical="center"/>
    </xf>
    <xf numFmtId="0" fontId="7" fillId="23" borderId="71" xfId="0" applyFont="1" applyFill="1" applyBorder="1" applyAlignment="1">
      <alignment horizontal="center" vertical="center"/>
    </xf>
    <xf numFmtId="0" fontId="7" fillId="23" borderId="74" xfId="0" applyFont="1" applyFill="1" applyBorder="1" applyAlignment="1">
      <alignment horizontal="center" vertical="center"/>
    </xf>
    <xf numFmtId="41" fontId="7" fillId="23" borderId="30" xfId="2" applyFont="1" applyFill="1" applyBorder="1" applyAlignment="1">
      <alignment horizontal="center" vertical="center"/>
    </xf>
    <xf numFmtId="41" fontId="7" fillId="23" borderId="71" xfId="2" applyFont="1" applyFill="1" applyBorder="1" applyAlignment="1">
      <alignment horizontal="center" vertical="center"/>
    </xf>
    <xf numFmtId="9" fontId="7" fillId="23" borderId="30" xfId="0" applyNumberFormat="1" applyFont="1" applyFill="1" applyBorder="1" applyAlignment="1">
      <alignment horizontal="center" vertical="center"/>
    </xf>
    <xf numFmtId="9" fontId="7" fillId="23" borderId="71" xfId="0" applyNumberFormat="1" applyFont="1" applyFill="1" applyBorder="1" applyAlignment="1">
      <alignment horizontal="center" vertical="center"/>
    </xf>
    <xf numFmtId="41" fontId="0" fillId="23" borderId="30" xfId="2" applyFont="1" applyFill="1" applyBorder="1" applyAlignment="1">
      <alignment horizontal="center" vertical="center"/>
    </xf>
    <xf numFmtId="41" fontId="0" fillId="23" borderId="71" xfId="2" applyFont="1" applyFill="1" applyBorder="1" applyAlignment="1">
      <alignment horizontal="center" vertical="center"/>
    </xf>
    <xf numFmtId="9" fontId="30" fillId="28" borderId="41" xfId="6" applyNumberFormat="1" applyBorder="1" applyAlignment="1">
      <alignment horizontal="center" vertical="center"/>
    </xf>
    <xf numFmtId="0" fontId="9" fillId="37" borderId="30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76" fontId="7" fillId="0" borderId="37" xfId="0" applyNumberFormat="1" applyFont="1" applyBorder="1" applyAlignment="1">
      <alignment horizontal="center" vertical="center"/>
    </xf>
    <xf numFmtId="41" fontId="8" fillId="0" borderId="21" xfId="2" applyFont="1" applyBorder="1" applyAlignment="1">
      <alignment horizontal="center" vertical="center"/>
    </xf>
    <xf numFmtId="176" fontId="7" fillId="23" borderId="21" xfId="0" applyNumberFormat="1" applyFont="1" applyFill="1" applyBorder="1" applyAlignment="1">
      <alignment horizontal="center" vertical="center"/>
    </xf>
    <xf numFmtId="176" fontId="8" fillId="0" borderId="65" xfId="0" applyNumberFormat="1" applyFont="1" applyBorder="1" applyAlignment="1">
      <alignment vertical="center"/>
    </xf>
    <xf numFmtId="41" fontId="7" fillId="0" borderId="30" xfId="2" applyFont="1" applyBorder="1" applyAlignment="1">
      <alignment vertical="center"/>
    </xf>
    <xf numFmtId="41" fontId="7" fillId="0" borderId="37" xfId="2" applyFont="1" applyBorder="1" applyAlignment="1">
      <alignment horizontal="center" vertical="center"/>
    </xf>
    <xf numFmtId="41" fontId="7" fillId="0" borderId="37" xfId="2" applyFont="1" applyBorder="1" applyAlignment="1">
      <alignment vertical="center"/>
    </xf>
    <xf numFmtId="41" fontId="7" fillId="0" borderId="38" xfId="2" applyFont="1" applyBorder="1" applyAlignment="1">
      <alignment horizontal="center" vertical="center"/>
    </xf>
    <xf numFmtId="0" fontId="28" fillId="0" borderId="77" xfId="3" applyFont="1" applyFill="1" applyBorder="1" applyAlignment="1">
      <alignment horizontal="center" vertical="center"/>
    </xf>
    <xf numFmtId="9" fontId="0" fillId="14" borderId="41" xfId="1" applyFont="1" applyFill="1" applyBorder="1" applyAlignment="1">
      <alignment horizontal="center" vertical="center"/>
    </xf>
    <xf numFmtId="41" fontId="0" fillId="14" borderId="41" xfId="2" applyFont="1" applyFill="1" applyBorder="1" applyAlignment="1">
      <alignment horizontal="center" vertical="center"/>
    </xf>
    <xf numFmtId="0" fontId="7" fillId="23" borderId="78" xfId="0" applyFont="1" applyFill="1" applyBorder="1" applyAlignment="1">
      <alignment horizontal="center" vertical="center"/>
    </xf>
    <xf numFmtId="0" fontId="7" fillId="23" borderId="41" xfId="0" applyFont="1" applyFill="1" applyBorder="1" applyAlignment="1">
      <alignment horizontal="center" vertical="center"/>
    </xf>
    <xf numFmtId="41" fontId="0" fillId="23" borderId="41" xfId="2" applyFont="1" applyFill="1" applyBorder="1" applyAlignment="1">
      <alignment horizontal="center" vertical="center"/>
    </xf>
    <xf numFmtId="41" fontId="7" fillId="23" borderId="41" xfId="2" applyFont="1" applyFill="1" applyBorder="1" applyAlignment="1">
      <alignment horizontal="center" vertical="center"/>
    </xf>
    <xf numFmtId="9" fontId="7" fillId="23" borderId="41" xfId="0" applyNumberFormat="1" applyFont="1" applyFill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9" fontId="7" fillId="0" borderId="70" xfId="0" applyNumberFormat="1" applyFont="1" applyBorder="1" applyAlignment="1">
      <alignment horizontal="center" vertical="center"/>
    </xf>
    <xf numFmtId="0" fontId="4" fillId="29" borderId="66" xfId="7" applyBorder="1" applyAlignment="1">
      <alignment horizontal="center" vertical="center"/>
    </xf>
    <xf numFmtId="0" fontId="30" fillId="28" borderId="41" xfId="6" applyBorder="1" applyAlignment="1">
      <alignment horizontal="center" vertical="center"/>
    </xf>
    <xf numFmtId="176" fontId="7" fillId="25" borderId="41" xfId="0" applyNumberFormat="1" applyFont="1" applyFill="1" applyBorder="1" applyAlignment="1">
      <alignment horizontal="center" vertical="center"/>
    </xf>
    <xf numFmtId="10" fontId="7" fillId="0" borderId="41" xfId="1" applyNumberFormat="1" applyFont="1" applyFill="1" applyBorder="1" applyAlignment="1">
      <alignment horizontal="center" vertical="center"/>
    </xf>
    <xf numFmtId="0" fontId="10" fillId="36" borderId="54" xfId="0" applyFont="1" applyFill="1" applyBorder="1" applyAlignment="1">
      <alignment horizontal="center" vertical="center"/>
    </xf>
    <xf numFmtId="0" fontId="9" fillId="37" borderId="54" xfId="0" applyFont="1" applyFill="1" applyBorder="1" applyAlignment="1">
      <alignment horizontal="center" vertical="center"/>
    </xf>
    <xf numFmtId="176" fontId="8" fillId="0" borderId="76" xfId="0" applyNumberFormat="1" applyFont="1" applyBorder="1" applyAlignment="1">
      <alignment horizontal="center" vertical="center"/>
    </xf>
    <xf numFmtId="176" fontId="7" fillId="23" borderId="21" xfId="0" applyNumberFormat="1" applyFont="1" applyFill="1" applyBorder="1" applyAlignment="1">
      <alignment vertical="center"/>
    </xf>
    <xf numFmtId="10" fontId="7" fillId="23" borderId="21" xfId="1" applyNumberFormat="1" applyFont="1" applyFill="1" applyBorder="1" applyAlignment="1">
      <alignment horizontal="center" vertical="center"/>
    </xf>
    <xf numFmtId="0" fontId="7" fillId="23" borderId="21" xfId="0" applyFont="1" applyFill="1" applyBorder="1" applyAlignment="1">
      <alignment vertical="center"/>
    </xf>
    <xf numFmtId="9" fontId="7" fillId="0" borderId="21" xfId="1" applyFont="1" applyBorder="1" applyAlignment="1">
      <alignment horizontal="center" vertical="center"/>
    </xf>
    <xf numFmtId="181" fontId="7" fillId="0" borderId="0" xfId="0" applyNumberFormat="1" applyFont="1" applyAlignment="1">
      <alignment vertical="center"/>
    </xf>
    <xf numFmtId="0" fontId="0" fillId="14" borderId="30" xfId="0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176" fontId="7" fillId="10" borderId="19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7" fillId="8" borderId="19" xfId="0" applyFont="1" applyFill="1" applyBorder="1" applyAlignment="1">
      <alignment horizontal="center" vertical="center"/>
    </xf>
    <xf numFmtId="176" fontId="10" fillId="11" borderId="19" xfId="0" applyNumberFormat="1" applyFont="1" applyFill="1" applyBorder="1" applyAlignment="1">
      <alignment horizontal="center" vertical="center"/>
    </xf>
    <xf numFmtId="176" fontId="10" fillId="12" borderId="19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1" fontId="6" fillId="0" borderId="30" xfId="2" applyFont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vertical="center"/>
    </xf>
    <xf numFmtId="180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41" fontId="6" fillId="0" borderId="74" xfId="2" applyFont="1" applyBorder="1" applyAlignment="1">
      <alignment horizontal="center" vertical="center"/>
    </xf>
    <xf numFmtId="9" fontId="6" fillId="0" borderId="21" xfId="0" applyNumberFormat="1" applyFont="1" applyBorder="1" applyAlignment="1">
      <alignment horizontal="center" vertical="center"/>
    </xf>
    <xf numFmtId="176" fontId="6" fillId="0" borderId="21" xfId="0" applyNumberFormat="1" applyFont="1" applyBorder="1" applyAlignment="1">
      <alignment vertical="center"/>
    </xf>
    <xf numFmtId="0" fontId="40" fillId="39" borderId="26" xfId="0" applyFont="1" applyFill="1" applyBorder="1" applyAlignment="1">
      <alignment horizontal="center" vertical="center"/>
    </xf>
    <xf numFmtId="41" fontId="6" fillId="39" borderId="30" xfId="2" applyFont="1" applyFill="1" applyBorder="1" applyAlignment="1">
      <alignment horizontal="center" vertical="center"/>
    </xf>
    <xf numFmtId="0" fontId="17" fillId="39" borderId="21" xfId="0" applyFont="1" applyFill="1" applyBorder="1" applyAlignment="1">
      <alignment horizontal="center" vertical="center"/>
    </xf>
    <xf numFmtId="9" fontId="6" fillId="39" borderId="30" xfId="1" applyFont="1" applyFill="1" applyBorder="1" applyAlignment="1">
      <alignment horizontal="center" vertical="center"/>
    </xf>
    <xf numFmtId="9" fontId="6" fillId="39" borderId="21" xfId="0" applyNumberFormat="1" applyFont="1" applyFill="1" applyBorder="1" applyAlignment="1">
      <alignment horizontal="center" vertical="center"/>
    </xf>
    <xf numFmtId="0" fontId="6" fillId="39" borderId="21" xfId="0" applyFont="1" applyFill="1" applyBorder="1" applyAlignment="1">
      <alignment vertical="center"/>
    </xf>
    <xf numFmtId="0" fontId="6" fillId="30" borderId="30" xfId="0" applyFont="1" applyFill="1" applyBorder="1" applyAlignment="1">
      <alignment horizontal="center" vertical="center"/>
    </xf>
    <xf numFmtId="0" fontId="6" fillId="40" borderId="30" xfId="0" applyFont="1" applyFill="1" applyBorder="1" applyAlignment="1">
      <alignment horizontal="center" vertical="center"/>
    </xf>
    <xf numFmtId="0" fontId="17" fillId="39" borderId="30" xfId="0" applyFont="1" applyFill="1" applyBorder="1" applyAlignment="1">
      <alignment horizontal="center" vertical="center"/>
    </xf>
    <xf numFmtId="176" fontId="6" fillId="0" borderId="30" xfId="0" applyNumberFormat="1" applyFont="1" applyBorder="1" applyAlignment="1">
      <alignment vertical="center"/>
    </xf>
    <xf numFmtId="176" fontId="6" fillId="39" borderId="30" xfId="0" applyNumberFormat="1" applyFont="1" applyFill="1" applyBorder="1" applyAlignment="1">
      <alignment vertical="center"/>
    </xf>
    <xf numFmtId="0" fontId="6" fillId="0" borderId="30" xfId="0" applyFont="1" applyBorder="1" applyAlignment="1">
      <alignment vertical="center"/>
    </xf>
    <xf numFmtId="9" fontId="6" fillId="0" borderId="30" xfId="0" applyNumberFormat="1" applyFont="1" applyBorder="1" applyAlignment="1">
      <alignment vertical="center"/>
    </xf>
    <xf numFmtId="9" fontId="6" fillId="39" borderId="30" xfId="0" applyNumberFormat="1" applyFont="1" applyFill="1" applyBorder="1" applyAlignment="1">
      <alignment vertical="center"/>
    </xf>
    <xf numFmtId="176" fontId="6" fillId="0" borderId="38" xfId="0" applyNumberFormat="1" applyFont="1" applyBorder="1" applyAlignment="1">
      <alignment vertical="center"/>
    </xf>
    <xf numFmtId="176" fontId="6" fillId="39" borderId="38" xfId="0" applyNumberFormat="1" applyFont="1" applyFill="1" applyBorder="1" applyAlignment="1">
      <alignment vertical="center"/>
    </xf>
    <xf numFmtId="176" fontId="6" fillId="0" borderId="80" xfId="0" applyNumberFormat="1" applyFont="1" applyBorder="1" applyAlignment="1">
      <alignment vertical="center"/>
    </xf>
    <xf numFmtId="176" fontId="6" fillId="39" borderId="80" xfId="0" applyNumberFormat="1" applyFont="1" applyFill="1" applyBorder="1" applyAlignment="1">
      <alignment vertical="center"/>
    </xf>
    <xf numFmtId="9" fontId="6" fillId="0" borderId="38" xfId="0" applyNumberFormat="1" applyFont="1" applyBorder="1" applyAlignment="1">
      <alignment vertical="center"/>
    </xf>
    <xf numFmtId="9" fontId="6" fillId="39" borderId="38" xfId="0" applyNumberFormat="1" applyFont="1" applyFill="1" applyBorder="1" applyAlignment="1">
      <alignment vertical="center"/>
    </xf>
    <xf numFmtId="176" fontId="6" fillId="0" borderId="37" xfId="0" applyNumberFormat="1" applyFont="1" applyBorder="1" applyAlignment="1">
      <alignment vertical="center"/>
    </xf>
    <xf numFmtId="176" fontId="6" fillId="39" borderId="37" xfId="0" applyNumberFormat="1" applyFont="1" applyFill="1" applyBorder="1" applyAlignment="1">
      <alignment vertical="center"/>
    </xf>
    <xf numFmtId="0" fontId="39" fillId="0" borderId="21" xfId="0" applyFont="1" applyBorder="1" applyAlignment="1">
      <alignment horizontal="center" vertical="center"/>
    </xf>
    <xf numFmtId="176" fontId="6" fillId="0" borderId="74" xfId="0" applyNumberFormat="1" applyFont="1" applyBorder="1" applyAlignment="1">
      <alignment vertical="center"/>
    </xf>
    <xf numFmtId="9" fontId="6" fillId="0" borderId="74" xfId="0" applyNumberFormat="1" applyFont="1" applyBorder="1" applyAlignment="1">
      <alignment vertical="center"/>
    </xf>
    <xf numFmtId="176" fontId="6" fillId="0" borderId="84" xfId="0" applyNumberFormat="1" applyFont="1" applyBorder="1" applyAlignment="1">
      <alignment vertical="center"/>
    </xf>
    <xf numFmtId="176" fontId="6" fillId="0" borderId="68" xfId="0" applyNumberFormat="1" applyFont="1" applyBorder="1" applyAlignment="1">
      <alignment vertical="center"/>
    </xf>
    <xf numFmtId="9" fontId="6" fillId="0" borderId="68" xfId="0" applyNumberFormat="1" applyFont="1" applyBorder="1" applyAlignment="1">
      <alignment vertical="center"/>
    </xf>
    <xf numFmtId="176" fontId="6" fillId="0" borderId="85" xfId="0" applyNumberFormat="1" applyFont="1" applyBorder="1" applyAlignment="1">
      <alignment vertical="center"/>
    </xf>
    <xf numFmtId="176" fontId="6" fillId="39" borderId="87" xfId="0" applyNumberFormat="1" applyFont="1" applyFill="1" applyBorder="1" applyAlignment="1">
      <alignment vertical="center"/>
    </xf>
    <xf numFmtId="176" fontId="6" fillId="0" borderId="88" xfId="0" applyNumberFormat="1" applyFont="1" applyBorder="1" applyAlignment="1">
      <alignment vertical="center"/>
    </xf>
    <xf numFmtId="176" fontId="6" fillId="0" borderId="87" xfId="0" applyNumberFormat="1" applyFont="1" applyBorder="1" applyAlignment="1">
      <alignment vertical="center"/>
    </xf>
    <xf numFmtId="9" fontId="6" fillId="22" borderId="30" xfId="1" applyFont="1" applyFill="1" applyBorder="1" applyAlignment="1">
      <alignment horizontal="center" vertical="center"/>
    </xf>
    <xf numFmtId="41" fontId="6" fillId="39" borderId="41" xfId="2" applyFont="1" applyFill="1" applyBorder="1" applyAlignment="1">
      <alignment horizontal="center" vertical="center"/>
    </xf>
    <xf numFmtId="176" fontId="6" fillId="39" borderId="41" xfId="0" applyNumberFormat="1" applyFont="1" applyFill="1" applyBorder="1" applyAlignment="1">
      <alignment vertical="center"/>
    </xf>
    <xf numFmtId="9" fontId="6" fillId="39" borderId="41" xfId="0" applyNumberFormat="1" applyFont="1" applyFill="1" applyBorder="1" applyAlignment="1">
      <alignment vertical="center"/>
    </xf>
    <xf numFmtId="176" fontId="6" fillId="39" borderId="81" xfId="0" applyNumberFormat="1" applyFont="1" applyFill="1" applyBorder="1" applyAlignment="1">
      <alignment vertical="center"/>
    </xf>
    <xf numFmtId="176" fontId="6" fillId="39" borderId="82" xfId="0" applyNumberFormat="1" applyFont="1" applyFill="1" applyBorder="1" applyAlignment="1">
      <alignment vertical="center"/>
    </xf>
    <xf numFmtId="9" fontId="6" fillId="39" borderId="82" xfId="0" applyNumberFormat="1" applyFont="1" applyFill="1" applyBorder="1" applyAlignment="1">
      <alignment vertical="center"/>
    </xf>
    <xf numFmtId="176" fontId="6" fillId="39" borderId="83" xfId="0" applyNumberFormat="1" applyFont="1" applyFill="1" applyBorder="1" applyAlignment="1">
      <alignment vertical="center"/>
    </xf>
    <xf numFmtId="176" fontId="6" fillId="39" borderId="86" xfId="0" applyNumberFormat="1" applyFont="1" applyFill="1" applyBorder="1" applyAlignment="1">
      <alignment vertical="center"/>
    </xf>
    <xf numFmtId="0" fontId="17" fillId="0" borderId="21" xfId="0" applyFont="1" applyFill="1" applyBorder="1" applyAlignment="1">
      <alignment horizontal="center" vertical="center"/>
    </xf>
    <xf numFmtId="0" fontId="40" fillId="0" borderId="21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41" fontId="6" fillId="0" borderId="21" xfId="2" applyFont="1" applyFill="1" applyBorder="1" applyAlignment="1">
      <alignment horizontal="center" vertical="center"/>
    </xf>
    <xf numFmtId="9" fontId="6" fillId="0" borderId="21" xfId="1" applyFont="1" applyFill="1" applyBorder="1" applyAlignment="1">
      <alignment horizontal="center" vertical="center"/>
    </xf>
    <xf numFmtId="9" fontId="6" fillId="0" borderId="21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vertical="center"/>
    </xf>
    <xf numFmtId="0" fontId="6" fillId="40" borderId="41" xfId="0" applyFont="1" applyFill="1" applyBorder="1" applyAlignment="1">
      <alignment horizontal="center" vertical="center"/>
    </xf>
    <xf numFmtId="0" fontId="17" fillId="39" borderId="41" xfId="0" applyFont="1" applyFill="1" applyBorder="1" applyAlignment="1">
      <alignment horizontal="center" vertical="center"/>
    </xf>
    <xf numFmtId="9" fontId="6" fillId="39" borderId="41" xfId="1" applyFont="1" applyFill="1" applyBorder="1" applyAlignment="1">
      <alignment horizontal="center" vertical="center"/>
    </xf>
    <xf numFmtId="9" fontId="6" fillId="0" borderId="21" xfId="0" applyNumberFormat="1" applyFont="1" applyBorder="1" applyAlignment="1">
      <alignment vertical="center"/>
    </xf>
    <xf numFmtId="0" fontId="41" fillId="0" borderId="21" xfId="0" applyFont="1" applyBorder="1" applyAlignment="1">
      <alignment vertical="center"/>
    </xf>
    <xf numFmtId="0" fontId="10" fillId="36" borderId="74" xfId="0" applyFont="1" applyFill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89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176" fontId="6" fillId="0" borderId="21" xfId="0" applyNumberFormat="1" applyFont="1" applyFill="1" applyBorder="1" applyAlignment="1">
      <alignment vertical="center"/>
    </xf>
    <xf numFmtId="9" fontId="6" fillId="0" borderId="21" xfId="0" applyNumberFormat="1" applyFont="1" applyFill="1" applyBorder="1" applyAlignment="1">
      <alignment vertical="center"/>
    </xf>
    <xf numFmtId="0" fontId="41" fillId="0" borderId="21" xfId="0" applyFont="1" applyFill="1" applyBorder="1" applyAlignment="1">
      <alignment vertical="center"/>
    </xf>
    <xf numFmtId="41" fontId="19" fillId="0" borderId="74" xfId="2" applyFont="1" applyBorder="1" applyAlignment="1">
      <alignment horizontal="center" vertical="center"/>
    </xf>
    <xf numFmtId="176" fontId="19" fillId="0" borderId="74" xfId="0" applyNumberFormat="1" applyFont="1" applyBorder="1" applyAlignment="1">
      <alignment vertical="center"/>
    </xf>
    <xf numFmtId="9" fontId="19" fillId="0" borderId="74" xfId="0" applyNumberFormat="1" applyFont="1" applyBorder="1" applyAlignment="1">
      <alignment vertical="center"/>
    </xf>
    <xf numFmtId="176" fontId="19" fillId="0" borderId="84" xfId="0" applyNumberFormat="1" applyFont="1" applyBorder="1" applyAlignment="1">
      <alignment vertical="center"/>
    </xf>
    <xf numFmtId="176" fontId="19" fillId="0" borderId="68" xfId="0" applyNumberFormat="1" applyFont="1" applyBorder="1" applyAlignment="1">
      <alignment vertical="center"/>
    </xf>
    <xf numFmtId="9" fontId="19" fillId="0" borderId="68" xfId="0" applyNumberFormat="1" applyFont="1" applyBorder="1" applyAlignment="1">
      <alignment vertical="center"/>
    </xf>
    <xf numFmtId="176" fontId="19" fillId="0" borderId="85" xfId="0" applyNumberFormat="1" applyFont="1" applyBorder="1" applyAlignment="1">
      <alignment vertical="center"/>
    </xf>
    <xf numFmtId="176" fontId="19" fillId="0" borderId="88" xfId="0" applyNumberFormat="1" applyFont="1" applyBorder="1" applyAlignment="1">
      <alignment vertical="center"/>
    </xf>
    <xf numFmtId="0" fontId="17" fillId="0" borderId="30" xfId="0" applyFont="1" applyBorder="1" applyAlignment="1">
      <alignment horizontal="center" vertical="center"/>
    </xf>
    <xf numFmtId="0" fontId="6" fillId="41" borderId="30" xfId="0" applyFont="1" applyFill="1" applyBorder="1" applyAlignment="1">
      <alignment horizontal="center" vertical="center"/>
    </xf>
    <xf numFmtId="9" fontId="6" fillId="22" borderId="30" xfId="0" applyNumberFormat="1" applyFont="1" applyFill="1" applyBorder="1" applyAlignment="1">
      <alignment horizontal="center" vertical="center"/>
    </xf>
    <xf numFmtId="0" fontId="30" fillId="28" borderId="23" xfId="6" applyBorder="1" applyAlignment="1">
      <alignment vertical="center"/>
    </xf>
  </cellXfs>
  <cellStyles count="10">
    <cellStyle name="20% - 강조색2" xfId="7" builtinId="34"/>
    <cellStyle name="20% - 강조색4" xfId="8" builtinId="42"/>
    <cellStyle name="20% - 강조색5" xfId="5" builtinId="46"/>
    <cellStyle name="40% - 강조색2" xfId="4" builtinId="35"/>
    <cellStyle name="메모" xfId="3" builtinId="10"/>
    <cellStyle name="백분율" xfId="1" builtinId="5"/>
    <cellStyle name="보통" xfId="9" builtinId="28"/>
    <cellStyle name="쉼표 [0]" xfId="2" builtinId="6"/>
    <cellStyle name="좋음" xfId="6" builtinId="26"/>
    <cellStyle name="표준" xfId="0" builtinId="0"/>
  </cellStyles>
  <dxfs count="10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&#44277;&#50857;%20&#46300;&#46972;&#51060;&#48652;\1C%20&#51060;&#52292;&#54805;\&#9632;%5b&#47532;&#52824;%5d&#45824;&#50808;&#48708;\3&#45800;&#44228;&#54532;&#47196;&#44536;&#47016;with&#51109;&#50896;\&#48512;&#46041;&#49328;&#49828;&#53552;&#46356;&#52852;&#54168;.xlsx" TargetMode="External"/><Relationship Id="rId1" Type="http://schemas.openxmlformats.org/officeDocument/2006/relationships/externalLinkPath" Target="/&#44277;&#50857;%20&#46300;&#46972;&#51060;&#48652;/1C%20&#51060;&#52292;&#54805;/&#9632;%5b&#47532;&#52824;%5d&#45824;&#50808;&#48708;/3&#45800;&#44228;&#54532;&#47196;&#44536;&#47016;with&#51109;&#50896;/&#48512;&#46041;&#49328;&#49828;&#53552;&#46356;&#52852;&#541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요약"/>
      <sheetName val="기초"/>
      <sheetName val="공동보유"/>
      <sheetName val="단독보유"/>
      <sheetName val="취득"/>
      <sheetName val="증여"/>
      <sheetName val="양도"/>
      <sheetName val="부담부증여"/>
      <sheetName val="저가양수도"/>
      <sheetName val="상속"/>
      <sheetName val="t"/>
    </sheetNames>
    <sheetDataSet>
      <sheetData sheetId="0"/>
      <sheetData sheetId="1">
        <row r="5">
          <cell r="A5" t="str">
            <v>재산구분</v>
          </cell>
          <cell r="C5" t="str">
            <v>주택1</v>
          </cell>
          <cell r="D5" t="str">
            <v>주택2</v>
          </cell>
          <cell r="E5" t="str">
            <v>주택3</v>
          </cell>
          <cell r="F5" t="str">
            <v>주택4</v>
          </cell>
          <cell r="G5" t="str">
            <v>건축물</v>
          </cell>
          <cell r="H5" t="str">
            <v>토지1</v>
          </cell>
          <cell r="I5" t="str">
            <v>토지2</v>
          </cell>
        </row>
        <row r="6">
          <cell r="A6" t="str">
            <v>주택면적</v>
          </cell>
          <cell r="C6" t="str">
            <v>국평</v>
          </cell>
          <cell r="D6" t="str">
            <v>국평</v>
          </cell>
          <cell r="E6" t="str">
            <v>국평</v>
          </cell>
          <cell r="F6" t="str">
            <v>국평</v>
          </cell>
          <cell r="H6"/>
          <cell r="I6"/>
        </row>
        <row r="7">
          <cell r="A7" t="str">
            <v>지역</v>
          </cell>
          <cell r="C7" t="str">
            <v>조정대상지역</v>
          </cell>
          <cell r="D7" t="str">
            <v>조정대상지역</v>
          </cell>
          <cell r="E7" t="str">
            <v>일반지역</v>
          </cell>
          <cell r="F7" t="str">
            <v>일반지역</v>
          </cell>
          <cell r="I7"/>
        </row>
        <row r="8">
          <cell r="A8" t="str">
            <v>주소</v>
          </cell>
          <cell r="C8" t="str">
            <v>서현동</v>
          </cell>
          <cell r="D8" t="str">
            <v>잠원동</v>
          </cell>
          <cell r="E8"/>
          <cell r="F8"/>
          <cell r="G8"/>
          <cell r="H8"/>
          <cell r="I8"/>
        </row>
        <row r="9">
          <cell r="A9" t="str">
            <v>감정평가</v>
          </cell>
          <cell r="C9"/>
          <cell r="D9"/>
          <cell r="E9"/>
          <cell r="F9"/>
          <cell r="G9"/>
          <cell r="H9"/>
          <cell r="I9"/>
        </row>
        <row r="10">
          <cell r="A10" t="str">
            <v>보충적평가액</v>
          </cell>
          <cell r="C10"/>
          <cell r="D10"/>
          <cell r="E10"/>
          <cell r="F10"/>
          <cell r="G10"/>
          <cell r="H10"/>
          <cell r="I10"/>
        </row>
        <row r="11">
          <cell r="A11" t="str">
            <v>채무액</v>
          </cell>
          <cell r="C11"/>
          <cell r="D11"/>
          <cell r="E11"/>
          <cell r="F11"/>
          <cell r="G11"/>
          <cell r="H11"/>
          <cell r="I11"/>
        </row>
        <row r="12">
          <cell r="A12" t="str">
            <v>시가표준액</v>
          </cell>
          <cell r="C12">
            <v>580000000</v>
          </cell>
          <cell r="D12">
            <v>2067000000</v>
          </cell>
          <cell r="E12"/>
          <cell r="F12"/>
          <cell r="G12"/>
          <cell r="H12"/>
          <cell r="I12"/>
        </row>
        <row r="13">
          <cell r="A13" t="str">
            <v>취득가액</v>
          </cell>
          <cell r="C13"/>
          <cell r="D13"/>
          <cell r="E13"/>
          <cell r="F13"/>
          <cell r="G13"/>
          <cell r="H13"/>
          <cell r="I13"/>
        </row>
        <row r="14">
          <cell r="A14" t="str">
            <v>보유기간</v>
          </cell>
          <cell r="C14">
            <v>0</v>
          </cell>
          <cell r="D14">
            <v>4</v>
          </cell>
          <cell r="E14"/>
          <cell r="F14"/>
          <cell r="G14"/>
          <cell r="H14"/>
          <cell r="I14"/>
        </row>
        <row r="15">
          <cell r="A15" t="str">
            <v>거주기간</v>
          </cell>
          <cell r="C15">
            <v>0</v>
          </cell>
          <cell r="D15">
            <v>4</v>
          </cell>
          <cell r="E15"/>
          <cell r="F15"/>
          <cell r="G15"/>
          <cell r="H15"/>
          <cell r="I15"/>
        </row>
        <row r="16">
          <cell r="A16" t="str">
            <v>보유지분</v>
          </cell>
          <cell r="C16">
            <v>1</v>
          </cell>
          <cell r="D16">
            <v>1</v>
          </cell>
          <cell r="E16"/>
          <cell r="F16"/>
          <cell r="G16"/>
          <cell r="H16"/>
          <cell r="I1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workbookViewId="0">
      <selection activeCell="K20" sqref="K20"/>
    </sheetView>
    <sheetView workbookViewId="1">
      <selection activeCell="B12" sqref="B12"/>
    </sheetView>
  </sheetViews>
  <sheetFormatPr defaultColWidth="14.42578125" defaultRowHeight="15" customHeight="1"/>
  <cols>
    <col min="1" max="1" width="18.5703125" style="111" customWidth="1"/>
    <col min="2" max="2" width="16.85546875" style="111" bestFit="1" customWidth="1"/>
    <col min="3" max="3" width="15.42578125" style="111" bestFit="1" customWidth="1"/>
    <col min="4" max="4" width="17.85546875" style="111" bestFit="1" customWidth="1"/>
    <col min="5" max="5" width="15.42578125" style="111" bestFit="1" customWidth="1"/>
    <col min="6" max="6" width="16.85546875" style="111" bestFit="1" customWidth="1"/>
    <col min="7" max="8" width="15.140625" style="111" bestFit="1" customWidth="1"/>
    <col min="10" max="10" width="37.5703125" style="111" bestFit="1" customWidth="1"/>
    <col min="11" max="13" width="12.5703125" style="111" bestFit="1" customWidth="1"/>
    <col min="14" max="14" width="15.42578125" style="111" bestFit="1" customWidth="1"/>
    <col min="15" max="15" width="13.7109375" style="111" bestFit="1" customWidth="1"/>
  </cols>
  <sheetData>
    <row r="1" spans="1:17" ht="15" customHeight="1">
      <c r="A1" s="274"/>
      <c r="F1" s="274"/>
      <c r="G1" s="274"/>
      <c r="I1" s="173"/>
      <c r="J1" s="274"/>
      <c r="Q1" s="173"/>
    </row>
    <row r="2" spans="1:17" ht="15" customHeight="1">
      <c r="B2" s="273" t="s">
        <v>8</v>
      </c>
      <c r="C2" s="103" t="s">
        <v>9</v>
      </c>
      <c r="D2" s="103" t="s">
        <v>11</v>
      </c>
      <c r="E2" s="103" t="s">
        <v>12</v>
      </c>
      <c r="F2" s="130" t="s">
        <v>276</v>
      </c>
      <c r="G2" s="130" t="s">
        <v>255</v>
      </c>
      <c r="H2" s="130" t="s">
        <v>277</v>
      </c>
      <c r="I2" s="100"/>
      <c r="J2" s="274" t="s">
        <v>198</v>
      </c>
      <c r="K2" s="111" t="str">
        <f>공동보유!B4</f>
        <v>3주택</v>
      </c>
      <c r="Q2" s="100"/>
    </row>
    <row r="3" spans="1:17" ht="15" customHeight="1">
      <c r="A3" s="246" t="s">
        <v>35</v>
      </c>
      <c r="B3" s="197" t="str">
        <f>HLOOKUP(B$2,기초!$C$5:$I$16,MATCH($A3,기초!$A$5:$A$16,0),0)</f>
        <v>서현동</v>
      </c>
      <c r="C3" s="197" t="str">
        <f>HLOOKUP(C$2,기초!$C$5:$I$16,MATCH($A3,기초!$A$5:$A$16,0),0)</f>
        <v>잠원동</v>
      </c>
      <c r="D3" s="197" t="str">
        <f>HLOOKUP(D$2,기초!$C$5:$I$16,MATCH($A3,기초!$A$5:$A$16,0),0)</f>
        <v>수유동</v>
      </c>
      <c r="E3" s="197" t="str">
        <f>HLOOKUP(E$2,기초!$C$5:$I$16,MATCH($A3,기초!$A$5:$A$16,0),0)</f>
        <v>장위동</v>
      </c>
      <c r="F3" s="197">
        <f>HLOOKUP(F$2,기초!$C$5:$I$16,MATCH($A3,기초!$A$5:$A$16,0),0)</f>
        <v>0</v>
      </c>
      <c r="G3" s="197">
        <f>HLOOKUP(G$2,기초!$C$5:$I$16,MATCH($A3,기초!$A$5:$A$16,0),0)</f>
        <v>0</v>
      </c>
      <c r="H3" s="197">
        <f>HLOOKUP(H$2,기초!$C$5:$I$16,MATCH($A3,기초!$A$5:$A$16,0),0)</f>
        <v>0</v>
      </c>
      <c r="I3" s="114"/>
      <c r="J3" s="290" t="s">
        <v>197</v>
      </c>
      <c r="K3" s="313" t="s">
        <v>285</v>
      </c>
      <c r="L3" s="299" t="s">
        <v>286</v>
      </c>
      <c r="M3" s="299" t="s">
        <v>287</v>
      </c>
      <c r="N3" s="299" t="s">
        <v>288</v>
      </c>
      <c r="O3" s="299" t="s">
        <v>289</v>
      </c>
      <c r="Q3" s="114"/>
    </row>
    <row r="4" spans="1:17" ht="15" customHeight="1">
      <c r="A4" s="247" t="s">
        <v>227</v>
      </c>
      <c r="B4" s="197">
        <f>HLOOKUP(B$2,기초!$C$5:$I$16,MATCH($A4,기초!$A$5:$A$16,0),0)</f>
        <v>4000000000</v>
      </c>
      <c r="C4" s="197">
        <f>HLOOKUP(C$2,기초!$C$5:$I$16,MATCH($A4,기초!$A$5:$A$16,0),0)</f>
        <v>1300000000</v>
      </c>
      <c r="D4" s="197">
        <f>HLOOKUP(D$2,기초!$C$5:$I$16,MATCH($A4,기초!$A$5:$A$16,0),0)</f>
        <v>2000000000</v>
      </c>
      <c r="E4" s="197">
        <f>HLOOKUP(E$2,기초!$C$5:$I$16,MATCH($A4,기초!$A$5:$A$16,0),0)</f>
        <v>2500000000</v>
      </c>
      <c r="F4" s="197">
        <f>HLOOKUP(F$2,기초!$C$5:$I$16,MATCH($A4,기초!$A$5:$A$16,0),0)</f>
        <v>0</v>
      </c>
      <c r="G4" s="197">
        <f>HLOOKUP(G$2,기초!$C$5:$I$16,MATCH($A4,기초!$A$5:$A$16,0),0)</f>
        <v>0</v>
      </c>
      <c r="H4" s="197">
        <f>HLOOKUP(H$2,기초!$C$5:$I$16,MATCH($A4,기초!$A$5:$A$16,0),0)</f>
        <v>0</v>
      </c>
      <c r="J4" s="290" t="s">
        <v>180</v>
      </c>
      <c r="K4" s="300"/>
      <c r="L4" s="300"/>
      <c r="M4" s="300"/>
      <c r="N4" s="300"/>
      <c r="O4" s="300"/>
    </row>
    <row r="5" spans="1:17" ht="15" customHeight="1" thickBot="1">
      <c r="A5" s="247" t="s">
        <v>228</v>
      </c>
      <c r="B5" s="197">
        <f>HLOOKUP(B$2,기초!$C$5:$I$16,MATCH($A5,기초!$A$5:$A$16,0),0)</f>
        <v>1000000000</v>
      </c>
      <c r="C5" s="197">
        <f>HLOOKUP(C$2,기초!$C$5:$I$16,MATCH($A5,기초!$A$5:$A$16,0),0)</f>
        <v>700000000</v>
      </c>
      <c r="D5" s="197">
        <f>HLOOKUP(D$2,기초!$C$5:$I$16,MATCH($A5,기초!$A$5:$A$16,0),0)</f>
        <v>1500000000</v>
      </c>
      <c r="E5" s="197">
        <f>HLOOKUP(E$2,기초!$C$5:$I$16,MATCH($A5,기초!$A$5:$A$16,0),0)</f>
        <v>2000000000</v>
      </c>
      <c r="F5" s="197">
        <f>HLOOKUP(F$2,기초!$C$5:$I$16,MATCH($A5,기초!$A$5:$A$16,0),0)</f>
        <v>0</v>
      </c>
      <c r="G5" s="197">
        <f>HLOOKUP(G$2,기초!$C$5:$I$16,MATCH($A5,기초!$A$5:$A$16,0),0)</f>
        <v>0</v>
      </c>
      <c r="H5" s="197">
        <f>HLOOKUP(H$2,기초!$C$5:$I$16,MATCH($A5,기초!$A$5:$A$16,0),0)</f>
        <v>0</v>
      </c>
      <c r="J5" s="291" t="s">
        <v>195</v>
      </c>
      <c r="K5" s="302"/>
      <c r="L5" s="302"/>
      <c r="M5" s="302"/>
      <c r="N5" s="302"/>
      <c r="O5" s="302"/>
    </row>
    <row r="6" spans="1:17" ht="15" customHeight="1" thickTop="1">
      <c r="A6" s="247" t="s">
        <v>191</v>
      </c>
      <c r="J6" s="274" t="s">
        <v>196</v>
      </c>
      <c r="K6" s="304">
        <f>SUM(K4:K5)</f>
        <v>0</v>
      </c>
      <c r="L6" s="304">
        <f t="shared" ref="L6:O6" si="0">SUM(L4:L5)</f>
        <v>0</v>
      </c>
      <c r="M6" s="304">
        <f t="shared" si="0"/>
        <v>0</v>
      </c>
      <c r="N6" s="304">
        <f t="shared" si="0"/>
        <v>0</v>
      </c>
      <c r="O6" s="304">
        <f t="shared" si="0"/>
        <v>0</v>
      </c>
    </row>
    <row r="8" spans="1:17" ht="15" customHeight="1">
      <c r="A8" s="274" t="s">
        <v>179</v>
      </c>
      <c r="J8" s="274" t="s">
        <v>199</v>
      </c>
      <c r="K8" s="313" t="s">
        <v>285</v>
      </c>
      <c r="L8" s="307" t="s">
        <v>286</v>
      </c>
      <c r="M8" s="307" t="s">
        <v>287</v>
      </c>
      <c r="N8" s="307" t="s">
        <v>288</v>
      </c>
      <c r="O8" s="307" t="s">
        <v>289</v>
      </c>
    </row>
    <row r="9" spans="1:17" ht="15" customHeight="1">
      <c r="A9" s="274" t="s">
        <v>280</v>
      </c>
      <c r="B9" s="294">
        <f>양도!G25</f>
        <v>155165999.99999997</v>
      </c>
      <c r="J9" s="290" t="s">
        <v>180</v>
      </c>
      <c r="K9" s="300"/>
      <c r="L9" s="301"/>
      <c r="M9" s="301"/>
      <c r="N9" s="301"/>
      <c r="O9" s="301"/>
    </row>
    <row r="10" spans="1:17" ht="15" customHeight="1" thickBot="1">
      <c r="A10" s="274" t="s">
        <v>182</v>
      </c>
      <c r="B10" s="294">
        <f>양도!M25</f>
        <v>155165999.99999997</v>
      </c>
      <c r="C10" s="293"/>
      <c r="J10" s="291" t="s">
        <v>195</v>
      </c>
      <c r="K10" s="302"/>
      <c r="L10" s="303"/>
      <c r="M10" s="303"/>
      <c r="N10" s="303"/>
      <c r="O10" s="303"/>
    </row>
    <row r="11" spans="1:17" ht="15" customHeight="1" thickTop="1">
      <c r="A11" s="274" t="s">
        <v>183</v>
      </c>
      <c r="B11" s="294">
        <f>양도!S25</f>
        <v>155166000</v>
      </c>
      <c r="J11" s="274" t="s">
        <v>196</v>
      </c>
      <c r="K11" s="304">
        <f>SUM(K9:K10)</f>
        <v>0</v>
      </c>
      <c r="L11" s="305">
        <f t="shared" ref="L11" si="1">SUM(L9:L10)</f>
        <v>0</v>
      </c>
      <c r="M11" s="305">
        <f t="shared" ref="M11" si="2">SUM(M9:M10)</f>
        <v>0</v>
      </c>
      <c r="N11" s="305">
        <f t="shared" ref="N11" si="3">SUM(N9:N10)</f>
        <v>0</v>
      </c>
      <c r="O11" s="305">
        <f t="shared" ref="O11" si="4">SUM(O9:O10)</f>
        <v>0</v>
      </c>
    </row>
    <row r="12" spans="1:17" ht="15" customHeight="1">
      <c r="A12" s="274" t="s">
        <v>184</v>
      </c>
      <c r="B12" s="294">
        <f>양도!A25</f>
        <v>155165999.99999997</v>
      </c>
    </row>
    <row r="13" spans="1:17" ht="15" customHeight="1">
      <c r="A13" s="274" t="s">
        <v>185</v>
      </c>
      <c r="B13" s="294">
        <f>양도!C25</f>
        <v>2070678500</v>
      </c>
      <c r="J13" s="274" t="s">
        <v>200</v>
      </c>
      <c r="K13" s="313" t="s">
        <v>285</v>
      </c>
      <c r="L13" s="306" t="s">
        <v>286</v>
      </c>
      <c r="M13" s="307" t="s">
        <v>287</v>
      </c>
      <c r="N13" s="307" t="s">
        <v>288</v>
      </c>
      <c r="O13" s="307" t="s">
        <v>289</v>
      </c>
    </row>
    <row r="14" spans="1:17" ht="15" customHeight="1">
      <c r="A14" s="274" t="s">
        <v>186</v>
      </c>
      <c r="B14" s="294">
        <f>양도!D25</f>
        <v>2400403500</v>
      </c>
      <c r="J14" s="290" t="s">
        <v>180</v>
      </c>
      <c r="K14" s="300"/>
      <c r="L14" s="300"/>
      <c r="M14" s="301"/>
      <c r="N14" s="301"/>
      <c r="O14" s="301"/>
    </row>
    <row r="15" spans="1:17" ht="15" customHeight="1" thickBot="1">
      <c r="A15" s="274"/>
      <c r="J15" s="291" t="s">
        <v>195</v>
      </c>
      <c r="K15" s="302"/>
      <c r="L15" s="302"/>
      <c r="M15" s="303"/>
      <c r="N15" s="303"/>
      <c r="O15" s="303"/>
    </row>
    <row r="16" spans="1:17" ht="15" customHeight="1" thickTop="1">
      <c r="A16" s="274" t="s">
        <v>190</v>
      </c>
      <c r="J16" s="274" t="s">
        <v>196</v>
      </c>
      <c r="K16" s="304">
        <f t="shared" ref="K14:L16" si="5">K6</f>
        <v>0</v>
      </c>
      <c r="L16" s="304">
        <f t="shared" si="5"/>
        <v>0</v>
      </c>
      <c r="M16" s="305">
        <f t="shared" ref="M16" si="6">SUM(M14:M15)</f>
        <v>0</v>
      </c>
      <c r="N16" s="305">
        <f t="shared" ref="N16" si="7">SUM(N14:N15)</f>
        <v>0</v>
      </c>
      <c r="O16" s="305">
        <f t="shared" ref="O16" si="8">SUM(O14:O15)</f>
        <v>0</v>
      </c>
    </row>
    <row r="17" spans="1:15" ht="15" customHeight="1">
      <c r="A17" s="274" t="s">
        <v>181</v>
      </c>
      <c r="B17" s="295"/>
    </row>
    <row r="18" spans="1:15" ht="15" customHeight="1">
      <c r="A18" s="274" t="s">
        <v>182</v>
      </c>
      <c r="B18" s="295"/>
      <c r="J18" s="274" t="s">
        <v>201</v>
      </c>
      <c r="K18" s="314" t="s">
        <v>285</v>
      </c>
      <c r="L18" s="308" t="s">
        <v>286</v>
      </c>
      <c r="M18" s="308" t="s">
        <v>287</v>
      </c>
      <c r="N18" s="308" t="s">
        <v>288</v>
      </c>
      <c r="O18" s="308" t="s">
        <v>289</v>
      </c>
    </row>
    <row r="19" spans="1:15" ht="15" customHeight="1">
      <c r="A19" s="274" t="s">
        <v>183</v>
      </c>
      <c r="B19" s="295"/>
      <c r="J19" s="290" t="s">
        <v>180</v>
      </c>
      <c r="K19" s="173"/>
      <c r="L19" s="309"/>
      <c r="M19" s="309"/>
      <c r="N19" s="309"/>
      <c r="O19" s="309"/>
    </row>
    <row r="20" spans="1:15" ht="15" customHeight="1" thickBot="1">
      <c r="A20" s="274" t="s">
        <v>184</v>
      </c>
      <c r="B20" s="295"/>
      <c r="J20" s="291" t="s">
        <v>195</v>
      </c>
      <c r="K20" s="310"/>
      <c r="L20" s="311"/>
      <c r="M20" s="311"/>
      <c r="N20" s="311"/>
      <c r="O20" s="311"/>
    </row>
    <row r="21" spans="1:15" ht="15" customHeight="1" thickTop="1">
      <c r="A21" s="274" t="s">
        <v>185</v>
      </c>
      <c r="B21" s="295"/>
      <c r="J21" s="274" t="s">
        <v>196</v>
      </c>
      <c r="L21" s="312">
        <f t="shared" ref="L21" si="9">SUM(L19:L20)</f>
        <v>0</v>
      </c>
      <c r="M21" s="312">
        <f t="shared" ref="M21" si="10">SUM(M19:M20)</f>
        <v>0</v>
      </c>
      <c r="N21" s="312">
        <f t="shared" ref="N21" si="11">SUM(N19:N20)</f>
        <v>0</v>
      </c>
      <c r="O21" s="312">
        <f t="shared" ref="O21" si="12">SUM(O19:O20)</f>
        <v>0</v>
      </c>
    </row>
    <row r="22" spans="1:15" ht="15" customHeight="1">
      <c r="A22" s="274" t="s">
        <v>186</v>
      </c>
      <c r="B22" s="295"/>
      <c r="J22" s="274"/>
    </row>
    <row r="23" spans="1:15" ht="15" customHeight="1">
      <c r="A23" s="274" t="s">
        <v>192</v>
      </c>
      <c r="B23" s="289">
        <f ca="1">저가양수도!C20</f>
        <v>3401000000</v>
      </c>
    </row>
    <row r="24" spans="1:15" ht="15" customHeight="1" thickBot="1">
      <c r="A24" s="291" t="s">
        <v>193</v>
      </c>
      <c r="B24" s="296">
        <f ca="1">저가양수도!C41</f>
        <v>132000000</v>
      </c>
    </row>
    <row r="25" spans="1:15" ht="15" customHeight="1" thickTop="1">
      <c r="A25" s="247" t="s">
        <v>283</v>
      </c>
      <c r="B25" s="293">
        <f ca="1">SUM(B23:B24)</f>
        <v>3533000000</v>
      </c>
    </row>
    <row r="26" spans="1:15" ht="15" customHeight="1">
      <c r="M26" s="331"/>
    </row>
    <row r="27" spans="1:15" ht="15" customHeight="1">
      <c r="A27" s="274" t="s">
        <v>194</v>
      </c>
      <c r="B27" s="3" t="str">
        <f>증여!B4</f>
        <v>홍상수</v>
      </c>
    </row>
    <row r="28" spans="1:15" ht="15" customHeight="1">
      <c r="A28" s="290" t="s">
        <v>187</v>
      </c>
      <c r="B28" s="135">
        <f ca="1">증여!B22</f>
        <v>1515000000</v>
      </c>
    </row>
    <row r="29" spans="1:15" ht="15" customHeight="1" thickBot="1">
      <c r="A29" s="291" t="s">
        <v>188</v>
      </c>
      <c r="B29" s="292">
        <f ca="1">증여!B26</f>
        <v>187860000</v>
      </c>
    </row>
    <row r="30" spans="1:15" ht="15" customHeight="1" thickTop="1">
      <c r="A30" s="274" t="s">
        <v>189</v>
      </c>
      <c r="B30" s="289">
        <f ca="1">SUM(B28:B29)</f>
        <v>1702860000</v>
      </c>
    </row>
    <row r="33" spans="1:2" ht="15" customHeight="1">
      <c r="A33" s="247" t="s">
        <v>234</v>
      </c>
      <c r="B33" s="289">
        <f>상속!B3</f>
        <v>10050000000</v>
      </c>
    </row>
    <row r="34" spans="1:2" ht="15" customHeight="1">
      <c r="A34" s="247"/>
      <c r="B34" s="289"/>
    </row>
    <row r="35" spans="1:2" ht="15" customHeight="1">
      <c r="A35" s="114" t="s">
        <v>281</v>
      </c>
      <c r="B35" s="135">
        <f>상속!B15</f>
        <v>3475000000</v>
      </c>
    </row>
    <row r="36" spans="1:2" ht="15" customHeight="1" thickBot="1">
      <c r="A36" s="297" t="s">
        <v>282</v>
      </c>
      <c r="B36" s="292">
        <f>상속!B24</f>
        <v>256780000</v>
      </c>
    </row>
    <row r="37" spans="1:2" ht="15" customHeight="1" thickTop="1">
      <c r="A37" s="247" t="s">
        <v>284</v>
      </c>
      <c r="B37" s="289">
        <f>SUM(B35:B36)</f>
        <v>3731780000</v>
      </c>
    </row>
  </sheetData>
  <phoneticPr fontId="16" type="noConversion"/>
  <pageMargins left="0.25" right="0.25" top="0.75" bottom="0.75" header="0.3" footer="0.3"/>
  <pageSetup paperSize="9" scale="9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99"/>
  <sheetViews>
    <sheetView workbookViewId="0">
      <selection activeCell="C10" sqref="C10"/>
    </sheetView>
    <sheetView tabSelected="1" workbookViewId="1">
      <selection activeCell="P27" sqref="P27"/>
    </sheetView>
  </sheetViews>
  <sheetFormatPr defaultColWidth="14.42578125" defaultRowHeight="15" customHeight="1"/>
  <cols>
    <col min="1" max="1" width="13.42578125" style="111" customWidth="1"/>
    <col min="2" max="2" width="16.85546875" style="111" bestFit="1" customWidth="1"/>
    <col min="3" max="6" width="16.85546875" bestFit="1" customWidth="1"/>
    <col min="7" max="7" width="18.140625" bestFit="1" customWidth="1"/>
    <col min="8" max="9" width="15.140625" bestFit="1" customWidth="1"/>
    <col min="10" max="10" width="16.140625" bestFit="1" customWidth="1"/>
    <col min="11" max="18" width="13.42578125" customWidth="1"/>
    <col min="19" max="19" width="15.140625" bestFit="1" customWidth="1"/>
    <col min="20" max="20" width="17.5703125" bestFit="1" customWidth="1"/>
    <col min="21" max="21" width="11.5703125" customWidth="1"/>
    <col min="22" max="26" width="8.7109375" customWidth="1"/>
  </cols>
  <sheetData>
    <row r="1" spans="1:18" ht="16.5" customHeight="1">
      <c r="A1" s="360" t="s">
        <v>291</v>
      </c>
      <c r="B1" s="250" t="s">
        <v>310</v>
      </c>
      <c r="C1" s="129"/>
      <c r="F1" s="324" t="s">
        <v>295</v>
      </c>
      <c r="G1" s="271" t="s">
        <v>256</v>
      </c>
      <c r="H1" s="170" t="s">
        <v>257</v>
      </c>
    </row>
    <row r="2" spans="1:18" ht="16.5" customHeight="1">
      <c r="A2" s="239" t="s">
        <v>3</v>
      </c>
      <c r="B2" s="251">
        <v>55</v>
      </c>
      <c r="C2" s="126"/>
      <c r="F2" s="325" t="s">
        <v>296</v>
      </c>
      <c r="G2" s="272" t="s">
        <v>258</v>
      </c>
      <c r="H2" s="228" t="s">
        <v>261</v>
      </c>
      <c r="I2" s="359" t="s">
        <v>308</v>
      </c>
    </row>
    <row r="3" spans="1:18" ht="16.5" customHeight="1" thickBot="1">
      <c r="A3" s="240" t="s">
        <v>209</v>
      </c>
      <c r="B3" s="252">
        <v>2</v>
      </c>
      <c r="C3" s="323" t="s">
        <v>4</v>
      </c>
      <c r="D3" s="7"/>
      <c r="E3" s="8"/>
      <c r="F3" s="4"/>
      <c r="G3" s="7"/>
    </row>
    <row r="4" spans="1:18" ht="16.5" customHeight="1" thickBot="1">
      <c r="B4" s="14"/>
      <c r="D4" s="7"/>
      <c r="E4" s="8"/>
      <c r="F4" s="4"/>
      <c r="G4" s="7"/>
    </row>
    <row r="5" spans="1:18" s="100" customFormat="1" ht="16.5" customHeight="1">
      <c r="A5" s="238" t="s">
        <v>220</v>
      </c>
      <c r="B5" s="253"/>
      <c r="C5" s="99" t="s">
        <v>8</v>
      </c>
      <c r="D5" s="99" t="s">
        <v>9</v>
      </c>
      <c r="E5" s="99" t="s">
        <v>11</v>
      </c>
      <c r="F5" s="99" t="s">
        <v>12</v>
      </c>
      <c r="G5" s="99" t="s">
        <v>13</v>
      </c>
      <c r="H5" s="99" t="s">
        <v>15</v>
      </c>
      <c r="I5" s="124" t="s">
        <v>17</v>
      </c>
      <c r="J5" s="83" t="s">
        <v>20</v>
      </c>
      <c r="K5" s="83" t="s">
        <v>22</v>
      </c>
      <c r="L5" s="83" t="s">
        <v>23</v>
      </c>
      <c r="M5" s="83" t="s">
        <v>24</v>
      </c>
      <c r="N5" s="83" t="s">
        <v>25</v>
      </c>
      <c r="O5" s="83" t="s">
        <v>26</v>
      </c>
      <c r="P5" s="83" t="s">
        <v>27</v>
      </c>
      <c r="Q5" s="83" t="s">
        <v>28</v>
      </c>
      <c r="R5" s="83" t="s">
        <v>29</v>
      </c>
    </row>
    <row r="6" spans="1:18" s="100" customFormat="1" ht="16.5" customHeight="1">
      <c r="A6" s="265" t="s">
        <v>177</v>
      </c>
      <c r="B6" s="114"/>
      <c r="C6" s="214" t="s">
        <v>231</v>
      </c>
      <c r="D6" s="214" t="s">
        <v>231</v>
      </c>
      <c r="E6" s="214" t="s">
        <v>231</v>
      </c>
      <c r="F6" s="214" t="s">
        <v>231</v>
      </c>
      <c r="H6" s="118"/>
      <c r="I6" s="125"/>
      <c r="J6" s="248"/>
      <c r="K6" s="248"/>
      <c r="L6" s="248"/>
      <c r="M6" s="248"/>
      <c r="N6" s="248"/>
      <c r="O6" s="248"/>
      <c r="P6" s="248"/>
      <c r="Q6" s="248"/>
      <c r="R6" s="248"/>
    </row>
    <row r="7" spans="1:18" s="100" customFormat="1" ht="16.5" customHeight="1">
      <c r="A7" s="265" t="s">
        <v>219</v>
      </c>
      <c r="B7" s="114"/>
      <c r="C7" s="215" t="s">
        <v>19</v>
      </c>
      <c r="D7" s="215" t="s">
        <v>19</v>
      </c>
      <c r="E7" s="215" t="s">
        <v>37</v>
      </c>
      <c r="F7" s="215" t="s">
        <v>37</v>
      </c>
      <c r="I7" s="126"/>
      <c r="J7" s="248"/>
      <c r="K7" s="248"/>
      <c r="L7" s="248"/>
      <c r="M7" s="248"/>
      <c r="N7" s="248"/>
      <c r="O7" s="248"/>
      <c r="P7" s="248"/>
      <c r="Q7" s="248"/>
      <c r="R7" s="248"/>
    </row>
    <row r="8" spans="1:18" s="100" customFormat="1" ht="16.5" customHeight="1">
      <c r="A8" s="241" t="s">
        <v>35</v>
      </c>
      <c r="B8" s="173"/>
      <c r="C8" s="236" t="s">
        <v>312</v>
      </c>
      <c r="D8" s="269" t="s">
        <v>313</v>
      </c>
      <c r="E8" s="269" t="s">
        <v>328</v>
      </c>
      <c r="F8" s="269" t="s">
        <v>329</v>
      </c>
      <c r="G8" s="269"/>
      <c r="H8" s="269"/>
      <c r="I8" s="270"/>
      <c r="J8" s="101"/>
      <c r="K8" s="101"/>
      <c r="L8" s="101"/>
      <c r="M8" s="101"/>
      <c r="N8" s="101"/>
      <c r="O8" s="101"/>
      <c r="P8" s="101"/>
      <c r="Q8" s="101"/>
      <c r="R8" s="101"/>
    </row>
    <row r="9" spans="1:18" s="100" customFormat="1" ht="16.5" customHeight="1">
      <c r="A9" s="239" t="s">
        <v>16</v>
      </c>
      <c r="B9" s="173"/>
      <c r="C9" s="233">
        <v>4000000000</v>
      </c>
      <c r="D9" s="233">
        <v>1300000000</v>
      </c>
      <c r="E9" s="233">
        <v>2000000000</v>
      </c>
      <c r="F9" s="233">
        <v>2500000000</v>
      </c>
      <c r="G9" s="233"/>
      <c r="H9" s="233"/>
      <c r="I9" s="237"/>
      <c r="J9" s="233">
        <v>900000000</v>
      </c>
      <c r="K9" s="233"/>
      <c r="L9" s="233"/>
      <c r="M9" s="233"/>
      <c r="N9" s="233"/>
      <c r="O9" s="233"/>
      <c r="P9" s="233"/>
      <c r="Q9" s="233"/>
      <c r="R9" s="102"/>
    </row>
    <row r="10" spans="1:18" s="100" customFormat="1" ht="16.5" customHeight="1">
      <c r="A10" s="239" t="s">
        <v>36</v>
      </c>
      <c r="B10" s="173"/>
      <c r="C10" s="233"/>
      <c r="D10" s="233"/>
      <c r="E10" s="233"/>
      <c r="F10" s="233"/>
      <c r="G10" s="233"/>
      <c r="H10" s="233"/>
      <c r="I10" s="237"/>
      <c r="J10" s="102"/>
      <c r="K10" s="102"/>
      <c r="L10" s="102"/>
      <c r="M10" s="102"/>
      <c r="N10" s="102"/>
      <c r="O10" s="102"/>
      <c r="P10" s="102"/>
      <c r="Q10" s="102"/>
      <c r="R10" s="102"/>
    </row>
    <row r="11" spans="1:18" s="100" customFormat="1" ht="16.5" customHeight="1">
      <c r="A11" s="242" t="s">
        <v>229</v>
      </c>
      <c r="B11" s="173"/>
      <c r="C11" s="233"/>
      <c r="D11" s="233"/>
      <c r="E11" s="233"/>
      <c r="F11" s="233"/>
      <c r="G11" s="233"/>
      <c r="H11" s="233"/>
      <c r="I11" s="237"/>
      <c r="J11" s="233"/>
      <c r="K11" s="233"/>
      <c r="L11" s="233"/>
      <c r="M11" s="233"/>
      <c r="N11" s="233"/>
      <c r="O11" s="102"/>
      <c r="P11" s="102"/>
      <c r="Q11" s="102"/>
      <c r="R11" s="85"/>
    </row>
    <row r="12" spans="1:18" s="100" customFormat="1" ht="16.5" customHeight="1">
      <c r="A12" s="239" t="s">
        <v>38</v>
      </c>
      <c r="B12" s="173"/>
      <c r="C12" s="233">
        <v>3500000000</v>
      </c>
      <c r="D12" s="233">
        <v>1150000000</v>
      </c>
      <c r="E12" s="233">
        <v>1724999999.9999998</v>
      </c>
      <c r="F12" s="233">
        <v>2300000000</v>
      </c>
      <c r="G12" s="233"/>
      <c r="H12" s="233"/>
      <c r="I12" s="237"/>
      <c r="J12" s="102"/>
      <c r="K12" s="102"/>
      <c r="L12" s="102"/>
      <c r="M12" s="102"/>
      <c r="N12" s="102"/>
      <c r="O12" s="102"/>
      <c r="P12" s="102"/>
      <c r="Q12" s="102"/>
      <c r="R12" s="102"/>
    </row>
    <row r="13" spans="1:18" s="100" customFormat="1" ht="16.5" customHeight="1">
      <c r="A13" s="243" t="s">
        <v>40</v>
      </c>
      <c r="B13" s="83"/>
      <c r="C13" s="232">
        <v>1000000000</v>
      </c>
      <c r="D13" s="233">
        <v>700000000</v>
      </c>
      <c r="E13" s="233">
        <v>1500000000</v>
      </c>
      <c r="F13" s="233">
        <v>2000000000</v>
      </c>
      <c r="G13" s="233"/>
      <c r="H13" s="233"/>
      <c r="I13" s="237"/>
      <c r="J13" s="102"/>
      <c r="K13" s="102"/>
      <c r="L13" s="102"/>
      <c r="M13" s="102"/>
      <c r="N13" s="102"/>
      <c r="O13" s="102"/>
      <c r="P13" s="102"/>
      <c r="Q13" s="102"/>
      <c r="R13" s="102"/>
    </row>
    <row r="14" spans="1:18" s="100" customFormat="1" ht="16.5" customHeight="1">
      <c r="A14" s="244" t="s">
        <v>41</v>
      </c>
      <c r="B14" s="83"/>
      <c r="C14" s="232">
        <v>15</v>
      </c>
      <c r="D14" s="233">
        <f>2026-2022</f>
        <v>4</v>
      </c>
      <c r="E14" s="233">
        <v>5</v>
      </c>
      <c r="F14" s="233">
        <v>6</v>
      </c>
      <c r="G14" s="319"/>
      <c r="H14" s="233"/>
      <c r="I14" s="237"/>
      <c r="J14" s="102"/>
      <c r="K14" s="102"/>
      <c r="L14" s="102"/>
      <c r="M14" s="102"/>
      <c r="N14" s="102"/>
      <c r="O14" s="102"/>
      <c r="P14" s="102"/>
      <c r="Q14" s="102"/>
      <c r="R14" s="102"/>
    </row>
    <row r="15" spans="1:18" s="100" customFormat="1" ht="16.5" customHeight="1">
      <c r="A15" s="244" t="s">
        <v>42</v>
      </c>
      <c r="B15" s="83"/>
      <c r="C15" s="232">
        <v>10</v>
      </c>
      <c r="D15" s="233">
        <v>4</v>
      </c>
      <c r="E15" s="233">
        <v>4</v>
      </c>
      <c r="F15" s="233">
        <v>3</v>
      </c>
      <c r="G15" s="233"/>
      <c r="H15" s="233"/>
      <c r="I15" s="237"/>
      <c r="J15" s="102"/>
      <c r="K15" s="102"/>
      <c r="L15" s="102"/>
      <c r="M15" s="102"/>
      <c r="N15" s="102"/>
      <c r="O15" s="102"/>
      <c r="P15" s="102"/>
      <c r="Q15" s="102"/>
      <c r="R15" s="102"/>
    </row>
    <row r="16" spans="1:18" s="100" customFormat="1" ht="16.5" customHeight="1" thickBot="1">
      <c r="A16" s="245" t="s">
        <v>44</v>
      </c>
      <c r="B16" s="254"/>
      <c r="C16" s="234">
        <v>1</v>
      </c>
      <c r="D16" s="235">
        <v>0.5</v>
      </c>
      <c r="E16" s="235">
        <v>1</v>
      </c>
      <c r="F16" s="235">
        <v>1</v>
      </c>
      <c r="G16" s="235"/>
      <c r="H16" s="235"/>
      <c r="I16" s="275"/>
      <c r="J16" s="101"/>
      <c r="K16" s="101"/>
      <c r="L16" s="101"/>
      <c r="M16" s="101"/>
      <c r="N16" s="101"/>
      <c r="O16" s="101"/>
      <c r="P16" s="101"/>
      <c r="Q16" s="101"/>
      <c r="R16" s="101"/>
    </row>
    <row r="17" spans="1:21" s="100" customFormat="1" ht="16.5" customHeight="1">
      <c r="A17" s="83" t="s">
        <v>234</v>
      </c>
      <c r="B17" s="91">
        <f>SUM(C17:R17)</f>
        <v>10050000000</v>
      </c>
      <c r="C17" s="85">
        <f>(MIN(C$9:C$10)-C$11)*C16</f>
        <v>4000000000</v>
      </c>
      <c r="D17" s="85">
        <f t="shared" ref="D17:I17" si="0">(MIN(D9:D10)-D11)*D16</f>
        <v>650000000</v>
      </c>
      <c r="E17" s="85">
        <f t="shared" si="0"/>
        <v>2000000000</v>
      </c>
      <c r="F17" s="85">
        <f t="shared" si="0"/>
        <v>2500000000</v>
      </c>
      <c r="G17" s="85">
        <f t="shared" si="0"/>
        <v>0</v>
      </c>
      <c r="H17" s="85">
        <f t="shared" si="0"/>
        <v>0</v>
      </c>
      <c r="I17" s="85">
        <f t="shared" si="0"/>
        <v>0</v>
      </c>
      <c r="J17" s="85">
        <f t="shared" ref="J17:R17" si="1">(MIN(J9:J10)-J11)</f>
        <v>900000000</v>
      </c>
      <c r="K17" s="85">
        <f t="shared" si="1"/>
        <v>0</v>
      </c>
      <c r="L17" s="85">
        <f t="shared" si="1"/>
        <v>0</v>
      </c>
      <c r="M17" s="85">
        <f t="shared" si="1"/>
        <v>0</v>
      </c>
      <c r="N17" s="85">
        <f t="shared" si="1"/>
        <v>0</v>
      </c>
      <c r="O17" s="85">
        <f t="shared" si="1"/>
        <v>0</v>
      </c>
      <c r="P17" s="85">
        <f t="shared" si="1"/>
        <v>0</v>
      </c>
      <c r="Q17" s="85">
        <f t="shared" si="1"/>
        <v>0</v>
      </c>
      <c r="R17" s="85">
        <f t="shared" si="1"/>
        <v>0</v>
      </c>
    </row>
    <row r="18" spans="1:21" s="100" customFormat="1" ht="16.5" customHeight="1">
      <c r="A18" s="173"/>
      <c r="B18" s="173"/>
    </row>
    <row r="19" spans="1:21" ht="16.5" customHeight="1"/>
    <row r="20" spans="1:21" ht="16.5" customHeight="1"/>
    <row r="21" spans="1:21" ht="16.5" customHeight="1">
      <c r="A21" s="247" t="s">
        <v>270</v>
      </c>
      <c r="B21" s="266" t="s">
        <v>271</v>
      </c>
      <c r="J21" s="186" t="s">
        <v>262</v>
      </c>
    </row>
    <row r="22" spans="1:21" ht="16.5" customHeight="1">
      <c r="A22" s="246" t="s">
        <v>46</v>
      </c>
      <c r="B22" s="246" t="s">
        <v>47</v>
      </c>
      <c r="S22" s="18"/>
      <c r="T22" s="8"/>
      <c r="U22" s="8"/>
    </row>
    <row r="23" spans="1:21" ht="16.5" customHeight="1">
      <c r="A23" s="246" t="s">
        <v>3</v>
      </c>
      <c r="B23" s="255">
        <f>2026-1987</f>
        <v>39</v>
      </c>
      <c r="S23" s="18"/>
      <c r="T23" s="18"/>
      <c r="U23" s="18"/>
    </row>
    <row r="24" spans="1:21" ht="16.5" customHeight="1" thickBot="1">
      <c r="A24" s="247" t="s">
        <v>209</v>
      </c>
      <c r="B24" s="298">
        <v>1</v>
      </c>
      <c r="C24" s="323" t="s">
        <v>14</v>
      </c>
      <c r="S24" s="18"/>
      <c r="T24" s="18"/>
      <c r="U24" s="18"/>
    </row>
    <row r="25" spans="1:21" ht="16.5" customHeight="1">
      <c r="A25" s="3" t="s">
        <v>48</v>
      </c>
      <c r="B25" s="3">
        <f>IF(B22="배우자",1.5,IF(B22="직계존비속",1,0))</f>
        <v>1.5</v>
      </c>
      <c r="S25" s="18"/>
      <c r="T25" s="18"/>
      <c r="U25" s="18"/>
    </row>
    <row r="26" spans="1:21" ht="16.5" customHeight="1" thickBot="1">
      <c r="A26" s="3" t="s">
        <v>49</v>
      </c>
      <c r="B26" s="3"/>
      <c r="C26" s="111" t="str">
        <f>C$5</f>
        <v>주택1</v>
      </c>
      <c r="D26" s="111" t="str">
        <f t="shared" ref="D26:I26" si="2">D$5</f>
        <v>주택2</v>
      </c>
      <c r="E26" s="111" t="str">
        <f t="shared" si="2"/>
        <v>주택3</v>
      </c>
      <c r="F26" s="111" t="str">
        <f t="shared" si="2"/>
        <v>주택4</v>
      </c>
      <c r="G26" s="111" t="str">
        <f t="shared" si="2"/>
        <v>건축물</v>
      </c>
      <c r="H26" s="111" t="str">
        <f t="shared" si="2"/>
        <v>토지1</v>
      </c>
      <c r="I26" s="111" t="str">
        <f t="shared" si="2"/>
        <v>토지2</v>
      </c>
      <c r="S26" s="122" t="s">
        <v>30</v>
      </c>
      <c r="T26" s="83" t="s">
        <v>31</v>
      </c>
      <c r="U26" s="249" t="s">
        <v>268</v>
      </c>
    </row>
    <row r="27" spans="1:21" ht="16.5" customHeight="1">
      <c r="A27" s="257" t="s">
        <v>40</v>
      </c>
      <c r="B27" s="99"/>
      <c r="C27" s="332"/>
      <c r="D27" s="332">
        <v>300000000</v>
      </c>
      <c r="E27" s="258"/>
      <c r="F27" s="258"/>
      <c r="G27" s="258"/>
      <c r="H27" s="258"/>
      <c r="I27" s="259"/>
    </row>
    <row r="28" spans="1:21" ht="16.5" customHeight="1">
      <c r="A28" s="243" t="s">
        <v>41</v>
      </c>
      <c r="B28" s="83"/>
      <c r="C28" s="260"/>
      <c r="D28" s="260">
        <v>3</v>
      </c>
      <c r="E28" s="260"/>
      <c r="F28" s="260"/>
      <c r="G28" s="260"/>
      <c r="H28" s="260"/>
      <c r="I28" s="261"/>
    </row>
    <row r="29" spans="1:21" ht="16.5" customHeight="1">
      <c r="A29" s="243" t="s">
        <v>42</v>
      </c>
      <c r="B29" s="83"/>
      <c r="C29" s="260"/>
      <c r="D29" s="260">
        <v>2</v>
      </c>
      <c r="E29" s="260"/>
      <c r="F29" s="260"/>
      <c r="G29" s="260"/>
      <c r="H29" s="260"/>
      <c r="I29" s="261"/>
    </row>
    <row r="30" spans="1:21" ht="16.5" customHeight="1" thickBot="1">
      <c r="A30" s="245" t="s">
        <v>44</v>
      </c>
      <c r="B30" s="254"/>
      <c r="C30" s="262"/>
      <c r="D30" s="262">
        <v>0.5</v>
      </c>
      <c r="E30" s="262"/>
      <c r="F30" s="262"/>
      <c r="G30" s="263"/>
      <c r="H30" s="263"/>
      <c r="I30" s="264"/>
    </row>
    <row r="31" spans="1:21" ht="16.5" customHeight="1">
      <c r="A31" s="3" t="s">
        <v>45</v>
      </c>
      <c r="B31" s="14">
        <f>SUM(C31:R31)</f>
        <v>650000000</v>
      </c>
      <c r="C31" s="4">
        <f>(MIN(C$9:C$10)-C$11)*C30</f>
        <v>0</v>
      </c>
      <c r="D31" s="4">
        <f t="shared" ref="D31:I31" si="3">(MIN(D$9:D$10)-D$11)*D30</f>
        <v>650000000</v>
      </c>
      <c r="E31" s="4">
        <f t="shared" si="3"/>
        <v>0</v>
      </c>
      <c r="F31" s="4">
        <f t="shared" si="3"/>
        <v>0</v>
      </c>
      <c r="G31" s="4">
        <f t="shared" si="3"/>
        <v>0</v>
      </c>
      <c r="H31" s="4">
        <f t="shared" si="3"/>
        <v>0</v>
      </c>
      <c r="I31" s="4">
        <f t="shared" si="3"/>
        <v>0</v>
      </c>
      <c r="S31" s="218">
        <v>600000000</v>
      </c>
      <c r="T31" s="267">
        <v>0</v>
      </c>
      <c r="U31" s="268">
        <v>45658</v>
      </c>
    </row>
    <row r="32" spans="1:21" ht="16.5" customHeight="1"/>
    <row r="33" spans="1:21" ht="16.5" customHeight="1"/>
    <row r="34" spans="1:21" ht="16.5" customHeight="1">
      <c r="A34" s="247" t="s">
        <v>272</v>
      </c>
      <c r="B34" s="266" t="s">
        <v>279</v>
      </c>
      <c r="S34" s="122"/>
      <c r="T34" s="83"/>
      <c r="U34" s="249"/>
    </row>
    <row r="35" spans="1:21" ht="16.5" customHeight="1">
      <c r="A35" s="246" t="s">
        <v>46</v>
      </c>
      <c r="B35" s="246" t="s">
        <v>50</v>
      </c>
      <c r="C35" s="1" t="s">
        <v>51</v>
      </c>
    </row>
    <row r="36" spans="1:21" ht="16.5" customHeight="1">
      <c r="A36" s="246" t="s">
        <v>3</v>
      </c>
      <c r="B36" s="255">
        <v>15</v>
      </c>
    </row>
    <row r="37" spans="1:21" ht="16.5" customHeight="1" thickBot="1">
      <c r="A37" s="247" t="s">
        <v>209</v>
      </c>
      <c r="B37" s="298">
        <v>0</v>
      </c>
      <c r="C37" s="323" t="s">
        <v>0</v>
      </c>
      <c r="S37" s="18"/>
      <c r="T37" s="18"/>
      <c r="U37" s="18"/>
    </row>
    <row r="38" spans="1:21" ht="16.5" customHeight="1">
      <c r="A38" s="3" t="s">
        <v>48</v>
      </c>
      <c r="B38" s="3">
        <f>IF(B35="배우자",1.5,IF(B35="직계존비속",1,0))</f>
        <v>1</v>
      </c>
    </row>
    <row r="39" spans="1:21" ht="16.5" customHeight="1" thickBot="1">
      <c r="A39" s="3" t="s">
        <v>49</v>
      </c>
      <c r="B39" s="3" t="s">
        <v>52</v>
      </c>
      <c r="C39" s="111" t="str">
        <f>C$5</f>
        <v>주택1</v>
      </c>
      <c r="D39" s="111" t="str">
        <f t="shared" ref="D39:I39" si="4">D$5</f>
        <v>주택2</v>
      </c>
      <c r="E39" s="111" t="str">
        <f t="shared" si="4"/>
        <v>주택3</v>
      </c>
      <c r="F39" s="111" t="str">
        <f t="shared" si="4"/>
        <v>주택4</v>
      </c>
      <c r="G39" s="111" t="str">
        <f t="shared" si="4"/>
        <v>건축물</v>
      </c>
      <c r="H39" s="111" t="str">
        <f t="shared" si="4"/>
        <v>토지1</v>
      </c>
      <c r="I39" s="111" t="str">
        <f t="shared" si="4"/>
        <v>토지2</v>
      </c>
      <c r="S39" s="122" t="s">
        <v>30</v>
      </c>
      <c r="T39" s="83" t="s">
        <v>31</v>
      </c>
      <c r="U39" s="249" t="s">
        <v>268</v>
      </c>
    </row>
    <row r="40" spans="1:21" ht="16.5" customHeight="1">
      <c r="A40" s="257" t="s">
        <v>40</v>
      </c>
      <c r="B40" s="99"/>
      <c r="C40" s="258"/>
      <c r="D40" s="258"/>
      <c r="E40" s="258"/>
      <c r="F40" s="258"/>
      <c r="G40" s="258"/>
      <c r="H40" s="333"/>
      <c r="I40" s="259"/>
    </row>
    <row r="41" spans="1:21" ht="16.5" customHeight="1">
      <c r="A41" s="243" t="s">
        <v>41</v>
      </c>
      <c r="B41" s="83"/>
      <c r="C41" s="260"/>
      <c r="D41" s="260"/>
      <c r="E41" s="260"/>
      <c r="F41" s="260"/>
      <c r="G41" s="260"/>
      <c r="H41" s="260"/>
      <c r="I41" s="261"/>
    </row>
    <row r="42" spans="1:21" ht="16.5" customHeight="1">
      <c r="A42" s="243" t="s">
        <v>42</v>
      </c>
      <c r="B42" s="83"/>
      <c r="C42" s="260"/>
      <c r="D42" s="260"/>
      <c r="E42" s="260"/>
      <c r="F42" s="260"/>
      <c r="G42" s="260"/>
      <c r="H42" s="260"/>
      <c r="I42" s="261"/>
    </row>
    <row r="43" spans="1:21" ht="16.5" customHeight="1" thickBot="1">
      <c r="A43" s="245" t="s">
        <v>44</v>
      </c>
      <c r="B43" s="254"/>
      <c r="C43" s="262"/>
      <c r="D43" s="263"/>
      <c r="E43" s="263"/>
      <c r="F43" s="263"/>
      <c r="G43" s="263"/>
      <c r="H43" s="262"/>
      <c r="I43" s="264"/>
    </row>
    <row r="44" spans="1:21" ht="16.5" customHeight="1">
      <c r="A44" s="3" t="s">
        <v>45</v>
      </c>
      <c r="B44" s="14">
        <f>SUM(C44:R44)</f>
        <v>0</v>
      </c>
      <c r="C44" s="4">
        <f>(MIN(C$9:C$10)-C$11)*C43</f>
        <v>0</v>
      </c>
      <c r="D44" s="4">
        <f t="shared" ref="D44" si="5">(MIN(D$9:D$10)-D$11)*D43</f>
        <v>0</v>
      </c>
      <c r="E44" s="4">
        <f t="shared" ref="E44" si="6">(MIN(E$9:E$10)-E$11)*E43</f>
        <v>0</v>
      </c>
      <c r="F44" s="4">
        <f t="shared" ref="F44" si="7">(MIN(F$9:F$10)-F$11)*F43</f>
        <v>0</v>
      </c>
      <c r="G44" s="4">
        <f t="shared" ref="G44" si="8">(MIN(G$9:G$10)-G$11)*G43</f>
        <v>0</v>
      </c>
      <c r="H44" s="4">
        <f t="shared" ref="H44" si="9">(MIN(H$9:H$10)-H$11)*H43</f>
        <v>0</v>
      </c>
      <c r="I44" s="4">
        <f t="shared" ref="I44" si="10">(MIN(I$9:I$10)-I$11)*I43</f>
        <v>0</v>
      </c>
      <c r="S44" s="218">
        <v>600000000</v>
      </c>
      <c r="T44" s="267">
        <v>0</v>
      </c>
      <c r="U44" s="268">
        <v>45658</v>
      </c>
    </row>
    <row r="45" spans="1:21" ht="16.5" customHeight="1"/>
    <row r="46" spans="1:21" ht="16.5" customHeight="1"/>
    <row r="47" spans="1:21" ht="16.5" customHeight="1">
      <c r="A47" s="247" t="s">
        <v>273</v>
      </c>
      <c r="B47" s="256" t="s">
        <v>269</v>
      </c>
      <c r="S47" s="122"/>
      <c r="T47" s="83"/>
      <c r="U47" s="249"/>
    </row>
    <row r="48" spans="1:21" ht="16.5" customHeight="1">
      <c r="A48" s="246" t="s">
        <v>46</v>
      </c>
      <c r="B48" s="246" t="s">
        <v>50</v>
      </c>
      <c r="C48" s="1" t="s">
        <v>51</v>
      </c>
    </row>
    <row r="49" spans="1:21" ht="16.5" customHeight="1">
      <c r="A49" s="246" t="s">
        <v>3</v>
      </c>
      <c r="B49" s="255"/>
    </row>
    <row r="50" spans="1:21" ht="16.5" customHeight="1" thickBot="1">
      <c r="A50" s="247" t="s">
        <v>209</v>
      </c>
      <c r="B50" s="298">
        <v>0</v>
      </c>
      <c r="C50" s="323" t="s">
        <v>294</v>
      </c>
      <c r="S50" s="18"/>
      <c r="T50" s="18"/>
      <c r="U50" s="18"/>
    </row>
    <row r="51" spans="1:21" ht="16.5" customHeight="1">
      <c r="A51" s="3" t="s">
        <v>48</v>
      </c>
      <c r="B51" s="3">
        <f>IF(B48="배우자",1.5,IF(B48="직계존비속",1,0))</f>
        <v>1</v>
      </c>
    </row>
    <row r="52" spans="1:21" ht="16.5" customHeight="1" thickBot="1">
      <c r="A52" s="3" t="s">
        <v>49</v>
      </c>
      <c r="B52" s="3" t="s">
        <v>52</v>
      </c>
      <c r="C52" s="111" t="str">
        <f>C$5</f>
        <v>주택1</v>
      </c>
      <c r="D52" s="111" t="str">
        <f t="shared" ref="D52:I52" si="11">D$5</f>
        <v>주택2</v>
      </c>
      <c r="E52" s="111" t="str">
        <f t="shared" si="11"/>
        <v>주택3</v>
      </c>
      <c r="F52" s="111" t="str">
        <f t="shared" si="11"/>
        <v>주택4</v>
      </c>
      <c r="G52" s="111" t="str">
        <f t="shared" si="11"/>
        <v>건축물</v>
      </c>
      <c r="H52" s="111" t="str">
        <f t="shared" si="11"/>
        <v>토지1</v>
      </c>
      <c r="I52" s="111" t="str">
        <f t="shared" si="11"/>
        <v>토지2</v>
      </c>
      <c r="S52" s="122" t="s">
        <v>30</v>
      </c>
      <c r="T52" s="83" t="s">
        <v>31</v>
      </c>
      <c r="U52" s="249" t="s">
        <v>268</v>
      </c>
    </row>
    <row r="53" spans="1:21" ht="16.5" customHeight="1">
      <c r="A53" s="257" t="s">
        <v>40</v>
      </c>
      <c r="B53" s="99"/>
      <c r="C53" s="258"/>
      <c r="D53" s="258"/>
      <c r="E53" s="258"/>
      <c r="F53" s="258"/>
      <c r="G53" s="258"/>
      <c r="H53" s="258"/>
      <c r="I53" s="259"/>
    </row>
    <row r="54" spans="1:21" ht="16.5" customHeight="1">
      <c r="A54" s="243" t="s">
        <v>41</v>
      </c>
      <c r="B54" s="83"/>
      <c r="C54" s="260"/>
      <c r="D54" s="260"/>
      <c r="E54" s="260"/>
      <c r="F54" s="260"/>
      <c r="G54" s="260"/>
      <c r="H54" s="260"/>
      <c r="I54" s="261"/>
    </row>
    <row r="55" spans="1:21" ht="16.5" customHeight="1">
      <c r="A55" s="243" t="s">
        <v>42</v>
      </c>
      <c r="B55" s="83"/>
      <c r="C55" s="260"/>
      <c r="D55" s="260"/>
      <c r="E55" s="260"/>
      <c r="F55" s="260"/>
      <c r="G55" s="260"/>
      <c r="H55" s="260"/>
      <c r="I55" s="261"/>
    </row>
    <row r="56" spans="1:21" ht="16.5" customHeight="1" thickBot="1">
      <c r="A56" s="245" t="s">
        <v>44</v>
      </c>
      <c r="B56" s="254"/>
      <c r="C56" s="262"/>
      <c r="D56" s="263"/>
      <c r="E56" s="263"/>
      <c r="F56" s="263"/>
      <c r="G56" s="263"/>
      <c r="H56" s="263"/>
      <c r="I56" s="264"/>
    </row>
    <row r="57" spans="1:21" ht="16.5" customHeight="1">
      <c r="A57" s="3" t="s">
        <v>45</v>
      </c>
      <c r="B57" s="14">
        <f>SUM(C57:R57)</f>
        <v>0</v>
      </c>
      <c r="C57" s="4">
        <f>(MIN(C$9:C$10)-C$11)*C56</f>
        <v>0</v>
      </c>
      <c r="D57" s="4">
        <f t="shared" ref="D57" si="12">(MIN(D$9:D$10)-D$11)*D56</f>
        <v>0</v>
      </c>
      <c r="E57" s="4">
        <f t="shared" ref="E57" si="13">(MIN(E$9:E$10)-E$11)*E56</f>
        <v>0</v>
      </c>
      <c r="F57" s="4">
        <f t="shared" ref="F57" si="14">(MIN(F$9:F$10)-F$11)*F56</f>
        <v>0</v>
      </c>
      <c r="G57" s="4">
        <f t="shared" ref="G57" si="15">(MIN(G$9:G$10)-G$11)*G56</f>
        <v>0</v>
      </c>
      <c r="H57" s="4">
        <f t="shared" ref="H57" si="16">(MIN(H$9:H$10)-H$11)*H56</f>
        <v>0</v>
      </c>
      <c r="I57" s="4">
        <f t="shared" ref="I57" si="17">(MIN(I$9:I$10)-I$11)*I56</f>
        <v>0</v>
      </c>
      <c r="S57" s="218">
        <v>600000000</v>
      </c>
      <c r="T57" s="267">
        <v>0</v>
      </c>
      <c r="U57" s="268">
        <v>45658</v>
      </c>
    </row>
    <row r="58" spans="1:21" ht="16.5" customHeight="1"/>
    <row r="59" spans="1:21" ht="16.5" customHeight="1"/>
    <row r="60" spans="1:21" ht="16.5" customHeight="1">
      <c r="A60" s="247" t="s">
        <v>274</v>
      </c>
      <c r="B60" s="256" t="s">
        <v>269</v>
      </c>
      <c r="S60" s="122"/>
      <c r="T60" s="83"/>
      <c r="U60" s="249"/>
    </row>
    <row r="61" spans="1:21" ht="16.5" customHeight="1">
      <c r="A61" s="246" t="s">
        <v>46</v>
      </c>
      <c r="B61" s="246" t="s">
        <v>50</v>
      </c>
      <c r="C61" s="1" t="s">
        <v>51</v>
      </c>
    </row>
    <row r="62" spans="1:21" ht="16.5" customHeight="1">
      <c r="A62" s="246" t="s">
        <v>3</v>
      </c>
      <c r="B62" s="255"/>
    </row>
    <row r="63" spans="1:21" ht="16.5" customHeight="1" thickBot="1">
      <c r="A63" s="247" t="s">
        <v>209</v>
      </c>
      <c r="B63" s="298">
        <v>0</v>
      </c>
      <c r="C63" s="323" t="s">
        <v>294</v>
      </c>
      <c r="S63" s="18"/>
      <c r="T63" s="18"/>
      <c r="U63" s="18"/>
    </row>
    <row r="64" spans="1:21" ht="16.5" customHeight="1">
      <c r="A64" s="3" t="s">
        <v>48</v>
      </c>
      <c r="B64" s="3">
        <f>IF(B61="배우자",1.5,IF(B61="직계존비속",1,0))</f>
        <v>1</v>
      </c>
    </row>
    <row r="65" spans="1:21" ht="16.5" customHeight="1" thickBot="1">
      <c r="A65" s="3" t="s">
        <v>49</v>
      </c>
      <c r="B65" s="3" t="s">
        <v>52</v>
      </c>
      <c r="C65" s="111" t="str">
        <f>C$5</f>
        <v>주택1</v>
      </c>
      <c r="D65" s="111" t="str">
        <f t="shared" ref="D65:I65" si="18">D$5</f>
        <v>주택2</v>
      </c>
      <c r="E65" s="111" t="str">
        <f t="shared" si="18"/>
        <v>주택3</v>
      </c>
      <c r="F65" s="111" t="str">
        <f t="shared" si="18"/>
        <v>주택4</v>
      </c>
      <c r="G65" s="111" t="str">
        <f t="shared" si="18"/>
        <v>건축물</v>
      </c>
      <c r="H65" s="111" t="str">
        <f t="shared" si="18"/>
        <v>토지1</v>
      </c>
      <c r="I65" s="111" t="str">
        <f t="shared" si="18"/>
        <v>토지2</v>
      </c>
      <c r="S65" s="122" t="s">
        <v>30</v>
      </c>
      <c r="T65" s="83" t="s">
        <v>31</v>
      </c>
      <c r="U65" s="249" t="s">
        <v>268</v>
      </c>
    </row>
    <row r="66" spans="1:21" ht="16.5" customHeight="1">
      <c r="A66" s="257" t="s">
        <v>40</v>
      </c>
      <c r="B66" s="99"/>
      <c r="C66" s="258"/>
      <c r="D66" s="258"/>
      <c r="E66" s="258"/>
      <c r="F66" s="258"/>
      <c r="G66" s="258"/>
      <c r="H66" s="258"/>
      <c r="I66" s="259"/>
    </row>
    <row r="67" spans="1:21" ht="16.5" customHeight="1">
      <c r="A67" s="243" t="s">
        <v>41</v>
      </c>
      <c r="B67" s="83"/>
      <c r="C67" s="260"/>
      <c r="D67" s="260"/>
      <c r="E67" s="260"/>
      <c r="F67" s="260"/>
      <c r="G67" s="260"/>
      <c r="H67" s="260"/>
      <c r="I67" s="261"/>
    </row>
    <row r="68" spans="1:21" ht="16.5" customHeight="1">
      <c r="A68" s="243" t="s">
        <v>42</v>
      </c>
      <c r="B68" s="83"/>
      <c r="C68" s="260"/>
      <c r="D68" s="260"/>
      <c r="E68" s="260"/>
      <c r="F68" s="260"/>
      <c r="G68" s="260"/>
      <c r="H68" s="260"/>
      <c r="I68" s="261"/>
    </row>
    <row r="69" spans="1:21" ht="16.5" customHeight="1" thickBot="1">
      <c r="A69" s="245" t="s">
        <v>44</v>
      </c>
      <c r="B69" s="254"/>
      <c r="C69" s="262"/>
      <c r="D69" s="263"/>
      <c r="E69" s="263"/>
      <c r="F69" s="263"/>
      <c r="G69" s="263"/>
      <c r="H69" s="263"/>
      <c r="I69" s="264"/>
    </row>
    <row r="70" spans="1:21" ht="16.5" customHeight="1">
      <c r="A70" s="3" t="s">
        <v>45</v>
      </c>
      <c r="B70" s="14">
        <f>SUM(C70:R70)</f>
        <v>0</v>
      </c>
      <c r="C70" s="4">
        <f>(MIN(C$9:C$10)-C$11)*C69</f>
        <v>0</v>
      </c>
      <c r="D70" s="4">
        <f t="shared" ref="D70" si="19">(MIN(D$9:D$10)-D$11)*D69</f>
        <v>0</v>
      </c>
      <c r="E70" s="4">
        <f t="shared" ref="E70" si="20">(MIN(E$9:E$10)-E$11)*E69</f>
        <v>0</v>
      </c>
      <c r="F70" s="4">
        <f t="shared" ref="F70" si="21">(MIN(F$9:F$10)-F$11)*F69</f>
        <v>0</v>
      </c>
      <c r="G70" s="4">
        <f t="shared" ref="G70" si="22">(MIN(G$9:G$10)-G$11)*G69</f>
        <v>0</v>
      </c>
      <c r="H70" s="4">
        <f t="shared" ref="H70" si="23">(MIN(H$9:H$10)-H$11)*H69</f>
        <v>0</v>
      </c>
      <c r="I70" s="4">
        <f t="shared" ref="I70" si="24">(MIN(I$9:I$10)-I$11)*I69</f>
        <v>0</v>
      </c>
      <c r="S70" s="218">
        <v>600000000</v>
      </c>
      <c r="T70" s="267">
        <v>0</v>
      </c>
      <c r="U70" s="268">
        <v>45658</v>
      </c>
    </row>
    <row r="71" spans="1:21" ht="16.5" customHeight="1"/>
    <row r="72" spans="1:21" ht="16.5" customHeight="1"/>
    <row r="73" spans="1:21" ht="16.5" customHeight="1">
      <c r="A73" s="247" t="s">
        <v>275</v>
      </c>
      <c r="B73" s="256" t="s">
        <v>269</v>
      </c>
      <c r="S73" s="122"/>
      <c r="T73" s="83"/>
      <c r="U73" s="249"/>
    </row>
    <row r="74" spans="1:21" ht="16.5" customHeight="1">
      <c r="A74" s="246" t="s">
        <v>46</v>
      </c>
      <c r="B74" s="246" t="s">
        <v>50</v>
      </c>
      <c r="C74" s="1" t="s">
        <v>51</v>
      </c>
    </row>
    <row r="75" spans="1:21" ht="16.5" customHeight="1">
      <c r="A75" s="246" t="s">
        <v>3</v>
      </c>
      <c r="B75" s="255"/>
    </row>
    <row r="76" spans="1:21" ht="16.5" customHeight="1" thickBot="1">
      <c r="A76" s="247" t="s">
        <v>209</v>
      </c>
      <c r="B76" s="298">
        <v>0</v>
      </c>
      <c r="C76" s="323" t="s">
        <v>294</v>
      </c>
      <c r="S76" s="18"/>
      <c r="T76" s="18"/>
      <c r="U76" s="18"/>
    </row>
    <row r="77" spans="1:21" ht="16.5" customHeight="1">
      <c r="A77" s="3" t="s">
        <v>48</v>
      </c>
      <c r="B77" s="3">
        <f>IF(B74="배우자",1.5,IF(B74="직계존비속",1,0))</f>
        <v>1</v>
      </c>
    </row>
    <row r="78" spans="1:21" ht="16.5" customHeight="1" thickBot="1">
      <c r="A78" s="3" t="s">
        <v>49</v>
      </c>
      <c r="B78" s="3" t="s">
        <v>52</v>
      </c>
      <c r="C78" s="111" t="str">
        <f>C$5</f>
        <v>주택1</v>
      </c>
      <c r="D78" s="111" t="str">
        <f t="shared" ref="D78:I78" si="25">D$5</f>
        <v>주택2</v>
      </c>
      <c r="E78" s="111" t="str">
        <f t="shared" si="25"/>
        <v>주택3</v>
      </c>
      <c r="F78" s="111" t="str">
        <f t="shared" si="25"/>
        <v>주택4</v>
      </c>
      <c r="G78" s="111" t="str">
        <f t="shared" si="25"/>
        <v>건축물</v>
      </c>
      <c r="H78" s="111" t="str">
        <f t="shared" si="25"/>
        <v>토지1</v>
      </c>
      <c r="I78" s="111" t="str">
        <f t="shared" si="25"/>
        <v>토지2</v>
      </c>
      <c r="S78" s="122" t="s">
        <v>30</v>
      </c>
      <c r="T78" s="83" t="s">
        <v>31</v>
      </c>
      <c r="U78" s="249" t="s">
        <v>268</v>
      </c>
    </row>
    <row r="79" spans="1:21" ht="16.5" customHeight="1">
      <c r="A79" s="257" t="s">
        <v>40</v>
      </c>
      <c r="B79" s="99"/>
      <c r="C79" s="258"/>
      <c r="D79" s="258"/>
      <c r="E79" s="258"/>
      <c r="F79" s="258"/>
      <c r="G79" s="258"/>
      <c r="H79" s="258"/>
      <c r="I79" s="259"/>
    </row>
    <row r="80" spans="1:21" ht="16.5" customHeight="1">
      <c r="A80" s="243" t="s">
        <v>41</v>
      </c>
      <c r="B80" s="83"/>
      <c r="C80" s="260"/>
      <c r="D80" s="260"/>
      <c r="E80" s="260"/>
      <c r="F80" s="260"/>
      <c r="G80" s="260"/>
      <c r="H80" s="260"/>
      <c r="I80" s="261"/>
    </row>
    <row r="81" spans="1:21" ht="16.5" customHeight="1">
      <c r="A81" s="243" t="s">
        <v>42</v>
      </c>
      <c r="B81" s="83"/>
      <c r="C81" s="260"/>
      <c r="D81" s="260"/>
      <c r="E81" s="260"/>
      <c r="F81" s="260"/>
      <c r="G81" s="260"/>
      <c r="H81" s="260"/>
      <c r="I81" s="261"/>
    </row>
    <row r="82" spans="1:21" ht="16.5" customHeight="1" thickBot="1">
      <c r="A82" s="245" t="s">
        <v>44</v>
      </c>
      <c r="B82" s="254"/>
      <c r="C82" s="262"/>
      <c r="D82" s="263"/>
      <c r="E82" s="263"/>
      <c r="F82" s="263"/>
      <c r="G82" s="263"/>
      <c r="H82" s="263"/>
      <c r="I82" s="264"/>
    </row>
    <row r="83" spans="1:21" ht="16.5" customHeight="1">
      <c r="A83" s="3" t="s">
        <v>45</v>
      </c>
      <c r="B83" s="14">
        <f>SUM(C83:R83)</f>
        <v>0</v>
      </c>
      <c r="C83" s="4">
        <f>(MIN(C$9:C$10)-C$11)*C82</f>
        <v>0</v>
      </c>
      <c r="D83" s="4">
        <f t="shared" ref="D83" si="26">(MIN(D$9:D$10)-D$11)*D82</f>
        <v>0</v>
      </c>
      <c r="E83" s="4">
        <f t="shared" ref="E83" si="27">(MIN(E$9:E$10)-E$11)*E82</f>
        <v>0</v>
      </c>
      <c r="F83" s="4">
        <f t="shared" ref="F83" si="28">(MIN(F$9:F$10)-F$11)*F82</f>
        <v>0</v>
      </c>
      <c r="G83" s="4">
        <f t="shared" ref="G83" si="29">(MIN(G$9:G$10)-G$11)*G82</f>
        <v>0</v>
      </c>
      <c r="H83" s="4">
        <f t="shared" ref="H83" si="30">(MIN(H$9:H$10)-H$11)*H82</f>
        <v>0</v>
      </c>
      <c r="I83" s="4">
        <f t="shared" ref="I83" si="31">(MIN(I$9:I$10)-I$11)*I82</f>
        <v>0</v>
      </c>
      <c r="S83" s="218">
        <v>600000000</v>
      </c>
      <c r="T83" s="267">
        <v>0</v>
      </c>
      <c r="U83" s="268">
        <v>45658</v>
      </c>
    </row>
    <row r="84" spans="1:21" ht="16.5" customHeight="1"/>
    <row r="85" spans="1:21" ht="16.5" customHeight="1"/>
    <row r="86" spans="1:21" ht="16.5" customHeight="1"/>
    <row r="87" spans="1:21" ht="16.5" customHeight="1"/>
    <row r="88" spans="1:21" ht="16.5" customHeight="1"/>
    <row r="89" spans="1:21" ht="16.5" customHeight="1"/>
    <row r="90" spans="1:21" ht="16.5" customHeight="1"/>
    <row r="91" spans="1:21" ht="16.5" customHeight="1"/>
    <row r="92" spans="1:21" ht="16.5" customHeight="1"/>
    <row r="93" spans="1:21" ht="16.5" customHeight="1"/>
    <row r="94" spans="1:21" ht="16.5" customHeight="1"/>
    <row r="95" spans="1:21" ht="16.5" customHeight="1"/>
    <row r="96" spans="1:2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16" type="noConversion"/>
  <dataValidations count="6">
    <dataValidation type="list" allowBlank="1" showErrorMessage="1" sqref="C7:F7" xr:uid="{00000000-0002-0000-0100-000002000000}">
      <formula1>"조정대상지역,일반지역"</formula1>
    </dataValidation>
    <dataValidation type="list" allowBlank="1" showErrorMessage="1" sqref="B26 B39 B65 B52 B78" xr:uid="{00000000-0002-0000-0100-000003000000}">
      <formula1>"동거,혼인,출산"</formula1>
    </dataValidation>
    <dataValidation type="list" allowBlank="1" showErrorMessage="1" sqref="H6:I6" xr:uid="{00000000-0002-0000-0100-000005000000}">
      <formula1>"농지,자경농지"</formula1>
    </dataValidation>
    <dataValidation type="list" allowBlank="1" showErrorMessage="1" sqref="C6:F6" xr:uid="{D4F1A17F-541E-4F68-B0BF-DAFBD745B3CD}">
      <formula1>"국평,85 초과"</formula1>
    </dataValidation>
    <dataValidation type="list" allowBlank="1" showErrorMessage="1" sqref="C3 C24 C37 C50 C63 C76" xr:uid="{66713D22-6636-4B74-B5C8-2D1A8CCB80B8}">
      <formula1>주택특징</formula1>
    </dataValidation>
    <dataValidation allowBlank="1" showErrorMessage="1" sqref="H1" xr:uid="{6483C75A-A043-47F2-AC72-936D17E10CB3}"/>
  </dataValidations>
  <pageMargins left="0.25" right="0.25" top="0.75" bottom="0.75" header="0.3" footer="0.3"/>
  <pageSetup scale="37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t!$AR$2:$AR$5</xm:f>
          </x14:formula1>
          <xm:sqref>B22 B35 B61 B48 B74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  <pageSetUpPr fitToPage="1"/>
  </sheetPr>
  <dimension ref="A1:AO986"/>
  <sheetViews>
    <sheetView zoomScaleNormal="100" workbookViewId="0">
      <selection activeCell="C3" sqref="C3"/>
    </sheetView>
    <sheetView workbookViewId="1">
      <selection activeCell="C3" sqref="C3"/>
    </sheetView>
  </sheetViews>
  <sheetFormatPr defaultColWidth="14.42578125" defaultRowHeight="15" customHeight="1"/>
  <cols>
    <col min="1" max="1" width="24" style="18" bestFit="1" customWidth="1"/>
    <col min="2" max="5" width="15.7109375" style="18" customWidth="1"/>
    <col min="6" max="6" width="18.140625" style="18" bestFit="1" customWidth="1"/>
    <col min="7" max="7" width="15.140625" style="18" bestFit="1" customWidth="1"/>
    <col min="8" max="8" width="4.7109375" style="18" customWidth="1"/>
    <col min="9" max="9" width="23.42578125" style="18" bestFit="1" customWidth="1"/>
    <col min="10" max="13" width="15.7109375" style="18" customWidth="1"/>
    <col min="14" max="14" width="19.28515625" style="18" bestFit="1" customWidth="1"/>
    <col min="15" max="15" width="15.140625" style="18" bestFit="1" customWidth="1"/>
    <col min="16" max="16" width="6.7109375" style="18" customWidth="1"/>
    <col min="17" max="17" width="23.42578125" style="18" bestFit="1" customWidth="1"/>
    <col min="18" max="21" width="18.5703125" style="18" bestFit="1" customWidth="1"/>
    <col min="22" max="22" width="20.140625" style="18" bestFit="1" customWidth="1"/>
    <col min="23" max="23" width="15.7109375" style="18" bestFit="1" customWidth="1"/>
    <col min="24" max="24" width="4.28515625" style="18" customWidth="1"/>
    <col min="25" max="25" width="23.42578125" style="18" bestFit="1" customWidth="1"/>
    <col min="26" max="27" width="18.140625" style="18" bestFit="1" customWidth="1"/>
    <col min="28" max="28" width="23.28515625" style="18" bestFit="1" customWidth="1"/>
    <col min="29" max="29" width="16.85546875" style="18" bestFit="1" customWidth="1"/>
    <col min="30" max="30" width="18.140625" style="18" bestFit="1" customWidth="1"/>
    <col min="31" max="31" width="15.140625" style="18" bestFit="1" customWidth="1"/>
    <col min="32" max="32" width="5.140625" style="18" customWidth="1"/>
    <col min="33" max="33" width="23.42578125" style="18" bestFit="1" customWidth="1"/>
    <col min="34" max="36" width="18.140625" style="18" bestFit="1" customWidth="1"/>
    <col min="37" max="37" width="23.28515625" style="18" bestFit="1" customWidth="1"/>
    <col min="38" max="38" width="18.140625" style="18" bestFit="1" customWidth="1"/>
    <col min="39" max="40" width="18.5703125" style="18" bestFit="1" customWidth="1"/>
    <col min="41" max="41" width="15.140625" style="18" bestFit="1" customWidth="1"/>
    <col min="42" max="16384" width="14.42578125" style="18"/>
  </cols>
  <sheetData>
    <row r="1" spans="1:39" ht="15" customHeight="1">
      <c r="A1" s="267"/>
      <c r="B1" s="360" t="s">
        <v>291</v>
      </c>
      <c r="C1" s="321" t="s">
        <v>292</v>
      </c>
      <c r="D1" s="362"/>
      <c r="E1" s="362"/>
      <c r="F1" s="363"/>
      <c r="I1" s="25" t="s">
        <v>325</v>
      </c>
    </row>
    <row r="2" spans="1:39" ht="16.5" customHeight="1">
      <c r="A2" s="103" t="s">
        <v>293</v>
      </c>
      <c r="B2" s="103" t="str">
        <f>기초!$B$1</f>
        <v>홍길동</v>
      </c>
      <c r="C2" s="320" t="s">
        <v>271</v>
      </c>
      <c r="D2" s="83"/>
      <c r="E2" s="83"/>
      <c r="F2" s="83"/>
      <c r="G2" s="317"/>
      <c r="H2" s="3"/>
      <c r="I2" s="25" t="s">
        <v>327</v>
      </c>
    </row>
    <row r="3" spans="1:39" ht="16.5" customHeight="1">
      <c r="A3" s="168" t="s">
        <v>209</v>
      </c>
      <c r="B3" s="103">
        <v>4</v>
      </c>
      <c r="C3" s="83">
        <f ca="1">INDIRECT("기초!b"&amp;(MATCH(C$2,기초!$B:$B,0)+3))</f>
        <v>1</v>
      </c>
      <c r="D3" s="83"/>
      <c r="E3" s="216">
        <v>2026</v>
      </c>
      <c r="F3" s="360" t="s">
        <v>291</v>
      </c>
      <c r="G3" s="450" t="s">
        <v>292</v>
      </c>
      <c r="H3" s="3"/>
      <c r="I3" s="318"/>
      <c r="J3" s="3"/>
      <c r="K3" s="121"/>
      <c r="L3" s="3"/>
      <c r="M3" s="216">
        <f>E3+1</f>
        <v>2027</v>
      </c>
      <c r="N3" s="360" t="s">
        <v>291</v>
      </c>
      <c r="O3" s="450" t="s">
        <v>292</v>
      </c>
      <c r="R3" s="3"/>
      <c r="S3" s="3"/>
      <c r="T3" s="3"/>
      <c r="U3" s="176">
        <f>M3+1</f>
        <v>2028</v>
      </c>
      <c r="V3" s="360" t="s">
        <v>291</v>
      </c>
      <c r="W3" s="450" t="s">
        <v>292</v>
      </c>
      <c r="Z3" s="3"/>
      <c r="AA3" s="3"/>
      <c r="AB3" s="3"/>
      <c r="AC3" s="176">
        <f>U3+1</f>
        <v>2029</v>
      </c>
      <c r="AD3" s="360" t="s">
        <v>291</v>
      </c>
      <c r="AE3" s="450" t="s">
        <v>292</v>
      </c>
      <c r="AH3" s="3"/>
      <c r="AI3" s="3"/>
      <c r="AJ3" s="3"/>
      <c r="AK3" s="176">
        <f>AC3+1</f>
        <v>2030</v>
      </c>
      <c r="AL3" s="360" t="s">
        <v>291</v>
      </c>
      <c r="AM3" s="450" t="s">
        <v>292</v>
      </c>
    </row>
    <row r="4" spans="1:39" ht="16.5" customHeight="1">
      <c r="A4" s="103" t="s">
        <v>324</v>
      </c>
      <c r="B4" s="361" t="str">
        <f>IF(AND(B5="1세대1주택",LEFT(B6,2)="주택"),"거주용1주택",IF(AND(B5="1세대1주택",B6="비거주"),"비거주1주택",IF(AND(B3&lt;=2,B7&lt;&gt;"조정대상지역"),"비거주1주택","3주택")))</f>
        <v>3주택</v>
      </c>
      <c r="C4" s="361" t="str">
        <f ca="1">IF(AND(C5="1세대1주택",LEFT(C6,2)="주택"),"거주용1주택",IF(AND(C5="1세대1주택",C6="비거주"),"비거주1주택",IF(AND(C3&lt;=2,C7&lt;&gt;"조정대상지역"),"비거주1주택","3주택")))</f>
        <v>3주택</v>
      </c>
      <c r="D4" s="365"/>
      <c r="E4" s="326" t="s">
        <v>297</v>
      </c>
      <c r="F4" s="457">
        <f>SUMPRODUCT(B20:G20,B35:G35)</f>
        <v>23505600</v>
      </c>
      <c r="G4" s="197">
        <f ca="1">SUMPRODUCT(B20:G20,B68:G68)</f>
        <v>1216950</v>
      </c>
      <c r="H4" s="3"/>
      <c r="I4" s="318"/>
      <c r="J4" s="3"/>
      <c r="K4" s="3"/>
      <c r="L4" s="3"/>
      <c r="M4" s="326" t="s">
        <v>94</v>
      </c>
      <c r="N4" s="457">
        <f ca="1">SUMPRODUCT(J20:O20,J35:O35)</f>
        <v>29218590</v>
      </c>
      <c r="O4" s="197">
        <f ca="1">SUMPRODUCT(J20:O20,J68:O68)</f>
        <v>1883992.5</v>
      </c>
      <c r="R4" s="3"/>
      <c r="S4" s="3"/>
      <c r="T4" s="3"/>
      <c r="U4" s="326" t="s">
        <v>94</v>
      </c>
      <c r="V4" s="457">
        <f ca="1">SUMPRODUCT(R20:W20,R35:W35)</f>
        <v>32005799.999999996</v>
      </c>
      <c r="W4" s="197">
        <f ca="1">SUMPRODUCT(R20:W20,R68:W68)</f>
        <v>2081850</v>
      </c>
      <c r="Z4" s="3"/>
      <c r="AA4" s="3"/>
      <c r="AB4" s="3"/>
      <c r="AC4" s="326" t="s">
        <v>94</v>
      </c>
      <c r="AD4" s="457">
        <f ca="1">SUMPRODUCT(Z20:AE20,Z35:AE35)</f>
        <v>33998278.5</v>
      </c>
      <c r="AE4" s="197">
        <f ca="1">SUMPRODUCT(Z20:AE20,Z68:AE68)</f>
        <v>2223291.375</v>
      </c>
      <c r="AH4" s="3"/>
      <c r="AI4" s="3"/>
      <c r="AJ4" s="3"/>
      <c r="AK4" s="326" t="s">
        <v>94</v>
      </c>
      <c r="AL4" s="457">
        <f ca="1">SUMPRODUCT(AH20:AM20,AH35:AM35)</f>
        <v>38999260.499999993</v>
      </c>
      <c r="AM4" s="197">
        <f ca="1">SUMPRODUCT(AH20:AM20,AH68:AM68)</f>
        <v>2479115.7749999999</v>
      </c>
    </row>
    <row r="5" spans="1:39" ht="16.5" customHeight="1" thickBot="1">
      <c r="A5" s="103" t="s">
        <v>321</v>
      </c>
      <c r="B5" s="358" t="s">
        <v>320</v>
      </c>
      <c r="C5" s="366" t="str">
        <f ca="1">INDIRECT("기초!c"&amp;(MATCH(C$2,기초!$B:$B,0)+3))</f>
        <v>주택</v>
      </c>
      <c r="D5" s="366"/>
      <c r="E5" s="452" t="s">
        <v>166</v>
      </c>
      <c r="F5" s="458">
        <f>B61</f>
        <v>98538726.889952153</v>
      </c>
      <c r="G5" s="459">
        <f ca="1">B94</f>
        <v>0</v>
      </c>
      <c r="H5" s="3"/>
      <c r="M5" s="452" t="s">
        <v>166</v>
      </c>
      <c r="N5" s="458">
        <f ca="1">HLOOKUP($B$4,$J$46:$L$61,16,0)</f>
        <v>172350481.17192918</v>
      </c>
      <c r="O5" s="458">
        <f ca="1">HLOOKUP($C$4,$J$79:$L$94,16,0)</f>
        <v>437724.00000000012</v>
      </c>
      <c r="U5" s="220" t="s">
        <v>166</v>
      </c>
      <c r="V5" s="458">
        <f ca="1">HLOOKUP($B$4,$R$46:$T$61,16,0)</f>
        <v>210330269.65417781</v>
      </c>
      <c r="W5" s="458">
        <f ca="1">HLOOKUP($C$4,$R$79:$T$94,16,0)</f>
        <v>453955.86206896557</v>
      </c>
      <c r="AC5" s="220" t="s">
        <v>166</v>
      </c>
      <c r="AD5" s="458">
        <f ca="1">HLOOKUP($B$4,$Z$46:$AB$61,16,0)</f>
        <v>262691348.07983387</v>
      </c>
      <c r="AE5" s="458">
        <f ca="1">HLOOKUP($C$4,$Z$79:$AB$94,16,0)</f>
        <v>782766.9912388603</v>
      </c>
      <c r="AK5" s="220" t="s">
        <v>166</v>
      </c>
      <c r="AL5" s="458">
        <f ca="1">HLOOKUP($B$4,$AH$46:$AJ$61,16,0)</f>
        <v>285922401.1286937</v>
      </c>
      <c r="AM5" s="458">
        <f ca="1">HLOOKUP($C$4,$AH$79:$AJ$94,16,0)</f>
        <v>698480.89952345681</v>
      </c>
    </row>
    <row r="6" spans="1:39" ht="16.5" customHeight="1" thickTop="1">
      <c r="A6" s="103" t="s">
        <v>309</v>
      </c>
      <c r="B6" s="358" t="s">
        <v>8</v>
      </c>
      <c r="C6" s="358" t="s">
        <v>8</v>
      </c>
      <c r="D6" s="367"/>
      <c r="E6" s="451" t="s">
        <v>311</v>
      </c>
      <c r="F6" s="460">
        <f>F4+F5</f>
        <v>122044326.88995215</v>
      </c>
      <c r="G6" s="460">
        <f ca="1">G4+G5</f>
        <v>1216950</v>
      </c>
      <c r="H6" s="3"/>
      <c r="J6" s="3"/>
      <c r="K6" s="3"/>
      <c r="L6" s="3"/>
      <c r="M6" s="451" t="s">
        <v>314</v>
      </c>
      <c r="N6" s="460">
        <f ca="1">N4+N5</f>
        <v>201569071.17192918</v>
      </c>
      <c r="O6" s="460">
        <f ca="1">O4+O5</f>
        <v>2321716.5</v>
      </c>
      <c r="R6" s="3"/>
      <c r="S6" s="3"/>
      <c r="T6" s="3"/>
      <c r="U6" s="220" t="s">
        <v>314</v>
      </c>
      <c r="V6" s="460">
        <f ca="1">V4+V5</f>
        <v>242336069.65417781</v>
      </c>
      <c r="W6" s="460">
        <f ca="1">W4+W5</f>
        <v>2535805.8620689656</v>
      </c>
      <c r="Z6" s="3"/>
      <c r="AA6" s="3"/>
      <c r="AB6" s="3"/>
      <c r="AC6" s="220" t="s">
        <v>314</v>
      </c>
      <c r="AD6" s="460">
        <f ca="1">AD4+AD5</f>
        <v>296689626.57983387</v>
      </c>
      <c r="AE6" s="460">
        <f ca="1">AE4+AE5</f>
        <v>3006058.3662388604</v>
      </c>
      <c r="AH6" s="3"/>
      <c r="AI6" s="3"/>
      <c r="AJ6" s="3"/>
      <c r="AK6" s="220" t="s">
        <v>314</v>
      </c>
      <c r="AL6" s="460">
        <f ca="1">AL4+AL5</f>
        <v>324921661.6286937</v>
      </c>
      <c r="AM6" s="460">
        <f ca="1">AM4+AM5</f>
        <v>3177596.674523457</v>
      </c>
    </row>
    <row r="7" spans="1:39" ht="16.5" customHeight="1">
      <c r="A7" s="130" t="s">
        <v>219</v>
      </c>
      <c r="B7" s="116" t="str">
        <f>HLOOKUP(B$6,기초!$C$5:$I$16,MATCH($A7,기초!$A$5:$A$16,0),0)</f>
        <v>조정대상지역</v>
      </c>
      <c r="C7" s="116" t="str">
        <f>HLOOKUP(C$6,기초!$C$5:$I$16,MATCH($A7,기초!$A$5:$A$16,0),0)</f>
        <v>조정대상지역</v>
      </c>
      <c r="D7" s="123"/>
      <c r="E7" s="123"/>
      <c r="H7" s="3"/>
      <c r="J7" s="3"/>
      <c r="K7" s="3"/>
      <c r="L7" s="3"/>
      <c r="M7" s="3"/>
      <c r="R7" s="3"/>
      <c r="S7" s="3"/>
      <c r="T7" s="3"/>
      <c r="U7" s="3"/>
      <c r="Z7" s="3"/>
      <c r="AA7" s="3"/>
      <c r="AB7" s="3"/>
      <c r="AC7" s="3"/>
      <c r="AH7" s="3"/>
      <c r="AI7" s="3"/>
      <c r="AJ7" s="3"/>
      <c r="AK7" s="3"/>
    </row>
    <row r="8" spans="1:39" ht="16.5" customHeight="1">
      <c r="F8" s="327"/>
      <c r="G8" s="91"/>
      <c r="H8" s="3"/>
      <c r="I8" s="41" t="s">
        <v>65</v>
      </c>
      <c r="J8" s="350">
        <v>0.15</v>
      </c>
      <c r="K8" s="350">
        <v>0.15</v>
      </c>
      <c r="L8" s="350">
        <v>0.15</v>
      </c>
      <c r="M8" s="350">
        <v>0.15</v>
      </c>
      <c r="N8" s="83"/>
      <c r="O8" s="368">
        <v>0</v>
      </c>
      <c r="Q8" s="18" t="s">
        <v>65</v>
      </c>
      <c r="R8" s="350">
        <v>0</v>
      </c>
      <c r="S8" s="350">
        <v>0</v>
      </c>
      <c r="T8" s="350">
        <v>0</v>
      </c>
      <c r="U8" s="350">
        <v>0</v>
      </c>
      <c r="V8" s="83"/>
      <c r="W8" s="42">
        <v>0</v>
      </c>
      <c r="Y8" s="18" t="s">
        <v>65</v>
      </c>
      <c r="Z8" s="350">
        <v>0.15</v>
      </c>
      <c r="AA8" s="350">
        <v>0.15</v>
      </c>
      <c r="AB8" s="350">
        <v>0.15</v>
      </c>
      <c r="AC8" s="350">
        <v>0.15</v>
      </c>
      <c r="AD8" s="83"/>
      <c r="AE8" s="42">
        <v>0.15</v>
      </c>
      <c r="AG8" s="18" t="s">
        <v>65</v>
      </c>
      <c r="AH8" s="350">
        <v>0.1</v>
      </c>
      <c r="AI8" s="350">
        <v>0.01</v>
      </c>
      <c r="AJ8" s="350">
        <v>0.03</v>
      </c>
      <c r="AK8" s="350">
        <v>0.05</v>
      </c>
      <c r="AL8" s="83"/>
      <c r="AM8" s="42">
        <v>0.15</v>
      </c>
    </row>
    <row r="9" spans="1:39" ht="16.5" customHeight="1">
      <c r="A9" s="349">
        <v>2026</v>
      </c>
      <c r="B9" s="351" t="s">
        <v>8</v>
      </c>
      <c r="C9" s="351" t="s">
        <v>9</v>
      </c>
      <c r="D9" s="351" t="s">
        <v>11</v>
      </c>
      <c r="E9" s="351" t="s">
        <v>12</v>
      </c>
      <c r="F9" s="171" t="s">
        <v>68</v>
      </c>
      <c r="G9" s="83" t="s">
        <v>13</v>
      </c>
      <c r="H9" s="3"/>
      <c r="I9" s="349">
        <f>A9+1</f>
        <v>2027</v>
      </c>
      <c r="J9" s="351" t="s">
        <v>8</v>
      </c>
      <c r="K9" s="351" t="s">
        <v>9</v>
      </c>
      <c r="L9" s="351" t="s">
        <v>11</v>
      </c>
      <c r="M9" s="351" t="s">
        <v>12</v>
      </c>
      <c r="N9" s="171" t="s">
        <v>68</v>
      </c>
      <c r="O9" s="83" t="s">
        <v>13</v>
      </c>
      <c r="Q9" s="176">
        <f>I9+1</f>
        <v>2028</v>
      </c>
      <c r="R9" s="351" t="s">
        <v>8</v>
      </c>
      <c r="S9" s="351" t="s">
        <v>9</v>
      </c>
      <c r="T9" s="351" t="s">
        <v>11</v>
      </c>
      <c r="U9" s="351" t="s">
        <v>12</v>
      </c>
      <c r="V9" s="171" t="s">
        <v>68</v>
      </c>
      <c r="W9" s="83" t="s">
        <v>13</v>
      </c>
      <c r="Y9" s="176">
        <f>Q9+1</f>
        <v>2029</v>
      </c>
      <c r="Z9" s="351" t="s">
        <v>8</v>
      </c>
      <c r="AA9" s="351" t="s">
        <v>9</v>
      </c>
      <c r="AB9" s="351" t="s">
        <v>11</v>
      </c>
      <c r="AC9" s="351" t="s">
        <v>12</v>
      </c>
      <c r="AD9" s="171" t="s">
        <v>68</v>
      </c>
      <c r="AE9" s="83" t="s">
        <v>13</v>
      </c>
      <c r="AG9" s="176">
        <f>Y9+1</f>
        <v>2030</v>
      </c>
      <c r="AH9" s="351" t="s">
        <v>8</v>
      </c>
      <c r="AI9" s="351" t="s">
        <v>9</v>
      </c>
      <c r="AJ9" s="351" t="s">
        <v>11</v>
      </c>
      <c r="AK9" s="351" t="s">
        <v>12</v>
      </c>
      <c r="AL9" s="171" t="s">
        <v>68</v>
      </c>
      <c r="AM9" s="83" t="s">
        <v>13</v>
      </c>
    </row>
    <row r="10" spans="1:39" ht="16.5" customHeight="1">
      <c r="A10" s="3"/>
      <c r="B10" s="352" t="str">
        <f>IF(OR($B$5="1세대1주택"),"1세대1주택","주택")</f>
        <v>주택</v>
      </c>
      <c r="C10" s="352" t="str">
        <f>IF(OR($B$5="1세대1주택"),"1세대1주택","주택")</f>
        <v>주택</v>
      </c>
      <c r="D10" s="352" t="str">
        <f t="shared" ref="D10:E10" si="0">IF(OR($B$5="1세대1주택"),"1세대1주택","주택")</f>
        <v>주택</v>
      </c>
      <c r="E10" s="352" t="str">
        <f t="shared" si="0"/>
        <v>주택</v>
      </c>
      <c r="F10" s="103" t="s">
        <v>254</v>
      </c>
      <c r="G10" s="170" t="s">
        <v>72</v>
      </c>
      <c r="H10" s="3"/>
      <c r="I10" s="83"/>
      <c r="J10" s="352" t="str">
        <f>B$10</f>
        <v>주택</v>
      </c>
      <c r="K10" s="352" t="str">
        <f t="shared" ref="K10:M10" si="1">C$10</f>
        <v>주택</v>
      </c>
      <c r="L10" s="352" t="str">
        <f t="shared" si="1"/>
        <v>주택</v>
      </c>
      <c r="M10" s="352" t="str">
        <f t="shared" si="1"/>
        <v>주택</v>
      </c>
      <c r="N10" s="103" t="s">
        <v>254</v>
      </c>
      <c r="O10" s="170" t="s">
        <v>72</v>
      </c>
      <c r="Q10" s="83"/>
      <c r="R10" s="352" t="str">
        <f>J$10</f>
        <v>주택</v>
      </c>
      <c r="S10" s="352" t="str">
        <f t="shared" ref="S10:U10" si="2">K$10</f>
        <v>주택</v>
      </c>
      <c r="T10" s="352" t="str">
        <f t="shared" si="2"/>
        <v>주택</v>
      </c>
      <c r="U10" s="352" t="str">
        <f t="shared" si="2"/>
        <v>주택</v>
      </c>
      <c r="V10" s="103" t="s">
        <v>254</v>
      </c>
      <c r="W10" s="280" t="s">
        <v>72</v>
      </c>
      <c r="Y10" s="83"/>
      <c r="Z10" s="352" t="str">
        <f>R$10</f>
        <v>주택</v>
      </c>
      <c r="AA10" s="352" t="str">
        <f t="shared" ref="AA10:AC10" si="3">S$10</f>
        <v>주택</v>
      </c>
      <c r="AB10" s="352" t="str">
        <f t="shared" si="3"/>
        <v>주택</v>
      </c>
      <c r="AC10" s="352" t="str">
        <f t="shared" si="3"/>
        <v>주택</v>
      </c>
      <c r="AD10" s="103" t="s">
        <v>254</v>
      </c>
      <c r="AE10" s="280" t="s">
        <v>72</v>
      </c>
      <c r="AG10" s="83"/>
      <c r="AH10" s="352" t="str">
        <f>Z$10</f>
        <v>주택</v>
      </c>
      <c r="AI10" s="352" t="str">
        <f t="shared" ref="AI10:AK10" si="4">AA$10</f>
        <v>주택</v>
      </c>
      <c r="AJ10" s="352" t="str">
        <f t="shared" si="4"/>
        <v>주택</v>
      </c>
      <c r="AK10" s="352" t="str">
        <f t="shared" si="4"/>
        <v>주택</v>
      </c>
      <c r="AL10" s="103" t="s">
        <v>254</v>
      </c>
      <c r="AM10" s="280" t="s">
        <v>72</v>
      </c>
    </row>
    <row r="11" spans="1:39" s="199" customFormat="1" ht="16.5" customHeight="1">
      <c r="A11" s="178" t="s">
        <v>38</v>
      </c>
      <c r="B11" s="197">
        <f>HLOOKUP(B$9,기초!$C$5:$I$16,MATCH($A11,기초!$A$5:$A$16,0),0)</f>
        <v>3500000000</v>
      </c>
      <c r="C11" s="197">
        <f>HLOOKUP(C$9,기초!$C$5:$I$16,MATCH($A11,기초!$A$5:$A$16,0),0)</f>
        <v>1150000000</v>
      </c>
      <c r="D11" s="197">
        <f>HLOOKUP(D$9,기초!$C$5:$I$16,MATCH($A11,기초!$A$5:$A$16,0),0)</f>
        <v>1724999999.9999998</v>
      </c>
      <c r="E11" s="197">
        <f>HLOOKUP(E$9,기초!$C$5:$I$16,MATCH($A11,기초!$A$5:$A$16,0),0)</f>
        <v>2300000000</v>
      </c>
      <c r="F11" s="198">
        <f>SUM(B11:E11)</f>
        <v>8675000000</v>
      </c>
      <c r="G11" s="197">
        <f>HLOOKUP(G$9,[1]기초!$C$5:$I$16,MATCH($A11,[1]기초!$A$5:$A$16,0),0)</f>
        <v>0</v>
      </c>
      <c r="H11" s="121"/>
      <c r="I11" s="206" t="s">
        <v>74</v>
      </c>
      <c r="J11" s="348">
        <f>B11*(1+J8)</f>
        <v>4024999999.9999995</v>
      </c>
      <c r="K11" s="348">
        <f t="shared" ref="K11:M11" si="5">C11*(1+K8)</f>
        <v>1322500000</v>
      </c>
      <c r="L11" s="348">
        <f t="shared" si="5"/>
        <v>1983749999.9999995</v>
      </c>
      <c r="M11" s="348">
        <f t="shared" si="5"/>
        <v>2645000000</v>
      </c>
      <c r="N11" s="198">
        <f>SUM(J11:M11)</f>
        <v>9976250000</v>
      </c>
      <c r="O11" s="120">
        <f>G11*(1+O8)</f>
        <v>0</v>
      </c>
      <c r="Q11" s="281" t="s">
        <v>74</v>
      </c>
      <c r="R11" s="348">
        <f>J11*(1+R8)</f>
        <v>4024999999.9999995</v>
      </c>
      <c r="S11" s="348">
        <f t="shared" ref="S11:U11" si="6">K11*(1+S8)</f>
        <v>1322500000</v>
      </c>
      <c r="T11" s="348">
        <f t="shared" si="6"/>
        <v>1983749999.9999995</v>
      </c>
      <c r="U11" s="348">
        <f t="shared" si="6"/>
        <v>2645000000</v>
      </c>
      <c r="V11" s="198">
        <f>SUM(R11:U11)</f>
        <v>9976250000</v>
      </c>
      <c r="W11" s="282">
        <f>O11*(1+W8)</f>
        <v>0</v>
      </c>
      <c r="Y11" s="281" t="s">
        <v>74</v>
      </c>
      <c r="Z11" s="348">
        <f>R11*(1+Z8)</f>
        <v>4628749999.999999</v>
      </c>
      <c r="AA11" s="348">
        <f t="shared" ref="AA11:AC11" si="7">S11*(1+AA8)</f>
        <v>1520875000</v>
      </c>
      <c r="AB11" s="348">
        <f t="shared" si="7"/>
        <v>2281312499.999999</v>
      </c>
      <c r="AC11" s="348">
        <f t="shared" si="7"/>
        <v>3041750000</v>
      </c>
      <c r="AD11" s="198">
        <f>SUM(Z11:AC11)</f>
        <v>11472687499.999998</v>
      </c>
      <c r="AE11" s="282">
        <f>W11*(1+AE8)</f>
        <v>0</v>
      </c>
      <c r="AG11" s="281" t="s">
        <v>74</v>
      </c>
      <c r="AH11" s="348">
        <f>Z11*(1+AH8)</f>
        <v>5091624999.999999</v>
      </c>
      <c r="AI11" s="348">
        <f t="shared" ref="AI11:AK11" si="8">AA11*(1+AI8)</f>
        <v>1536083750</v>
      </c>
      <c r="AJ11" s="348">
        <f t="shared" si="8"/>
        <v>2349751874.999999</v>
      </c>
      <c r="AK11" s="348">
        <f t="shared" si="8"/>
        <v>3193837500</v>
      </c>
      <c r="AL11" s="198">
        <f>SUM(AH11:AK11)</f>
        <v>12171298124.999998</v>
      </c>
      <c r="AM11" s="282">
        <f>AE11*(1+AM8)</f>
        <v>0</v>
      </c>
    </row>
    <row r="12" spans="1:39" ht="16.5" customHeight="1">
      <c r="A12" s="179" t="s">
        <v>76</v>
      </c>
      <c r="B12" s="105">
        <f>IF(B$10="1세대1주택",
IF(B11&lt;=3*10^8,43%,
IF(B11&lt;=6*10^8,44%,
45%)),
VLOOKUP(B$10,t!$H$3:$I$9,2,0))</f>
        <v>0.6</v>
      </c>
      <c r="C12" s="105">
        <f>IF(C$10="1세대1주택",
IF(C11&lt;=3*10^8,43%,
IF(C11&lt;=6*10^8,44%,
45%)),
VLOOKUP(C$10,t!$H$3:$I$9,2,0))</f>
        <v>0.6</v>
      </c>
      <c r="D12" s="105">
        <f>IF(D$10="1세대1주택",
IF(D11&lt;=3*10^8,43%,
IF(D11&lt;=6*10^8,44%,
45%)),
VLOOKUP(D$10,t!$H$3:$I$9,2,0))</f>
        <v>0.6</v>
      </c>
      <c r="E12" s="105">
        <f>IF(E$10="1세대1주택",
IF(E11&lt;=3*10^8,43%,
IF(E11&lt;=6*10^8,44%,
45%)),
VLOOKUP(E$10,t!$H$3:$I$9,2,0))</f>
        <v>0.6</v>
      </c>
      <c r="F12" s="369">
        <f>IF(B10="1세대1주택",B12,60%)</f>
        <v>0.6</v>
      </c>
      <c r="G12" s="105">
        <f>IF(G10="1세대1주택",
IF(G11&lt;=3*10^8,43%,
IF(G11&lt;=6*10^8,44%,
45%)),
VLOOKUP(G10,t!$H$3:$I$9,2,0))</f>
        <v>0.7</v>
      </c>
      <c r="H12" s="3"/>
      <c r="I12" s="180" t="s">
        <v>76</v>
      </c>
      <c r="J12" s="188">
        <f>IF(J$10="1세대1주택",
IF(J11&lt;=3*10^8,43%,
IF(J11&lt;=6*10^8,44%,
45%)),
VLOOKUP(J$10,t!$H$3:$I$9,2,0))</f>
        <v>0.6</v>
      </c>
      <c r="K12" s="188">
        <f>IF(K$10="1세대1주택",
IF(K11&lt;=3*10^8,43%,
IF(K11&lt;=6*10^8,44%,
45%)),
VLOOKUP(K$10,t!$H$3:$I$9,2,0))</f>
        <v>0.6</v>
      </c>
      <c r="L12" s="188">
        <f>IF(L$10="1세대1주택",
IF(L11&lt;=3*10^8,43%,
IF(L11&lt;=6*10^8,44%,
45%)),
VLOOKUP(L$10,t!$H$3:$I$9,2,0))</f>
        <v>0.6</v>
      </c>
      <c r="M12" s="188">
        <f>IF(M$10="1세대1주택",
IF(M11&lt;=3*10^8,43%,
IF(M11&lt;=6*10^8,44%,
45%)),
VLOOKUP(M$10,t!$H$3:$I$9,2,0))</f>
        <v>0.6</v>
      </c>
      <c r="N12" s="369">
        <f>IF(J10="1세대1주택",J12,60%)</f>
        <v>0.6</v>
      </c>
      <c r="O12" s="105">
        <f>IF(O10="1세대1주택",
IF(O11&lt;=3*10^8,43%,
IF(O11&lt;=6*10^8,44%,
45%)),
VLOOKUP(O10,t!$H$3:$I$9,2,0))</f>
        <v>0.7</v>
      </c>
      <c r="Q12" s="283" t="s">
        <v>76</v>
      </c>
      <c r="R12" s="188">
        <f>IF(R$10="1세대1주택",
IF(R11&lt;=3*10^8,43%,
IF(R11&lt;=6*10^8,44%,
45%)),
VLOOKUP(R$10,t!$H$3:$I$9,2,0))</f>
        <v>0.6</v>
      </c>
      <c r="S12" s="188">
        <f>IF(S$10="1세대1주택",
IF(S11&lt;=3*10^8,43%,
IF(S11&lt;=6*10^8,44%,
45%)),
VLOOKUP(S$10,t!$H$3:$I$9,2,0))</f>
        <v>0.6</v>
      </c>
      <c r="T12" s="188">
        <f>IF(T$10="1세대1주택",
IF(T11&lt;=3*10^8,43%,
IF(T11&lt;=6*10^8,44%,
45%)),
VLOOKUP(T$10,t!$H$3:$I$9,2,0))</f>
        <v>0.6</v>
      </c>
      <c r="U12" s="188">
        <f>IF(U$10="1세대1주택",
IF(U11&lt;=3*10^8,43%,
IF(U11&lt;=6*10^8,44%,
45%)),
VLOOKUP(U$10,t!$H$3:$I$9,2,0))</f>
        <v>0.6</v>
      </c>
      <c r="V12" s="369">
        <f>IF(R10="1세대1주택",R12,60%)</f>
        <v>0.6</v>
      </c>
      <c r="W12" s="105">
        <f>IF(W10="1세대1주택",
IF(W11&lt;=3*10^8,43%,
IF(W11&lt;=6*10^8,44%,
45%)),
VLOOKUP(W10,t!$H$3:$I$9,2,0))</f>
        <v>0.7</v>
      </c>
      <c r="Y12" s="283" t="s">
        <v>76</v>
      </c>
      <c r="Z12" s="188">
        <f>IF(Z$10="1세대1주택",
IF(Z11&lt;=3*10^8,43%,
IF(Z11&lt;=6*10^8,44%,
45%)),
VLOOKUP(Z$10,t!$H$3:$I$9,2,0))</f>
        <v>0.6</v>
      </c>
      <c r="AA12" s="188">
        <f>IF(AA$10="1세대1주택",
IF(AA11&lt;=3*10^8,43%,
IF(AA11&lt;=6*10^8,44%,
45%)),
VLOOKUP(AA$10,t!$H$3:$I$9,2,0))</f>
        <v>0.6</v>
      </c>
      <c r="AB12" s="188">
        <f>IF(AB$10="1세대1주택",
IF(AB11&lt;=3*10^8,43%,
IF(AB11&lt;=6*10^8,44%,
45%)),
VLOOKUP(AB$10,t!$H$3:$I$9,2,0))</f>
        <v>0.6</v>
      </c>
      <c r="AC12" s="188">
        <f>IF(AC$10="1세대1주택",
IF(AC11&lt;=3*10^8,43%,
IF(AC11&lt;=6*10^8,44%,
45%)),
VLOOKUP(AC$10,t!$H$3:$I$9,2,0))</f>
        <v>0.6</v>
      </c>
      <c r="AD12" s="369">
        <f>IF(Z10="1세대1주택",Z12,60%)</f>
        <v>0.6</v>
      </c>
      <c r="AE12" s="105">
        <f>IF(AE10="1세대1주택",
IF(AE11&lt;=3*10^8,43%,
IF(AE11&lt;=6*10^8,44%,
45%)),
VLOOKUP(AE10,t!$H$3:$I$9,2,0))</f>
        <v>0.7</v>
      </c>
      <c r="AG12" s="283" t="s">
        <v>76</v>
      </c>
      <c r="AH12" s="188">
        <f>IF(AH$10="1세대1주택",
IF(AH11&lt;=3*10^8,43%,
IF(AH11&lt;=6*10^8,44%,
45%)),
VLOOKUP(AH$10,t!$H$3:$I$9,2,0))</f>
        <v>0.6</v>
      </c>
      <c r="AI12" s="188">
        <f>IF(AI$10="1세대1주택",
IF(AI11&lt;=3*10^8,43%,
IF(AI11&lt;=6*10^8,44%,
45%)),
VLOOKUP(AI$10,t!$H$3:$I$9,2,0))</f>
        <v>0.6</v>
      </c>
      <c r="AJ12" s="188">
        <f>IF(AJ$10="1세대1주택",
IF(AJ11&lt;=3*10^8,43%,
IF(AJ11&lt;=6*10^8,44%,
45%)),
VLOOKUP(AJ$10,t!$H$3:$I$9,2,0))</f>
        <v>0.6</v>
      </c>
      <c r="AK12" s="188">
        <f>IF(AK$10="1세대1주택",
IF(AK11&lt;=3*10^8,43%,
IF(AK11&lt;=6*10^8,44%,
45%)),
VLOOKUP(AK$10,t!$H$3:$I$9,2,0))</f>
        <v>0.6</v>
      </c>
      <c r="AL12" s="369">
        <f>IF(AH10="1세대1주택",AH12,60%)</f>
        <v>0.6</v>
      </c>
      <c r="AM12" s="105">
        <f>IF(AM10="1세대1주택",
IF(AM11&lt;=3*10^8,43%,
IF(AM11&lt;=6*10^8,44%,
45%)),
VLOOKUP(AM10,t!$H$3:$I$9,2,0))</f>
        <v>0.7</v>
      </c>
    </row>
    <row r="13" spans="1:39" ht="16.5" customHeight="1">
      <c r="A13" s="180" t="s">
        <v>84</v>
      </c>
      <c r="B13" s="154">
        <f>IF(RIGHT(B10,2)="주택",MIN(B11*B12,B23*B12+B11*B12*5%),B11*B12)</f>
        <v>2100000000</v>
      </c>
      <c r="C13" s="154">
        <f>IF(RIGHT(C10,2)="주택",MIN(C11*C12,C23*C12+C11*C12*5%),C11*C12)</f>
        <v>514500000</v>
      </c>
      <c r="D13" s="154">
        <f t="shared" ref="D13:E13" si="9">IF(RIGHT(D10,2)="주택",MIN(D11*D12,D23*D12+D11*D12*5%),D11*D12)</f>
        <v>771750000</v>
      </c>
      <c r="E13" s="154">
        <f t="shared" si="9"/>
        <v>1089000000</v>
      </c>
      <c r="F13" s="23">
        <f>F11*F12</f>
        <v>5205000000</v>
      </c>
      <c r="G13" s="61">
        <f>IF(RIGHT(G10,2)="주택",MIN(G11*G12,G24*G12+G11*G12*5%),G11*G12)</f>
        <v>0</v>
      </c>
      <c r="H13" s="3"/>
      <c r="I13" s="180" t="s">
        <v>86</v>
      </c>
      <c r="J13" s="189">
        <f>IF(RIGHT(J10,2)="주택",MIN(J11*J12,J23*J12+J11*J12*5%),J11*J12)</f>
        <v>2220750000</v>
      </c>
      <c r="K13" s="189">
        <f t="shared" ref="K13:M13" si="10">IF(RIGHT(K10,2)="주택",MIN(K11*K12,K23*K12+K11*K12*5%),K11*K12)</f>
        <v>729675000</v>
      </c>
      <c r="L13" s="189">
        <f t="shared" si="10"/>
        <v>1094512499.9999998</v>
      </c>
      <c r="M13" s="189">
        <f t="shared" si="10"/>
        <v>1459350000</v>
      </c>
      <c r="N13" s="23">
        <f>N11*N12</f>
        <v>5985750000</v>
      </c>
      <c r="O13" s="61">
        <f>IF(RIGHT(O10,2)="주택",MIN(O11*O12,O23*O12+O11*O12*5%),O11*O12)</f>
        <v>0</v>
      </c>
      <c r="Q13" s="283" t="s">
        <v>86</v>
      </c>
      <c r="R13" s="189">
        <f>IF(RIGHT(R10,2)="주택",MIN(R11*R12,R23*R12+R11*R12*5%),R11*R12)</f>
        <v>2414999999.9999995</v>
      </c>
      <c r="S13" s="189">
        <f t="shared" ref="S13:U13" si="11">IF(RIGHT(S10,2)="주택",MIN(S11*S12,S23*S12+S11*S12*5%),S11*S12)</f>
        <v>793500000</v>
      </c>
      <c r="T13" s="189">
        <f t="shared" si="11"/>
        <v>1190249999.9999998</v>
      </c>
      <c r="U13" s="189">
        <f t="shared" si="11"/>
        <v>1587000000</v>
      </c>
      <c r="V13" s="23">
        <f>V11*V12</f>
        <v>5985750000</v>
      </c>
      <c r="W13" s="61">
        <f>IF(RIGHT(W10,2)="주택",MIN(W11*W12,W23*W12+W11*W12*5%),W11*W12)</f>
        <v>0</v>
      </c>
      <c r="Y13" s="283" t="s">
        <v>86</v>
      </c>
      <c r="Z13" s="189">
        <f>IF(RIGHT(Z10,2)="주택",MIN(Z11*Z12,Z23*Z12+Z11*Z12*5%),Z11*Z12)</f>
        <v>2553862499.9999995</v>
      </c>
      <c r="AA13" s="189">
        <f t="shared" ref="AA13:AC13" si="12">IF(RIGHT(AA10,2)="주택",MIN(AA11*AA12,AA23*AA12+AA11*AA12*5%),AA11*AA12)</f>
        <v>839126250</v>
      </c>
      <c r="AB13" s="189">
        <f t="shared" si="12"/>
        <v>1258689374.9999998</v>
      </c>
      <c r="AC13" s="189">
        <f t="shared" si="12"/>
        <v>1678252500</v>
      </c>
      <c r="AD13" s="23">
        <f>AD11*AD12</f>
        <v>6883612499.999999</v>
      </c>
      <c r="AE13" s="61">
        <f>IF(RIGHT(AE10,2)="주택",MIN(AE11*AE12,AE23*AE12+AE11*AE12*5%),AE11*AE12)</f>
        <v>0</v>
      </c>
      <c r="AG13" s="283" t="s">
        <v>86</v>
      </c>
      <c r="AH13" s="189">
        <f>IF(RIGHT(AH10,2)="주택",MIN(AH11*AH12,AH23*AH12+AH11*AH12*5%),AH11*AH12)</f>
        <v>2929998749.9999995</v>
      </c>
      <c r="AI13" s="189">
        <f t="shared" ref="AI13:AK13" si="13">IF(RIGHT(AI10,2)="주택",MIN(AI11*AI12,AI23*AI12+AI11*AI12*5%),AI11*AI12)</f>
        <v>921650250</v>
      </c>
      <c r="AJ13" s="189">
        <f t="shared" si="13"/>
        <v>1409851124.9999993</v>
      </c>
      <c r="AK13" s="189">
        <f t="shared" si="13"/>
        <v>1916302500</v>
      </c>
      <c r="AL13" s="23">
        <f>AL11*AL12</f>
        <v>7302778874.999999</v>
      </c>
      <c r="AM13" s="61">
        <f>IF(RIGHT(AM10,2)="주택",MIN(AM11*AM12,AM23*AM12+AM11*AM12*5%),AM11*AM12)</f>
        <v>0</v>
      </c>
    </row>
    <row r="14" spans="1:39" ht="16.5" customHeight="1">
      <c r="A14" s="181" t="s">
        <v>88</v>
      </c>
      <c r="B14" s="115">
        <f t="array" ref="B14">IF(AND(B10="1세대1주택",B11&lt;=9*10^8),INDEX(t!$D$3:$D$6,MATCH(TRUE,B13&lt;=t!$A$3:$A$6,0)),INDEX(t!$B$3:$B$6,MATCH(TRUE,B13&lt;=t!$A$3:$A$6,0)))</f>
        <v>4.0000000000000001E-3</v>
      </c>
      <c r="C14" s="115">
        <f t="array" ref="C14">IF(AND(C10="1세대1주택",C11&lt;=9*10^8),INDEX(t!$D$3:$D$6,MATCH(TRUE,C13&lt;=t!$A$3:$A$6,0)),INDEX(t!$B$3:$B$6,MATCH(TRUE,C13&lt;=t!$A$3:$A$6,0)))</f>
        <v>4.0000000000000001E-3</v>
      </c>
      <c r="D14" s="115">
        <f t="array" ref="D14">IF(AND(D10="1세대1주택",D11&lt;=9*10^8),INDEX(t!$D$3:$D$6,MATCH(TRUE,D13&lt;=t!$A$3:$A$6,0)),INDEX(t!$B$3:$B$6,MATCH(TRUE,D13&lt;=t!$A$3:$A$6,0)))</f>
        <v>4.0000000000000001E-3</v>
      </c>
      <c r="E14" s="115">
        <f t="array" ref="E14">IF(AND(E10="1세대1주택",E11&lt;=9*10^8),INDEX(t!$D$3:$D$6,MATCH(TRUE,E13&lt;=t!$A$3:$A$6,0)),INDEX(t!$B$3:$B$6,MATCH(TRUE,E13&lt;=t!$A$3:$A$6,0)))</f>
        <v>4.0000000000000001E-3</v>
      </c>
      <c r="F14" s="13">
        <f t="array" ref="F14">INDEX(t!$B$3:$B$6,MATCH(TRUE,F13&lt;=t!$A$3:$A$6,0))</f>
        <v>4.0000000000000001E-3</v>
      </c>
      <c r="G14" s="13">
        <v>2.5000000000000001E-3</v>
      </c>
      <c r="H14" s="3"/>
      <c r="I14" s="180" t="s">
        <v>88</v>
      </c>
      <c r="J14" s="190">
        <f t="array" ref="J14">IF(AND(J10="1세대1주택",J11&lt;=9*10^8),INDEX(t!$D$3:$D$6,MATCH(TRUE,J13&lt;=t!$A$3:$A$6,0)),INDEX(t!$B$3:$B$6,MATCH(TRUE,J13&lt;=t!$A$3:$A$6,0)))</f>
        <v>4.0000000000000001E-3</v>
      </c>
      <c r="K14" s="190">
        <f t="array" ref="K14">IF(AND(K10="1세대1주택",K11&lt;=9*10^8),INDEX(t!$D$3:$D$6,MATCH(TRUE,K13&lt;=t!$A$3:$A$6,0)),INDEX(t!$B$3:$B$6,MATCH(TRUE,K13&lt;=t!$A$3:$A$6,0)))</f>
        <v>4.0000000000000001E-3</v>
      </c>
      <c r="L14" s="190">
        <f t="array" ref="L14">IF(AND(L10="1세대1주택",L11&lt;=9*10^8),INDEX(t!$D$3:$D$6,MATCH(TRUE,L13&lt;=t!$A$3:$A$6,0)),INDEX(t!$B$3:$B$6,MATCH(TRUE,L13&lt;=t!$A$3:$A$6,0)))</f>
        <v>4.0000000000000001E-3</v>
      </c>
      <c r="M14" s="190">
        <f t="array" ref="M14">IF(AND(M10="1세대1주택",M11&lt;=9*10^8),INDEX(t!$D$3:$D$6,MATCH(TRUE,M13&lt;=t!$A$3:$A$6,0)),INDEX(t!$B$3:$B$6,MATCH(TRUE,M13&lt;=t!$A$3:$A$6,0)))</f>
        <v>4.0000000000000001E-3</v>
      </c>
      <c r="N14" s="13">
        <f t="array" ref="N14">INDEX(t!$B$3:$B$6,MATCH(TRUE,N13&lt;=t!$A$3:$A$6,0))</f>
        <v>4.0000000000000001E-3</v>
      </c>
      <c r="O14" s="13">
        <v>2.5000000000000001E-3</v>
      </c>
      <c r="Q14" s="284" t="s">
        <v>88</v>
      </c>
      <c r="R14" s="190">
        <f t="array" ref="R14">IF(AND(R10="1세대1주택",R11&lt;=9*10^8),INDEX(t!$D$3:$D$6,MATCH(TRUE,R13&lt;=t!$A$3:$A$6,0)),INDEX(t!$B$3:$B$6,MATCH(TRUE,R13&lt;=t!$A$3:$A$6,0)))</f>
        <v>4.0000000000000001E-3</v>
      </c>
      <c r="S14" s="190">
        <f t="array" ref="S14">IF(AND(S10="1세대1주택",S11&lt;=9*10^8),INDEX(t!$D$3:$D$6,MATCH(TRUE,S13&lt;=t!$A$3:$A$6,0)),INDEX(t!$B$3:$B$6,MATCH(TRUE,S13&lt;=t!$A$3:$A$6,0)))</f>
        <v>4.0000000000000001E-3</v>
      </c>
      <c r="T14" s="190">
        <f t="array" ref="T14">IF(AND(T10="1세대1주택",T11&lt;=9*10^8),INDEX(t!$D$3:$D$6,MATCH(TRUE,T13&lt;=t!$A$3:$A$6,0)),INDEX(t!$B$3:$B$6,MATCH(TRUE,T13&lt;=t!$A$3:$A$6,0)))</f>
        <v>4.0000000000000001E-3</v>
      </c>
      <c r="U14" s="190">
        <f t="array" ref="U14">IF(AND(U10="1세대1주택",U11&lt;=9*10^8),INDEX(t!$D$3:$D$6,MATCH(TRUE,U13&lt;=t!$A$3:$A$6,0)),INDEX(t!$B$3:$B$6,MATCH(TRUE,U13&lt;=t!$A$3:$A$6,0)))</f>
        <v>4.0000000000000001E-3</v>
      </c>
      <c r="V14" s="13">
        <f t="array" ref="V14">INDEX(t!$B$3:$B$6,MATCH(TRUE,V13&lt;=t!$A$3:$A$6,0))</f>
        <v>4.0000000000000001E-3</v>
      </c>
      <c r="W14" s="13">
        <v>2.5000000000000001E-3</v>
      </c>
      <c r="Y14" s="284" t="s">
        <v>88</v>
      </c>
      <c r="Z14" s="190">
        <f t="array" ref="Z14">IF(AND(Z10="1세대1주택",Z11&lt;=9*10^8),INDEX(t!$D$3:$D$6,MATCH(TRUE,Z13&lt;=t!$A$3:$A$6,0)),INDEX(t!$B$3:$B$6,MATCH(TRUE,Z13&lt;=t!$A$3:$A$6,0)))</f>
        <v>4.0000000000000001E-3</v>
      </c>
      <c r="AA14" s="190">
        <f t="array" ref="AA14">IF(AND(AA10="1세대1주택",AA11&lt;=9*10^8),INDEX(t!$D$3:$D$6,MATCH(TRUE,AA13&lt;=t!$A$3:$A$6,0)),INDEX(t!$B$3:$B$6,MATCH(TRUE,AA13&lt;=t!$A$3:$A$6,0)))</f>
        <v>4.0000000000000001E-3</v>
      </c>
      <c r="AB14" s="190">
        <f t="array" ref="AB14">IF(AND(AB10="1세대1주택",AB11&lt;=9*10^8),INDEX(t!$D$3:$D$6,MATCH(TRUE,AB13&lt;=t!$A$3:$A$6,0)),INDEX(t!$B$3:$B$6,MATCH(TRUE,AB13&lt;=t!$A$3:$A$6,0)))</f>
        <v>4.0000000000000001E-3</v>
      </c>
      <c r="AC14" s="190">
        <f t="array" ref="AC14">IF(AND(AC10="1세대1주택",AC11&lt;=9*10^8),INDEX(t!$D$3:$D$6,MATCH(TRUE,AC13&lt;=t!$A$3:$A$6,0)),INDEX(t!$B$3:$B$6,MATCH(TRUE,AC13&lt;=t!$A$3:$A$6,0)))</f>
        <v>4.0000000000000001E-3</v>
      </c>
      <c r="AD14" s="13">
        <f t="array" ref="AD14">INDEX(t!$B$3:$B$6,MATCH(TRUE,AD13&lt;=t!$A$3:$A$6,0))</f>
        <v>4.0000000000000001E-3</v>
      </c>
      <c r="AE14" s="13">
        <v>2.5000000000000001E-3</v>
      </c>
      <c r="AG14" s="284" t="s">
        <v>88</v>
      </c>
      <c r="AH14" s="190">
        <f t="array" ref="AH14">IF(AND(AH10="1세대1주택",AH11&lt;=9*10^8),INDEX(t!$D$3:$D$6,MATCH(TRUE,AH13&lt;=t!$A$3:$A$6,0)),INDEX(t!$B$3:$B$6,MATCH(TRUE,AH13&lt;=t!$A$3:$A$6,0)))</f>
        <v>4.0000000000000001E-3</v>
      </c>
      <c r="AI14" s="190">
        <f t="array" ref="AI14">IF(AND(AI10="1세대1주택",AI11&lt;=9*10^8),INDEX(t!$D$3:$D$6,MATCH(TRUE,AI13&lt;=t!$A$3:$A$6,0)),INDEX(t!$B$3:$B$6,MATCH(TRUE,AI13&lt;=t!$A$3:$A$6,0)))</f>
        <v>4.0000000000000001E-3</v>
      </c>
      <c r="AJ14" s="190">
        <f t="array" ref="AJ14">IF(AND(AJ10="1세대1주택",AJ11&lt;=9*10^8),INDEX(t!$D$3:$D$6,MATCH(TRUE,AJ13&lt;=t!$A$3:$A$6,0)),INDEX(t!$B$3:$B$6,MATCH(TRUE,AJ13&lt;=t!$A$3:$A$6,0)))</f>
        <v>4.0000000000000001E-3</v>
      </c>
      <c r="AK14" s="190">
        <f t="array" ref="AK14">IF(AND(AK10="1세대1주택",AK11&lt;=9*10^8),INDEX(t!$D$3:$D$6,MATCH(TRUE,AK13&lt;=t!$A$3:$A$6,0)),INDEX(t!$B$3:$B$6,MATCH(TRUE,AK13&lt;=t!$A$3:$A$6,0)))</f>
        <v>4.0000000000000001E-3</v>
      </c>
      <c r="AL14" s="13">
        <f t="array" ref="AL14">INDEX(t!$B$3:$B$6,MATCH(TRUE,AL13&lt;=t!$A$3:$A$6,0))</f>
        <v>4.0000000000000001E-3</v>
      </c>
      <c r="AM14" s="13">
        <v>2.5000000000000001E-3</v>
      </c>
    </row>
    <row r="15" spans="1:39" ht="16.5" customHeight="1" thickBot="1">
      <c r="A15" s="182" t="s">
        <v>63</v>
      </c>
      <c r="B15" s="60">
        <f>B13*B14-VLOOKUP(B14,IF(AND(B10="1세대1주택",B11&lt;=9*10^8),t!$D$2:$E$6,t!$B$2:$C$6),2,0)</f>
        <v>7770000</v>
      </c>
      <c r="C15" s="60">
        <f>C13*C14-VLOOKUP(C14,IF(AND(C10="1세대1주택",C11&lt;=9*10^8),t!$D$2:$E$6,t!$B$2:$C$6),2,0)</f>
        <v>1428000</v>
      </c>
      <c r="D15" s="60">
        <f>D13*D14-VLOOKUP(D14,IF(AND(D10="1세대1주택",D11&lt;=9*10^8),t!$D$2:$E$6,t!$B$2:$C$6),2,0)</f>
        <v>2457000</v>
      </c>
      <c r="E15" s="60">
        <f>E13*E14-VLOOKUP(E14,IF(AND(E10="1세대1주택",E11&lt;=9*10^8),t!$D$2:$E$6,t!$B$2:$C$6),2,0)</f>
        <v>3726000</v>
      </c>
      <c r="F15" s="370">
        <f>F13*F14-VLOOKUP(F14,t!$B$2:$C$6,2,0)</f>
        <v>20190000</v>
      </c>
      <c r="G15" s="60">
        <f>G13*0.25%</f>
        <v>0</v>
      </c>
      <c r="H15" s="3"/>
      <c r="I15" s="207" t="s">
        <v>63</v>
      </c>
      <c r="J15" s="208">
        <f>J13*J14-VLOOKUP(J14,IF(AND(J10="1세대1주택",J11&lt;=9*10^8),t!$D$2:$E$6,t!$B$2:$C$6),2,0)</f>
        <v>8253000</v>
      </c>
      <c r="K15" s="208">
        <f>K13*K14-VLOOKUP(K14,IF(AND(K10="1세대1주택",K11&lt;=9*10^8),t!$D$2:$E$6,t!$B$2:$C$6),2,0)</f>
        <v>2288700</v>
      </c>
      <c r="L15" s="208">
        <f>L13*L14-VLOOKUP(L14,IF(AND(L10="1세대1주택",L11&lt;=9*10^8),t!$D$2:$E$6,t!$B$2:$C$6),2,0)</f>
        <v>3748049.9999999991</v>
      </c>
      <c r="M15" s="208">
        <f>M13*M14-VLOOKUP(M14,IF(AND(M10="1세대1주택",M11&lt;=9*10^8),t!$D$2:$E$6,t!$B$2:$C$6),2,0)</f>
        <v>5207400</v>
      </c>
      <c r="N15" s="370">
        <f>N13*N14-VLOOKUP(N14,t!$B$2:$C$6,2,0)</f>
        <v>23313000</v>
      </c>
      <c r="O15" s="60">
        <f>O13*0.25%</f>
        <v>0</v>
      </c>
      <c r="Q15" s="284" t="s">
        <v>63</v>
      </c>
      <c r="R15" s="208">
        <f>R13*R14-VLOOKUP(R14,IF(AND(R10="1세대1주택",R11&lt;=9*10^8),t!$D$2:$E$6,t!$B$2:$C$6),2,0)</f>
        <v>9029999.9999999981</v>
      </c>
      <c r="S15" s="208">
        <f>S13*S14-VLOOKUP(S14,IF(AND(S10="1세대1주택",S11&lt;=9*10^8),t!$D$2:$E$6,t!$B$2:$C$6),2,0)</f>
        <v>2544000</v>
      </c>
      <c r="T15" s="208">
        <f>T13*T14-VLOOKUP(T14,IF(AND(T10="1세대1주택",T11&lt;=9*10^8),t!$D$2:$E$6,t!$B$2:$C$6),2,0)</f>
        <v>4130999.9999999991</v>
      </c>
      <c r="U15" s="208">
        <f>U13*U14-VLOOKUP(U14,IF(AND(U10="1세대1주택",U11&lt;=9*10^8),t!$D$2:$E$6,t!$B$2:$C$6),2,0)</f>
        <v>5718000</v>
      </c>
      <c r="V15" s="370">
        <f>V13*V14-VLOOKUP(V14,t!$B$2:$C$6,2,0)</f>
        <v>23313000</v>
      </c>
      <c r="W15" s="60">
        <f>W13*0.25%</f>
        <v>0</v>
      </c>
      <c r="Y15" s="284" t="s">
        <v>63</v>
      </c>
      <c r="Z15" s="208">
        <f>Z13*Z14-VLOOKUP(Z14,IF(AND(Z10="1세대1주택",Z11&lt;=9*10^8),t!$D$2:$E$6,t!$B$2:$C$6),2,0)</f>
        <v>9585449.9999999981</v>
      </c>
      <c r="AA15" s="208">
        <f>AA13*AA14-VLOOKUP(AA14,IF(AND(AA10="1세대1주택",AA11&lt;=9*10^8),t!$D$2:$E$6,t!$B$2:$C$6),2,0)</f>
        <v>2726505</v>
      </c>
      <c r="AB15" s="208">
        <f>AB13*AB14-VLOOKUP(AB14,IF(AND(AB10="1세대1주택",AB11&lt;=9*10^8),t!$D$2:$E$6,t!$B$2:$C$6),2,0)</f>
        <v>4404757.4999999991</v>
      </c>
      <c r="AC15" s="208">
        <f>AC13*AC14-VLOOKUP(AC14,IF(AND(AC10="1세대1주택",AC11&lt;=9*10^8),t!$D$2:$E$6,t!$B$2:$C$6),2,0)</f>
        <v>6083010</v>
      </c>
      <c r="AD15" s="370">
        <f>AD13*AD14-VLOOKUP(AD14,t!$B$2:$C$6,2,0)</f>
        <v>26904449.999999996</v>
      </c>
      <c r="AE15" s="60">
        <f>AE13*0.25%</f>
        <v>0</v>
      </c>
      <c r="AG15" s="284" t="s">
        <v>63</v>
      </c>
      <c r="AH15" s="208">
        <f>AH13*AH14-VLOOKUP(AH14,IF(AND(AH10="1세대1주택",AH11&lt;=9*10^8),t!$D$2:$E$6,t!$B$2:$C$6),2,0)</f>
        <v>11089994.999999998</v>
      </c>
      <c r="AI15" s="208">
        <f>AI13*AI14-VLOOKUP(AI14,IF(AND(AI10="1세대1주택",AI11&lt;=9*10^8),t!$D$2:$E$6,t!$B$2:$C$6),2,0)</f>
        <v>3056601</v>
      </c>
      <c r="AJ15" s="208">
        <f>AJ13*AJ14-VLOOKUP(AJ14,IF(AND(AJ10="1세대1주택",AJ11&lt;=9*10^8),t!$D$2:$E$6,t!$B$2:$C$6),2,0)</f>
        <v>5009404.4999999972</v>
      </c>
      <c r="AK15" s="208">
        <f>AK13*AK14-VLOOKUP(AK14,IF(AND(AK10="1세대1주택",AK11&lt;=9*10^8),t!$D$2:$E$6,t!$B$2:$C$6),2,0)</f>
        <v>7035210</v>
      </c>
      <c r="AL15" s="370">
        <f>AL13*AL14-VLOOKUP(AL14,t!$B$2:$C$6,2,0)</f>
        <v>28581115.499999996</v>
      </c>
      <c r="AM15" s="60">
        <f>AM13*0.25%</f>
        <v>0</v>
      </c>
    </row>
    <row r="16" spans="1:39" ht="16.5" customHeight="1" thickBot="1">
      <c r="A16" s="183" t="s">
        <v>91</v>
      </c>
      <c r="B16" s="201">
        <f t="shared" ref="B16:E16" si="14">B15</f>
        <v>7770000</v>
      </c>
      <c r="C16" s="201">
        <f t="shared" si="14"/>
        <v>1428000</v>
      </c>
      <c r="D16" s="201">
        <f t="shared" si="14"/>
        <v>2457000</v>
      </c>
      <c r="E16" s="201">
        <f t="shared" si="14"/>
        <v>3726000</v>
      </c>
      <c r="F16" s="336">
        <f>SUM(B16:E16)</f>
        <v>15381000</v>
      </c>
      <c r="G16" s="201">
        <f>MIN(G15,F27*150%)</f>
        <v>0</v>
      </c>
      <c r="H16" s="14"/>
      <c r="I16" s="209" t="s">
        <v>91</v>
      </c>
      <c r="J16" s="191">
        <f t="shared" ref="J16:M16" si="15">J15</f>
        <v>8253000</v>
      </c>
      <c r="K16" s="191">
        <f t="shared" si="15"/>
        <v>2288700</v>
      </c>
      <c r="L16" s="191">
        <f t="shared" si="15"/>
        <v>3748049.9999999991</v>
      </c>
      <c r="M16" s="191">
        <f t="shared" si="15"/>
        <v>5207400</v>
      </c>
      <c r="N16" s="336">
        <f>SUM(J16:M16)</f>
        <v>19497150</v>
      </c>
      <c r="O16" s="201">
        <f ca="1">MIN(O15,O27*150%)</f>
        <v>-465660</v>
      </c>
      <c r="Q16" s="183" t="s">
        <v>91</v>
      </c>
      <c r="R16" s="191">
        <f t="shared" ref="R16:U16" si="16">R15</f>
        <v>9029999.9999999981</v>
      </c>
      <c r="S16" s="191">
        <f t="shared" si="16"/>
        <v>2544000</v>
      </c>
      <c r="T16" s="191">
        <f t="shared" si="16"/>
        <v>4130999.9999999991</v>
      </c>
      <c r="U16" s="191">
        <f t="shared" si="16"/>
        <v>5718000</v>
      </c>
      <c r="V16" s="336">
        <f>SUM(R16:U16)</f>
        <v>21422999.999999996</v>
      </c>
      <c r="W16" s="201">
        <f ca="1">MIN(W15,W27*150%)</f>
        <v>0</v>
      </c>
      <c r="Y16" s="183" t="s">
        <v>91</v>
      </c>
      <c r="Z16" s="191">
        <f t="shared" ref="Z16:AC16" si="17">Z15</f>
        <v>9585449.9999999981</v>
      </c>
      <c r="AA16" s="191">
        <f t="shared" si="17"/>
        <v>2726505</v>
      </c>
      <c r="AB16" s="191">
        <f t="shared" si="17"/>
        <v>4404757.4999999991</v>
      </c>
      <c r="AC16" s="191">
        <f t="shared" si="17"/>
        <v>6083010</v>
      </c>
      <c r="AD16" s="336">
        <f>SUM(Z16:AC16)</f>
        <v>22799722.499999996</v>
      </c>
      <c r="AE16" s="201">
        <f ca="1">MIN(AE15,AE27*150%)</f>
        <v>0</v>
      </c>
      <c r="AG16" s="183" t="s">
        <v>91</v>
      </c>
      <c r="AH16" s="191">
        <f t="shared" ref="AH16:AK16" si="18">AH15</f>
        <v>11089994.999999998</v>
      </c>
      <c r="AI16" s="191">
        <f t="shared" si="18"/>
        <v>3056601</v>
      </c>
      <c r="AJ16" s="191">
        <f t="shared" si="18"/>
        <v>5009404.4999999972</v>
      </c>
      <c r="AK16" s="191">
        <f t="shared" si="18"/>
        <v>7035210</v>
      </c>
      <c r="AL16" s="336">
        <f>SUM(AH16:AK16)</f>
        <v>26191210.499999996</v>
      </c>
      <c r="AM16" s="201">
        <f ca="1">MIN(AM15,AM27*150%)</f>
        <v>0</v>
      </c>
    </row>
    <row r="17" spans="1:39" ht="16.5" customHeight="1">
      <c r="A17" s="184" t="s">
        <v>92</v>
      </c>
      <c r="B17" s="61">
        <f t="shared" ref="B17:E17" si="19">B$13*0.14%</f>
        <v>2940000.0000000005</v>
      </c>
      <c r="C17" s="61">
        <f t="shared" si="19"/>
        <v>720300.00000000012</v>
      </c>
      <c r="D17" s="61">
        <f t="shared" si="19"/>
        <v>1080450.0000000002</v>
      </c>
      <c r="E17" s="61">
        <f t="shared" si="19"/>
        <v>1524600.0000000002</v>
      </c>
      <c r="F17" s="200"/>
      <c r="G17" s="61">
        <f t="shared" ref="G17" si="20">G$13*0.14%</f>
        <v>0</v>
      </c>
      <c r="H17" s="3"/>
      <c r="I17" s="210" t="s">
        <v>92</v>
      </c>
      <c r="J17" s="192">
        <f t="shared" ref="J17:M17" si="21">J$13*0.14%</f>
        <v>3109050.0000000005</v>
      </c>
      <c r="K17" s="192">
        <f t="shared" si="21"/>
        <v>1021545.0000000001</v>
      </c>
      <c r="L17" s="192">
        <f t="shared" si="21"/>
        <v>1532317.5</v>
      </c>
      <c r="M17" s="192">
        <f t="shared" si="21"/>
        <v>2043090.0000000002</v>
      </c>
      <c r="N17" s="200"/>
      <c r="O17" s="61">
        <f t="shared" ref="O17" si="22">O$13*0.14%</f>
        <v>0</v>
      </c>
      <c r="Q17" s="288" t="s">
        <v>92</v>
      </c>
      <c r="R17" s="192">
        <f t="shared" ref="R17:U17" si="23">R$13*0.14%</f>
        <v>3381000</v>
      </c>
      <c r="S17" s="192">
        <f t="shared" si="23"/>
        <v>1110900.0000000002</v>
      </c>
      <c r="T17" s="192">
        <f t="shared" si="23"/>
        <v>1666350</v>
      </c>
      <c r="U17" s="192">
        <f t="shared" si="23"/>
        <v>2221800.0000000005</v>
      </c>
      <c r="V17" s="200"/>
      <c r="W17" s="61">
        <f t="shared" ref="W17" si="24">W$13*0.14%</f>
        <v>0</v>
      </c>
      <c r="Y17" s="288" t="s">
        <v>92</v>
      </c>
      <c r="Z17" s="192">
        <f t="shared" ref="Z17:AC17" si="25">Z$13*0.14%</f>
        <v>3575407.5</v>
      </c>
      <c r="AA17" s="192">
        <f t="shared" si="25"/>
        <v>1174776.7500000002</v>
      </c>
      <c r="AB17" s="192">
        <f t="shared" si="25"/>
        <v>1762165.125</v>
      </c>
      <c r="AC17" s="192">
        <f t="shared" si="25"/>
        <v>2349553.5000000005</v>
      </c>
      <c r="AD17" s="200"/>
      <c r="AE17" s="61">
        <f t="shared" ref="AE17" si="26">AE$13*0.14%</f>
        <v>0</v>
      </c>
      <c r="AG17" s="288" t="s">
        <v>92</v>
      </c>
      <c r="AH17" s="192">
        <f t="shared" ref="AH17:AK17" si="27">AH$13*0.14%</f>
        <v>4101998.25</v>
      </c>
      <c r="AI17" s="192">
        <f t="shared" si="27"/>
        <v>1290310.3500000001</v>
      </c>
      <c r="AJ17" s="192">
        <f t="shared" si="27"/>
        <v>1973791.5749999993</v>
      </c>
      <c r="AK17" s="192">
        <f t="shared" si="27"/>
        <v>2682823.5000000005</v>
      </c>
      <c r="AL17" s="200"/>
      <c r="AM17" s="61">
        <f t="shared" ref="AM17" si="28">AM$13*0.14%</f>
        <v>0</v>
      </c>
    </row>
    <row r="18" spans="1:39" ht="16.5" customHeight="1">
      <c r="A18" s="316" t="s">
        <v>93</v>
      </c>
      <c r="B18" s="203"/>
      <c r="C18" s="203"/>
      <c r="D18" s="203"/>
      <c r="E18" s="203"/>
      <c r="F18" s="202"/>
      <c r="G18" s="21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0</v>
      </c>
      <c r="H18" s="3"/>
      <c r="I18" s="180" t="s">
        <v>93</v>
      </c>
      <c r="J18" s="193"/>
      <c r="K18" s="193"/>
      <c r="L18" s="193"/>
      <c r="M18" s="193"/>
      <c r="N18" s="202"/>
      <c r="O18" s="21">
        <f>IF(O13&lt;=6000000,
 O13*0.04%,
 IF(O13&lt;=13000000,
  2400+(O13-6000000)*0.05%,
  IF(O13&lt;=26000000,
   5900+(O13-13000000)*0.06%,
   IF(O13&lt;=39000000,
    13700+(O13-26000000)*0.08%,
    IF(O13&lt;=64000000,
     24100+(O13-39000000)*0.1%,
     49100+(O13-64000000)*0.12%
    )
   )
  )
 )
)</f>
        <v>0</v>
      </c>
      <c r="Q18" s="285" t="s">
        <v>93</v>
      </c>
      <c r="R18" s="193"/>
      <c r="S18" s="193"/>
      <c r="T18" s="193"/>
      <c r="U18" s="193"/>
      <c r="V18" s="202"/>
      <c r="W18" s="21">
        <f>IF(W13&lt;=6000000,
 W13*0.04%,
 IF(W13&lt;=13000000,
  2400+(W13-6000000)*0.05%,
  IF(W13&lt;=26000000,
   5900+(W13-13000000)*0.06%,
   IF(W13&lt;=39000000,
    13700+(W13-26000000)*0.08%,
    IF(W13&lt;=64000000,
     24100+(W13-39000000)*0.1%,
     49100+(W13-64000000)*0.12%
    )
   )
  )
 )
)</f>
        <v>0</v>
      </c>
      <c r="Y18" s="285" t="s">
        <v>93</v>
      </c>
      <c r="Z18" s="193"/>
      <c r="AA18" s="193"/>
      <c r="AB18" s="193"/>
      <c r="AC18" s="193"/>
      <c r="AD18" s="202"/>
      <c r="AE18" s="21">
        <f>IF(AE13&lt;=6000000,
 AE13*0.04%,
 IF(AE13&lt;=13000000,
  2400+(AE13-6000000)*0.05%,
  IF(AE13&lt;=26000000,
   5900+(AE13-13000000)*0.06%,
   IF(AE13&lt;=39000000,
    13700+(AE13-26000000)*0.08%,
    IF(AE13&lt;=64000000,
     24100+(AE13-39000000)*0.1%,
     49100+(AE13-64000000)*0.12%
    )
   )
  )
 )
)</f>
        <v>0</v>
      </c>
      <c r="AG18" s="285" t="s">
        <v>93</v>
      </c>
      <c r="AH18" s="193"/>
      <c r="AI18" s="193"/>
      <c r="AJ18" s="193"/>
      <c r="AK18" s="193"/>
      <c r="AL18" s="202"/>
      <c r="AM18" s="21">
        <f>IF(AM13&lt;=6000000,
 AM13*0.04%,
 IF(AM13&lt;=13000000,
  2400+(AM13-6000000)*0.05%,
  IF(AM13&lt;=26000000,
   5900+(AM13-13000000)*0.06%,
   IF(AM13&lt;=39000000,
    13700+(AM13-26000000)*0.08%,
    IF(AM13&lt;=64000000,
     24100+(AM13-39000000)*0.1%,
     49100+(AM13-64000000)*0.12%
    )
   )
  )
 )
)</f>
        <v>0</v>
      </c>
    </row>
    <row r="19" spans="1:39" ht="16.5" customHeight="1" thickBot="1">
      <c r="A19" s="277" t="s">
        <v>33</v>
      </c>
      <c r="B19" s="278">
        <f t="shared" ref="B19:E19" si="29">B$16*0.2</f>
        <v>1554000</v>
      </c>
      <c r="C19" s="278">
        <f t="shared" si="29"/>
        <v>285600</v>
      </c>
      <c r="D19" s="278">
        <f t="shared" si="29"/>
        <v>491400</v>
      </c>
      <c r="E19" s="278">
        <f t="shared" si="29"/>
        <v>745200</v>
      </c>
      <c r="F19" s="279"/>
      <c r="G19" s="278">
        <f t="shared" ref="G19" si="30">G$16*0.2</f>
        <v>0</v>
      </c>
      <c r="H19" s="3"/>
      <c r="I19" s="211" t="s">
        <v>33</v>
      </c>
      <c r="J19" s="194">
        <f t="shared" ref="J19:M19" si="31">J$16*0.2</f>
        <v>1650600</v>
      </c>
      <c r="K19" s="194">
        <f t="shared" si="31"/>
        <v>457740</v>
      </c>
      <c r="L19" s="194">
        <f t="shared" si="31"/>
        <v>749609.99999999988</v>
      </c>
      <c r="M19" s="194">
        <f t="shared" si="31"/>
        <v>1041480</v>
      </c>
      <c r="N19" s="204"/>
      <c r="O19" s="63">
        <f t="shared" ref="O19" ca="1" si="32">O$16*0.2</f>
        <v>-93132</v>
      </c>
      <c r="Q19" s="286" t="s">
        <v>33</v>
      </c>
      <c r="R19" s="194">
        <f t="shared" ref="R19:U19" si="33">R$16*0.2</f>
        <v>1805999.9999999998</v>
      </c>
      <c r="S19" s="194">
        <f t="shared" si="33"/>
        <v>508800</v>
      </c>
      <c r="T19" s="194">
        <f t="shared" si="33"/>
        <v>826199.99999999988</v>
      </c>
      <c r="U19" s="194">
        <f t="shared" si="33"/>
        <v>1143600</v>
      </c>
      <c r="V19" s="204"/>
      <c r="W19" s="63">
        <f t="shared" ref="W19" ca="1" si="34">W$16*0.2</f>
        <v>0</v>
      </c>
      <c r="Y19" s="286" t="s">
        <v>33</v>
      </c>
      <c r="Z19" s="194">
        <f t="shared" ref="Z19:AC19" si="35">Z$16*0.2</f>
        <v>1917089.9999999998</v>
      </c>
      <c r="AA19" s="194">
        <f t="shared" si="35"/>
        <v>545301</v>
      </c>
      <c r="AB19" s="194">
        <f t="shared" si="35"/>
        <v>880951.49999999988</v>
      </c>
      <c r="AC19" s="194">
        <f t="shared" si="35"/>
        <v>1216602</v>
      </c>
      <c r="AD19" s="204"/>
      <c r="AE19" s="63">
        <f t="shared" ref="AE19" ca="1" si="36">AE$16*0.2</f>
        <v>0</v>
      </c>
      <c r="AG19" s="286" t="s">
        <v>33</v>
      </c>
      <c r="AH19" s="194">
        <f t="shared" ref="AH19:AK19" si="37">AH$16*0.2</f>
        <v>2217998.9999999995</v>
      </c>
      <c r="AI19" s="194">
        <f t="shared" si="37"/>
        <v>611320.20000000007</v>
      </c>
      <c r="AJ19" s="194">
        <f t="shared" si="37"/>
        <v>1001880.8999999994</v>
      </c>
      <c r="AK19" s="194">
        <f t="shared" si="37"/>
        <v>1407042</v>
      </c>
      <c r="AL19" s="204"/>
      <c r="AM19" s="63">
        <f t="shared" ref="AM19" ca="1" si="38">AM$16*0.2</f>
        <v>0</v>
      </c>
    </row>
    <row r="20" spans="1:39" ht="16.5" customHeight="1" thickTop="1">
      <c r="A20" s="3" t="s">
        <v>297</v>
      </c>
      <c r="B20" s="154">
        <f>SUM(B16:B19)</f>
        <v>12264000</v>
      </c>
      <c r="C20" s="154">
        <f>SUM(C16:C19)</f>
        <v>2433900</v>
      </c>
      <c r="D20" s="154">
        <f t="shared" ref="D20:E20" si="39">SUM(D16:D19)</f>
        <v>4028850</v>
      </c>
      <c r="E20" s="154">
        <f t="shared" si="39"/>
        <v>5995800</v>
      </c>
      <c r="F20" s="276"/>
      <c r="G20" s="154">
        <f t="shared" ref="G20" si="40">SUM(G16:G19)</f>
        <v>0</v>
      </c>
      <c r="H20" s="3"/>
      <c r="I20" s="212" t="s">
        <v>94</v>
      </c>
      <c r="J20" s="195">
        <f t="shared" ref="J20:M20" si="41">SUM(J16:J19)</f>
        <v>13012650</v>
      </c>
      <c r="K20" s="195">
        <f t="shared" si="41"/>
        <v>3767985</v>
      </c>
      <c r="L20" s="195">
        <f t="shared" si="41"/>
        <v>6029977.4999999991</v>
      </c>
      <c r="M20" s="195">
        <f t="shared" si="41"/>
        <v>8291970</v>
      </c>
      <c r="N20" s="200"/>
      <c r="O20" s="196">
        <f t="shared" ref="O20" ca="1" si="42">SUM(O16:O19)</f>
        <v>-558792</v>
      </c>
      <c r="Q20" s="287" t="s">
        <v>94</v>
      </c>
      <c r="R20" s="195">
        <f t="shared" ref="R20:U20" si="43">SUM(R16:R19)</f>
        <v>14216999.999999998</v>
      </c>
      <c r="S20" s="195">
        <f t="shared" si="43"/>
        <v>4163700</v>
      </c>
      <c r="T20" s="195">
        <f t="shared" si="43"/>
        <v>6623549.9999999991</v>
      </c>
      <c r="U20" s="195">
        <f t="shared" si="43"/>
        <v>9083400</v>
      </c>
      <c r="V20" s="200"/>
      <c r="W20" s="196">
        <f t="shared" ref="W20" ca="1" si="44">SUM(W16:W19)</f>
        <v>0</v>
      </c>
      <c r="Y20" s="287" t="s">
        <v>94</v>
      </c>
      <c r="Z20" s="195">
        <f t="shared" ref="Z20:AC20" si="45">SUM(Z16:Z19)</f>
        <v>15077947.499999998</v>
      </c>
      <c r="AA20" s="195">
        <f t="shared" si="45"/>
        <v>4446582.75</v>
      </c>
      <c r="AB20" s="195">
        <f t="shared" si="45"/>
        <v>7047874.1249999991</v>
      </c>
      <c r="AC20" s="195">
        <f t="shared" si="45"/>
        <v>9649165.5</v>
      </c>
      <c r="AD20" s="200"/>
      <c r="AE20" s="196">
        <f t="shared" ref="AE20" ca="1" si="46">SUM(AE16:AE19)</f>
        <v>0</v>
      </c>
      <c r="AG20" s="287" t="s">
        <v>94</v>
      </c>
      <c r="AH20" s="195">
        <f t="shared" ref="AH20:AK20" si="47">SUM(AH16:AH19)</f>
        <v>17409992.249999996</v>
      </c>
      <c r="AI20" s="195">
        <f t="shared" si="47"/>
        <v>4958231.55</v>
      </c>
      <c r="AJ20" s="195">
        <f t="shared" si="47"/>
        <v>7985076.9749999959</v>
      </c>
      <c r="AK20" s="195">
        <f t="shared" si="47"/>
        <v>11125075.5</v>
      </c>
      <c r="AL20" s="200"/>
      <c r="AM20" s="196">
        <f t="shared" ref="AM20" ca="1" si="48">SUM(AM16:AM19)</f>
        <v>0</v>
      </c>
    </row>
    <row r="21" spans="1:39" ht="16.5" customHeight="1">
      <c r="A21" s="123"/>
      <c r="B21" s="83"/>
      <c r="C21" s="83"/>
      <c r="D21" s="83"/>
      <c r="E21" s="83"/>
      <c r="F21" s="83"/>
      <c r="G21" s="83"/>
      <c r="H21" s="3"/>
      <c r="I21" s="185"/>
      <c r="J21" s="3"/>
      <c r="K21" s="3"/>
      <c r="L21" s="3"/>
      <c r="M21" s="3"/>
      <c r="N21" s="83"/>
      <c r="O21" s="3"/>
      <c r="Q21" s="185"/>
      <c r="R21" s="3"/>
      <c r="S21" s="3"/>
      <c r="T21" s="3"/>
      <c r="U21" s="3"/>
      <c r="V21" s="83"/>
      <c r="W21" s="3"/>
      <c r="Y21" s="185"/>
      <c r="Z21" s="3"/>
      <c r="AA21" s="3"/>
      <c r="AB21" s="3"/>
      <c r="AC21" s="3"/>
      <c r="AD21" s="83"/>
      <c r="AE21" s="3"/>
      <c r="AG21" s="185"/>
      <c r="AH21" s="3"/>
      <c r="AI21" s="3"/>
      <c r="AJ21" s="3"/>
      <c r="AK21" s="3"/>
      <c r="AL21" s="83"/>
      <c r="AM21" s="3"/>
    </row>
    <row r="22" spans="1:39" ht="16.5" customHeight="1">
      <c r="A22" s="340"/>
      <c r="B22" s="83"/>
      <c r="C22" s="83"/>
      <c r="D22" s="83"/>
      <c r="E22" s="83"/>
      <c r="F22" s="475" t="s">
        <v>315</v>
      </c>
      <c r="G22" s="476" t="s">
        <v>315</v>
      </c>
      <c r="H22" s="3"/>
      <c r="I22" s="340"/>
      <c r="J22" s="83"/>
      <c r="K22" s="83"/>
      <c r="L22" s="83"/>
      <c r="M22" s="83"/>
      <c r="N22" s="475" t="s">
        <v>315</v>
      </c>
      <c r="O22" s="476" t="s">
        <v>315</v>
      </c>
      <c r="Q22" s="340"/>
      <c r="R22" s="83"/>
      <c r="S22" s="83"/>
      <c r="T22" s="83"/>
      <c r="U22" s="83"/>
      <c r="V22" s="475" t="s">
        <v>315</v>
      </c>
      <c r="W22" s="476" t="s">
        <v>315</v>
      </c>
      <c r="Y22" s="340"/>
      <c r="Z22" s="83"/>
      <c r="AA22" s="83"/>
      <c r="AB22" s="83"/>
      <c r="AC22" s="83"/>
      <c r="AD22" s="475" t="s">
        <v>315</v>
      </c>
      <c r="AE22" s="476" t="s">
        <v>315</v>
      </c>
      <c r="AG22" s="340"/>
      <c r="AH22" s="83"/>
      <c r="AI22" s="83"/>
      <c r="AJ22" s="83"/>
      <c r="AK22" s="83"/>
      <c r="AL22" s="475" t="s">
        <v>315</v>
      </c>
      <c r="AM22" s="476" t="s">
        <v>315</v>
      </c>
    </row>
    <row r="23" spans="1:39" ht="16.5" customHeight="1">
      <c r="A23" s="213" t="s">
        <v>301</v>
      </c>
      <c r="B23" s="341">
        <v>4890000000</v>
      </c>
      <c r="C23" s="341">
        <v>800000000</v>
      </c>
      <c r="D23" s="341">
        <v>1200000000</v>
      </c>
      <c r="E23" s="473">
        <v>1700000000</v>
      </c>
      <c r="F23" s="478"/>
      <c r="G23" s="455"/>
      <c r="H23" s="3"/>
      <c r="I23" s="213" t="s">
        <v>301</v>
      </c>
      <c r="J23" s="117">
        <f>B11</f>
        <v>3500000000</v>
      </c>
      <c r="K23" s="117">
        <f t="shared" ref="K23:M23" si="49">C11</f>
        <v>1150000000</v>
      </c>
      <c r="L23" s="117">
        <f t="shared" si="49"/>
        <v>1724999999.9999998</v>
      </c>
      <c r="M23" s="344">
        <f t="shared" si="49"/>
        <v>2300000000</v>
      </c>
      <c r="N23" s="478"/>
      <c r="O23" s="455"/>
      <c r="Q23" s="213" t="s">
        <v>301</v>
      </c>
      <c r="R23" s="117">
        <f>J11</f>
        <v>4024999999.9999995</v>
      </c>
      <c r="S23" s="117">
        <f t="shared" ref="S23:U23" si="50">K11</f>
        <v>1322500000</v>
      </c>
      <c r="T23" s="117">
        <f t="shared" si="50"/>
        <v>1983749999.9999995</v>
      </c>
      <c r="U23" s="117">
        <f t="shared" si="50"/>
        <v>2645000000</v>
      </c>
      <c r="V23" s="478"/>
      <c r="W23" s="455"/>
      <c r="Y23" s="213" t="s">
        <v>301</v>
      </c>
      <c r="Z23" s="117">
        <f>R11</f>
        <v>4024999999.9999995</v>
      </c>
      <c r="AA23" s="117">
        <f t="shared" ref="AA23:AC23" si="51">S11</f>
        <v>1322500000</v>
      </c>
      <c r="AB23" s="117">
        <f t="shared" si="51"/>
        <v>1983749999.9999995</v>
      </c>
      <c r="AC23" s="117">
        <f t="shared" si="51"/>
        <v>2645000000</v>
      </c>
      <c r="AD23" s="478"/>
      <c r="AE23" s="455"/>
      <c r="AG23" s="213" t="s">
        <v>301</v>
      </c>
      <c r="AH23" s="117">
        <f>Z11</f>
        <v>4628749999.999999</v>
      </c>
      <c r="AI23" s="117">
        <f t="shared" ref="AI23:AK23" si="52">AA11</f>
        <v>1520875000</v>
      </c>
      <c r="AJ23" s="117">
        <f t="shared" si="52"/>
        <v>2281312499.999999</v>
      </c>
      <c r="AK23" s="117">
        <f t="shared" si="52"/>
        <v>3041750000</v>
      </c>
      <c r="AL23" s="478"/>
      <c r="AM23" s="455"/>
    </row>
    <row r="24" spans="1:39" ht="16.5" customHeight="1">
      <c r="A24" s="213" t="s">
        <v>300</v>
      </c>
      <c r="B24" s="371">
        <f>B23*IF(B10="1세대1주택",B12,60%)</f>
        <v>2934000000</v>
      </c>
      <c r="C24" s="371">
        <f>C23*IF(C10="1세대1주택",C12,60%)</f>
        <v>480000000</v>
      </c>
      <c r="D24" s="371">
        <f t="shared" ref="D24:E24" si="53">D23*IF(D10="1세대1주택",D12,60%)</f>
        <v>720000000</v>
      </c>
      <c r="E24" s="372">
        <f t="shared" si="53"/>
        <v>1020000000</v>
      </c>
      <c r="F24" s="478"/>
      <c r="G24" s="455"/>
      <c r="H24" s="3"/>
      <c r="I24" s="213" t="s">
        <v>300</v>
      </c>
      <c r="J24" s="117">
        <f>J23*0.6</f>
        <v>2100000000</v>
      </c>
      <c r="K24" s="117">
        <f t="shared" ref="K24:M24" si="54">K23*0.6</f>
        <v>690000000</v>
      </c>
      <c r="L24" s="117">
        <f t="shared" si="54"/>
        <v>1034999999.9999998</v>
      </c>
      <c r="M24" s="344">
        <f t="shared" si="54"/>
        <v>1380000000</v>
      </c>
      <c r="N24" s="478"/>
      <c r="O24" s="455"/>
      <c r="Q24" s="213" t="s">
        <v>300</v>
      </c>
      <c r="R24" s="117">
        <f>R23*0.6</f>
        <v>2414999999.9999995</v>
      </c>
      <c r="S24" s="117">
        <f t="shared" ref="S24:U24" si="55">S23*0.6</f>
        <v>793500000</v>
      </c>
      <c r="T24" s="117">
        <f t="shared" si="55"/>
        <v>1190249999.9999998</v>
      </c>
      <c r="U24" s="117">
        <f t="shared" si="55"/>
        <v>1587000000</v>
      </c>
      <c r="V24" s="478"/>
      <c r="W24" s="455"/>
      <c r="Y24" s="213" t="s">
        <v>300</v>
      </c>
      <c r="Z24" s="117">
        <f>Z23*0.6</f>
        <v>2414999999.9999995</v>
      </c>
      <c r="AA24" s="117">
        <f t="shared" ref="AA24:AC24" si="56">AA23*0.6</f>
        <v>793500000</v>
      </c>
      <c r="AB24" s="117">
        <f t="shared" si="56"/>
        <v>1190249999.9999998</v>
      </c>
      <c r="AC24" s="117">
        <f t="shared" si="56"/>
        <v>1587000000</v>
      </c>
      <c r="AD24" s="478"/>
      <c r="AE24" s="455"/>
      <c r="AG24" s="213" t="s">
        <v>300</v>
      </c>
      <c r="AH24" s="117">
        <f>AH23*0.6</f>
        <v>2777249999.9999995</v>
      </c>
      <c r="AI24" s="117">
        <f t="shared" ref="AI24:AK24" si="57">AI23*0.6</f>
        <v>912525000</v>
      </c>
      <c r="AJ24" s="117">
        <f t="shared" si="57"/>
        <v>1368787499.9999993</v>
      </c>
      <c r="AK24" s="117">
        <f t="shared" si="57"/>
        <v>1825050000</v>
      </c>
      <c r="AL24" s="478"/>
      <c r="AM24" s="455"/>
    </row>
    <row r="25" spans="1:39" ht="16.5" customHeight="1">
      <c r="A25" s="213" t="s">
        <v>88</v>
      </c>
      <c r="B25" s="343">
        <f t="array" ref="B25">INDEX(t!$B$3:$B$6,MATCH(TRUE,B13&lt;=t!$A$3:$A$6,0))</f>
        <v>4.0000000000000001E-3</v>
      </c>
      <c r="C25" s="343">
        <f t="array" ref="C25">INDEX(t!$B$3:$B$6,MATCH(TRUE,C13&lt;=t!$A$3:$A$6,0))</f>
        <v>4.0000000000000001E-3</v>
      </c>
      <c r="D25" s="343">
        <f t="array" ref="D25">INDEX(t!$B$3:$B$6,MATCH(TRUE,D13&lt;=t!$A$3:$A$6,0))</f>
        <v>4.0000000000000001E-3</v>
      </c>
      <c r="E25" s="474">
        <f t="array" ref="E25">INDEX(t!$B$3:$B$6,MATCH(TRUE,E13&lt;=t!$A$3:$A$6,0))</f>
        <v>4.0000000000000001E-3</v>
      </c>
      <c r="F25" s="479"/>
      <c r="G25" s="480"/>
      <c r="H25" s="3"/>
      <c r="I25" s="213" t="s">
        <v>88</v>
      </c>
      <c r="J25" s="343">
        <f t="array" ref="J25">INDEX(t!$B$3:$B$6,MATCH(TRUE,J13&lt;=t!$A$3:$A$6,0))</f>
        <v>4.0000000000000001E-3</v>
      </c>
      <c r="K25" s="343">
        <f t="array" ref="K25">INDEX(t!$B$3:$B$6,MATCH(TRUE,K13&lt;=t!$A$3:$A$6,0))</f>
        <v>4.0000000000000001E-3</v>
      </c>
      <c r="L25" s="343">
        <f t="array" ref="L25">INDEX(t!$B$3:$B$6,MATCH(TRUE,L13&lt;=t!$A$3:$A$6,0))</f>
        <v>4.0000000000000001E-3</v>
      </c>
      <c r="M25" s="474">
        <f t="array" ref="M25">INDEX(t!$B$3:$B$6,MATCH(TRUE,M13&lt;=t!$A$3:$A$6,0))</f>
        <v>4.0000000000000001E-3</v>
      </c>
      <c r="N25" s="479"/>
      <c r="O25" s="480"/>
      <c r="Q25" s="213" t="s">
        <v>88</v>
      </c>
      <c r="R25" s="343">
        <f t="array" ref="R25">INDEX(t!$B$3:$B$6,MATCH(TRUE,R13&lt;=t!$A$3:$A$6,0))</f>
        <v>4.0000000000000001E-3</v>
      </c>
      <c r="S25" s="343">
        <f t="array" ref="S25">INDEX(t!$B$3:$B$6,MATCH(TRUE,S13&lt;=t!$A$3:$A$6,0))</f>
        <v>4.0000000000000001E-3</v>
      </c>
      <c r="T25" s="343">
        <f t="array" ref="T25">INDEX(t!$B$3:$B$6,MATCH(TRUE,T13&lt;=t!$A$3:$A$6,0))</f>
        <v>4.0000000000000001E-3</v>
      </c>
      <c r="U25" s="343">
        <f t="array" ref="U25">INDEX(t!$B$3:$B$6,MATCH(TRUE,U13&lt;=t!$A$3:$A$6,0))</f>
        <v>4.0000000000000001E-3</v>
      </c>
      <c r="V25" s="479"/>
      <c r="W25" s="480"/>
      <c r="Y25" s="213" t="s">
        <v>88</v>
      </c>
      <c r="Z25" s="343">
        <f t="array" ref="Z25">INDEX(t!$B$3:$B$6,MATCH(TRUE,Z13&lt;=t!$A$3:$A$6,0))</f>
        <v>4.0000000000000001E-3</v>
      </c>
      <c r="AA25" s="343">
        <f t="array" ref="AA25">INDEX(t!$B$3:$B$6,MATCH(TRUE,AA13&lt;=t!$A$3:$A$6,0))</f>
        <v>4.0000000000000001E-3</v>
      </c>
      <c r="AB25" s="343">
        <f t="array" ref="AB25">INDEX(t!$B$3:$B$6,MATCH(TRUE,AB13&lt;=t!$A$3:$A$6,0))</f>
        <v>4.0000000000000001E-3</v>
      </c>
      <c r="AC25" s="343">
        <f t="array" ref="AC25">INDEX(t!$B$3:$B$6,MATCH(TRUE,AC13&lt;=t!$A$3:$A$6,0))</f>
        <v>4.0000000000000001E-3</v>
      </c>
      <c r="AD25" s="479"/>
      <c r="AE25" s="480"/>
      <c r="AG25" s="213" t="s">
        <v>88</v>
      </c>
      <c r="AH25" s="343">
        <f t="array" ref="AH25">INDEX(t!$B$3:$B$6,MATCH(TRUE,AH13&lt;=t!$A$3:$A$6,0))</f>
        <v>4.0000000000000001E-3</v>
      </c>
      <c r="AI25" s="343">
        <f t="array" ref="AI25">INDEX(t!$B$3:$B$6,MATCH(TRUE,AI13&lt;=t!$A$3:$A$6,0))</f>
        <v>4.0000000000000001E-3</v>
      </c>
      <c r="AJ25" s="343">
        <f t="array" ref="AJ25">INDEX(t!$B$3:$B$6,MATCH(TRUE,AJ13&lt;=t!$A$3:$A$6,0))</f>
        <v>4.0000000000000001E-3</v>
      </c>
      <c r="AK25" s="343">
        <f t="array" ref="AK25">INDEX(t!$B$3:$B$6,MATCH(TRUE,AK13&lt;=t!$A$3:$A$6,0))</f>
        <v>4.0000000000000001E-3</v>
      </c>
      <c r="AL25" s="479"/>
      <c r="AM25" s="480"/>
    </row>
    <row r="26" spans="1:39" ht="16.5" customHeight="1" thickBot="1">
      <c r="A26" s="326" t="s">
        <v>302</v>
      </c>
      <c r="B26" s="372">
        <f>B24*B25-VLOOKUP(B25,t!$B$2:$C$6,2,0)</f>
        <v>11106000</v>
      </c>
      <c r="C26" s="372">
        <f>C24*C25-VLOOKUP(C25,t!$B$2:$C$6,2,0)</f>
        <v>1290000</v>
      </c>
      <c r="D26" s="372">
        <f>D24*D25-VLOOKUP(D25,t!$B$2:$C$6,2,0)</f>
        <v>2250000</v>
      </c>
      <c r="E26" s="372">
        <f>E24*E25-VLOOKUP(E25,t!$B$2:$C$6,2,0)</f>
        <v>3450000</v>
      </c>
      <c r="F26" s="477">
        <f>SUMPRODUCT(B26:E26,B35:E35)</f>
        <v>17451000</v>
      </c>
      <c r="G26" s="477">
        <f ca="1">SUMPRODUCT(B26:E26,B68:E68)</f>
        <v>645000</v>
      </c>
      <c r="H26" s="3"/>
      <c r="I26" s="326" t="s">
        <v>302</v>
      </c>
      <c r="J26" s="375">
        <f>J24*J25-VLOOKUP(J25,t!$B$2:$C$6,2,0)</f>
        <v>7770000</v>
      </c>
      <c r="K26" s="375">
        <f>K24*K25-VLOOKUP(K25,t!$B$2:$C$6,2,0)</f>
        <v>2130000</v>
      </c>
      <c r="L26" s="375">
        <f>L24*L25-VLOOKUP(L25,t!$B$2:$C$6,2,0)</f>
        <v>3509999.9999999991</v>
      </c>
      <c r="M26" s="375">
        <f>M24*M25-VLOOKUP(M25,t!$B$2:$C$6,2,0)</f>
        <v>4890000</v>
      </c>
      <c r="N26" s="477">
        <f>SUMPRODUCT(J26:M26,J35:M35)</f>
        <v>17235000</v>
      </c>
      <c r="O26" s="477">
        <f ca="1">SUMPRODUCT(J26:M26,J68:M68)</f>
        <v>1065000</v>
      </c>
      <c r="Q26" s="326" t="s">
        <v>302</v>
      </c>
      <c r="R26" s="375">
        <f>R24*R25-VLOOKUP(R25,t!$B$2:$C$6,2,0)</f>
        <v>9029999.9999999981</v>
      </c>
      <c r="S26" s="375">
        <f>S24*S25-VLOOKUP(S25,t!$B$2:$C$6,2,0)</f>
        <v>2544000</v>
      </c>
      <c r="T26" s="375">
        <f>T24*T25-VLOOKUP(T25,t!$B$2:$C$6,2,0)</f>
        <v>4130999.9999999991</v>
      </c>
      <c r="U26" s="375">
        <f>U24*U25-VLOOKUP(U25,t!$B$2:$C$6,2,0)</f>
        <v>5718000</v>
      </c>
      <c r="V26" s="477">
        <f>SUMPRODUCT(R26:U26,R35:U35)</f>
        <v>20150999.999999996</v>
      </c>
      <c r="W26" s="477">
        <f ca="1">SUMPRODUCT(R26:U26,R68:U68)</f>
        <v>1272000</v>
      </c>
      <c r="Y26" s="326" t="s">
        <v>302</v>
      </c>
      <c r="Z26" s="375">
        <f>Z24*Z25-VLOOKUP(Z25,t!$B$2:$C$6,2,0)</f>
        <v>9029999.9999999981</v>
      </c>
      <c r="AA26" s="375">
        <f>AA24*AA25-VLOOKUP(AA25,t!$B$2:$C$6,2,0)</f>
        <v>2544000</v>
      </c>
      <c r="AB26" s="375">
        <f>AB24*AB25-VLOOKUP(AB25,t!$B$2:$C$6,2,0)</f>
        <v>4130999.9999999991</v>
      </c>
      <c r="AC26" s="375">
        <f>AC24*AC25-VLOOKUP(AC25,t!$B$2:$C$6,2,0)</f>
        <v>5718000</v>
      </c>
      <c r="AD26" s="477">
        <f>SUMPRODUCT(Z26:AC26,Z35:AC35)</f>
        <v>20150999.999999996</v>
      </c>
      <c r="AE26" s="477">
        <f ca="1">SUMPRODUCT(Z26:AC26,Z68:AC68)</f>
        <v>1272000</v>
      </c>
      <c r="AG26" s="326" t="s">
        <v>302</v>
      </c>
      <c r="AH26" s="375">
        <f>AH24*AH25-VLOOKUP(AH25,t!$B$2:$C$6,2,0)</f>
        <v>10478999.999999998</v>
      </c>
      <c r="AI26" s="375">
        <f>AI24*AI25-VLOOKUP(AI25,t!$B$2:$C$6,2,0)</f>
        <v>3020100</v>
      </c>
      <c r="AJ26" s="375">
        <f>AJ24*AJ25-VLOOKUP(AJ25,t!$B$2:$C$6,2,0)</f>
        <v>4845149.9999999972</v>
      </c>
      <c r="AK26" s="375">
        <f>AK24*AK25-VLOOKUP(AK25,t!$B$2:$C$6,2,0)</f>
        <v>6670200</v>
      </c>
      <c r="AL26" s="477">
        <f>SUMPRODUCT(AH26:AK26,AH35:AK35)</f>
        <v>23504399.999999996</v>
      </c>
      <c r="AM26" s="477">
        <f ca="1">SUMPRODUCT(AH26:AK26,AH68:AK68)</f>
        <v>1510050</v>
      </c>
    </row>
    <row r="27" spans="1:39" ht="16.5" customHeight="1" thickBot="1">
      <c r="A27" s="326" t="s">
        <v>303</v>
      </c>
      <c r="B27" s="376"/>
      <c r="C27" s="376"/>
      <c r="D27" s="376"/>
      <c r="E27" s="376"/>
      <c r="F27" s="373">
        <f>F57</f>
        <v>82191406.622516558</v>
      </c>
      <c r="G27" s="456">
        <f ca="1">F88</f>
        <v>-92727.272727272706</v>
      </c>
      <c r="H27" s="3"/>
      <c r="I27" s="377" t="s">
        <v>303</v>
      </c>
      <c r="J27" s="376"/>
      <c r="K27" s="376"/>
      <c r="L27" s="376"/>
      <c r="M27" s="376"/>
      <c r="N27" s="373">
        <f>N57</f>
        <v>80700133.97129187</v>
      </c>
      <c r="O27" s="456">
        <f ca="1">N88</f>
        <v>-310440</v>
      </c>
      <c r="Q27" s="326" t="s">
        <v>303</v>
      </c>
      <c r="R27" s="376"/>
      <c r="S27" s="376"/>
      <c r="T27" s="376"/>
      <c r="U27" s="376"/>
      <c r="V27" s="373">
        <f ca="1">V57</f>
        <v>142415821.62283799</v>
      </c>
      <c r="W27" s="456">
        <f ca="1">V88</f>
        <v>331009.48275862064</v>
      </c>
      <c r="Y27" s="326" t="s">
        <v>303</v>
      </c>
      <c r="Z27" s="376"/>
      <c r="AA27" s="376"/>
      <c r="AB27" s="376"/>
      <c r="AC27" s="376"/>
      <c r="AD27" s="373">
        <f ca="1">AD57</f>
        <v>175275224.71181485</v>
      </c>
      <c r="AE27" s="456">
        <f ca="1">AD88</f>
        <v>378296.55172413797</v>
      </c>
      <c r="AG27" s="326" t="s">
        <v>303</v>
      </c>
      <c r="AH27" s="376"/>
      <c r="AI27" s="376"/>
      <c r="AJ27" s="376"/>
      <c r="AK27" s="376"/>
      <c r="AL27" s="373">
        <f ca="1">AL57</f>
        <v>217311084.62725934</v>
      </c>
      <c r="AM27" s="456">
        <f ca="1">AL90</f>
        <v>567297.04656708927</v>
      </c>
    </row>
    <row r="28" spans="1:39" ht="16.5" customHeight="1">
      <c r="A28" s="103" t="s">
        <v>316</v>
      </c>
      <c r="B28" s="376"/>
      <c r="C28" s="376"/>
      <c r="D28" s="376"/>
      <c r="E28" s="376"/>
      <c r="F28" s="342">
        <f>SUM(F26,F27)*150%</f>
        <v>149463609.93377483</v>
      </c>
      <c r="G28" s="342">
        <f ca="1">SUM(G26,G27)*150%</f>
        <v>828409.09090909094</v>
      </c>
      <c r="H28" s="3"/>
      <c r="I28" s="379" t="s">
        <v>316</v>
      </c>
      <c r="J28" s="376"/>
      <c r="K28" s="376"/>
      <c r="L28" s="376"/>
      <c r="M28" s="376"/>
      <c r="N28" s="342">
        <f>SUM(N26,N27)*200%</f>
        <v>195870267.94258374</v>
      </c>
      <c r="O28" s="342">
        <f ca="1">SUM(O26,O27)*200%</f>
        <v>1509120</v>
      </c>
      <c r="Q28" s="379" t="s">
        <v>316</v>
      </c>
      <c r="R28" s="376"/>
      <c r="S28" s="376"/>
      <c r="T28" s="376"/>
      <c r="U28" s="376"/>
      <c r="V28" s="342">
        <f ca="1">SUM(V26,V27)*200%</f>
        <v>325133643.24567598</v>
      </c>
      <c r="W28" s="342">
        <f ca="1">SUM(W26,W27)*200%</f>
        <v>3206018.9655172415</v>
      </c>
      <c r="Y28" s="379" t="s">
        <v>316</v>
      </c>
      <c r="Z28" s="376"/>
      <c r="AA28" s="376"/>
      <c r="AB28" s="376"/>
      <c r="AC28" s="376"/>
      <c r="AD28" s="342">
        <f ca="1">SUM(AD26,AD27)*200%</f>
        <v>390852449.4236297</v>
      </c>
      <c r="AE28" s="342">
        <f ca="1">SUM(AE26,AE27)*200%</f>
        <v>3300593.1034482759</v>
      </c>
      <c r="AG28" s="379" t="s">
        <v>316</v>
      </c>
      <c r="AH28" s="376"/>
      <c r="AI28" s="376"/>
      <c r="AJ28" s="376"/>
      <c r="AK28" s="376"/>
      <c r="AL28" s="342">
        <f ca="1">SUM(AL26,AL27)*200%</f>
        <v>481630969.25451869</v>
      </c>
      <c r="AM28" s="342">
        <f ca="1">SUM(AM26,AM27)*200%</f>
        <v>4154694.0931341788</v>
      </c>
    </row>
    <row r="29" spans="1:39" ht="16.5" customHeight="1">
      <c r="A29" s="3"/>
      <c r="B29" s="3"/>
      <c r="C29" s="3"/>
      <c r="D29" s="3"/>
      <c r="E29" s="3"/>
      <c r="F29" s="3"/>
      <c r="G29" s="3"/>
      <c r="H29" s="3"/>
      <c r="I29" s="3"/>
      <c r="J29" s="14"/>
      <c r="K29" s="14"/>
      <c r="L29" s="14"/>
      <c r="M29" s="14"/>
      <c r="N29" s="3"/>
      <c r="O29" s="3"/>
      <c r="Q29" s="3"/>
      <c r="R29" s="14"/>
      <c r="S29" s="14"/>
      <c r="T29" s="14"/>
      <c r="U29" s="14"/>
      <c r="V29" s="3"/>
      <c r="W29" s="3"/>
      <c r="Y29" s="3"/>
      <c r="Z29" s="14"/>
      <c r="AA29" s="14"/>
      <c r="AB29" s="14"/>
      <c r="AC29" s="14"/>
      <c r="AD29" s="3"/>
      <c r="AE29" s="3"/>
      <c r="AG29" s="3"/>
      <c r="AH29" s="14"/>
      <c r="AI29" s="14"/>
      <c r="AJ29" s="14"/>
      <c r="AK29" s="14"/>
      <c r="AL29" s="3"/>
      <c r="AM29" s="3"/>
    </row>
    <row r="30" spans="1:39" s="357" customFormat="1" ht="7.5" customHeight="1">
      <c r="A30" s="355"/>
      <c r="B30" s="355"/>
      <c r="C30" s="355"/>
      <c r="D30" s="355"/>
      <c r="E30" s="355"/>
      <c r="F30" s="355"/>
      <c r="G30" s="355"/>
      <c r="H30" s="355"/>
      <c r="I30" s="355"/>
      <c r="J30" s="356"/>
      <c r="K30" s="356"/>
      <c r="L30" s="356"/>
      <c r="M30" s="356"/>
      <c r="N30" s="355"/>
      <c r="O30" s="355"/>
      <c r="Q30" s="355"/>
      <c r="R30" s="356"/>
      <c r="S30" s="356"/>
      <c r="T30" s="356"/>
      <c r="U30" s="356"/>
      <c r="V30" s="355"/>
      <c r="W30" s="355"/>
      <c r="Y30" s="355"/>
      <c r="Z30" s="356"/>
      <c r="AA30" s="356"/>
      <c r="AB30" s="356"/>
      <c r="AC30" s="356"/>
      <c r="AD30" s="355"/>
      <c r="AE30" s="355"/>
      <c r="AG30" s="355"/>
      <c r="AH30" s="356"/>
      <c r="AI30" s="356"/>
      <c r="AJ30" s="356"/>
      <c r="AK30" s="356"/>
      <c r="AL30" s="355"/>
      <c r="AM30" s="355"/>
    </row>
    <row r="31" spans="1:39" ht="7.5" customHeight="1">
      <c r="A31" s="3"/>
      <c r="B31" s="3"/>
      <c r="C31" s="3"/>
      <c r="D31" s="3"/>
      <c r="E31" s="3"/>
      <c r="F31" s="3"/>
      <c r="G31" s="3"/>
      <c r="H31" s="3"/>
      <c r="I31" s="3"/>
      <c r="J31" s="14"/>
      <c r="K31" s="14"/>
      <c r="L31" s="14"/>
      <c r="M31" s="14"/>
      <c r="N31" s="3"/>
      <c r="O31" s="3"/>
      <c r="Q31" s="3"/>
      <c r="R31" s="14"/>
      <c r="S31" s="14"/>
      <c r="T31" s="14"/>
      <c r="U31" s="14"/>
      <c r="V31" s="3"/>
      <c r="W31" s="3"/>
      <c r="Y31" s="3"/>
      <c r="Z31" s="14"/>
      <c r="AA31" s="14"/>
      <c r="AB31" s="14"/>
      <c r="AC31" s="14"/>
      <c r="AD31" s="3"/>
      <c r="AE31" s="3"/>
      <c r="AG31" s="3"/>
      <c r="AH31" s="14"/>
      <c r="AI31" s="14"/>
      <c r="AJ31" s="14"/>
      <c r="AK31" s="14"/>
      <c r="AL31" s="3"/>
      <c r="AM31" s="3"/>
    </row>
    <row r="32" spans="1:39" ht="16.5" customHeight="1" thickBot="1">
      <c r="A32" s="3"/>
      <c r="B32" s="381">
        <f>A9</f>
        <v>2026</v>
      </c>
      <c r="C32" s="382"/>
      <c r="D32" s="382"/>
      <c r="E32" s="382"/>
      <c r="F32" s="3" t="s">
        <v>315</v>
      </c>
      <c r="G32" s="3"/>
      <c r="H32" s="3"/>
      <c r="I32" s="3"/>
      <c r="J32" s="176">
        <f>B32+1</f>
        <v>2027</v>
      </c>
      <c r="K32" s="382"/>
      <c r="L32" s="382"/>
      <c r="M32" s="382"/>
      <c r="N32" s="3" t="s">
        <v>315</v>
      </c>
      <c r="Q32" s="3"/>
      <c r="R32" s="176">
        <f>J32+1</f>
        <v>2028</v>
      </c>
      <c r="S32" s="382"/>
      <c r="T32" s="382"/>
      <c r="U32" s="382"/>
      <c r="V32" s="3" t="s">
        <v>315</v>
      </c>
      <c r="W32" s="3"/>
      <c r="Y32" s="3"/>
      <c r="Z32" s="176">
        <f>R32+1</f>
        <v>2029</v>
      </c>
      <c r="AA32" s="383"/>
      <c r="AB32" s="383"/>
      <c r="AC32" s="383"/>
      <c r="AD32" s="3" t="s">
        <v>315</v>
      </c>
      <c r="AE32" s="3"/>
      <c r="AG32" s="3"/>
      <c r="AH32" s="176">
        <f>Z32+1</f>
        <v>2030</v>
      </c>
      <c r="AI32" s="383"/>
      <c r="AJ32" s="383"/>
      <c r="AK32" s="383"/>
      <c r="AL32" s="3" t="s">
        <v>315</v>
      </c>
      <c r="AM32" s="3"/>
    </row>
    <row r="33" spans="1:38" ht="16.5" customHeight="1">
      <c r="B33" s="352" t="str">
        <f>IF(OR($B$5="1세대1주택"),"1세대1주택","주택")</f>
        <v>주택</v>
      </c>
      <c r="C33" s="352" t="str">
        <f t="shared" ref="C33:E33" si="58">IF(OR($B$5="1세대1주택"),"1세대1주택","주택")</f>
        <v>주택</v>
      </c>
      <c r="D33" s="352" t="str">
        <f t="shared" si="58"/>
        <v>주택</v>
      </c>
      <c r="E33" s="352" t="str">
        <f t="shared" si="58"/>
        <v>주택</v>
      </c>
      <c r="F33" s="384" t="str">
        <f>IF(OR($B$5="1세대1주택"),"1세대1주택","주택")</f>
        <v>주택</v>
      </c>
      <c r="H33" s="3"/>
      <c r="J33" s="385" t="str">
        <f>J10</f>
        <v>주택</v>
      </c>
      <c r="K33" s="385" t="str">
        <f t="shared" ref="K33:M33" si="59">K10</f>
        <v>주택</v>
      </c>
      <c r="L33" s="385" t="str">
        <f t="shared" si="59"/>
        <v>주택</v>
      </c>
      <c r="M33" s="385" t="str">
        <f t="shared" si="59"/>
        <v>주택</v>
      </c>
      <c r="N33" s="384" t="str">
        <f>IF(OR($B$5="1세대1주택"),"1세대1주택","주택")</f>
        <v>주택</v>
      </c>
      <c r="R33" s="385" t="str">
        <f>R10</f>
        <v>주택</v>
      </c>
      <c r="S33" s="385" t="str">
        <f t="shared" ref="S33:U33" si="60">S10</f>
        <v>주택</v>
      </c>
      <c r="T33" s="385" t="str">
        <f t="shared" si="60"/>
        <v>주택</v>
      </c>
      <c r="U33" s="385" t="str">
        <f t="shared" si="60"/>
        <v>주택</v>
      </c>
      <c r="V33" s="384" t="str">
        <f>IF(OR($B$5="1세대1주택"),"1세대1주택","주택")</f>
        <v>주택</v>
      </c>
      <c r="Z33" s="385" t="str">
        <f>Z10</f>
        <v>주택</v>
      </c>
      <c r="AA33" s="385" t="str">
        <f t="shared" ref="AA33:AC33" si="61">AA10</f>
        <v>주택</v>
      </c>
      <c r="AB33" s="385" t="str">
        <f t="shared" si="61"/>
        <v>주택</v>
      </c>
      <c r="AC33" s="385" t="str">
        <f t="shared" si="61"/>
        <v>주택</v>
      </c>
      <c r="AD33" s="384" t="str">
        <f>IF(OR($B$5="1세대1주택"),"1세대1주택","주택")</f>
        <v>주택</v>
      </c>
      <c r="AH33" s="385" t="str">
        <f>AH10</f>
        <v>주택</v>
      </c>
      <c r="AI33" s="385" t="str">
        <f t="shared" ref="AI33:AK33" si="62">AI10</f>
        <v>주택</v>
      </c>
      <c r="AJ33" s="385" t="str">
        <f t="shared" si="62"/>
        <v>주택</v>
      </c>
      <c r="AK33" s="385" t="str">
        <f t="shared" si="62"/>
        <v>주택</v>
      </c>
      <c r="AL33" s="384" t="str">
        <f>IF(OR($B$5="1세대1주택"),"1세대1주택","주택")</f>
        <v>주택</v>
      </c>
    </row>
    <row r="34" spans="1:38" ht="16.5" customHeight="1">
      <c r="A34" s="174" t="s">
        <v>291</v>
      </c>
      <c r="B34" s="386" t="str">
        <f>IF($B$6=B$9,"거주","")</f>
        <v>거주</v>
      </c>
      <c r="C34" s="386" t="str">
        <f t="shared" ref="C34:E34" si="63">IF($B$6=C$9,"거주","")</f>
        <v/>
      </c>
      <c r="D34" s="386" t="str">
        <f t="shared" si="63"/>
        <v/>
      </c>
      <c r="E34" s="386" t="str">
        <f t="shared" si="63"/>
        <v/>
      </c>
      <c r="F34" s="387" t="str">
        <f>B34</f>
        <v>거주</v>
      </c>
      <c r="H34" s="3"/>
      <c r="I34" s="174" t="s">
        <v>263</v>
      </c>
      <c r="J34" s="388" t="str">
        <f>IF($B$6=J$9,"거주","")</f>
        <v>거주</v>
      </c>
      <c r="K34" s="388" t="str">
        <f t="shared" ref="K34:M34" si="64">IF($B$6=K$9,"거주","")</f>
        <v/>
      </c>
      <c r="L34" s="388" t="str">
        <f t="shared" si="64"/>
        <v/>
      </c>
      <c r="M34" s="388" t="str">
        <f t="shared" si="64"/>
        <v/>
      </c>
      <c r="N34" s="387" t="str">
        <f>J34</f>
        <v>거주</v>
      </c>
      <c r="Q34" s="174" t="s">
        <v>97</v>
      </c>
      <c r="R34" s="388" t="str">
        <f>IF($B$6=R$9,"거주","")</f>
        <v>거주</v>
      </c>
      <c r="S34" s="388" t="str">
        <f t="shared" ref="S34:U34" si="65">IF($B$6=S$9,"거주","")</f>
        <v/>
      </c>
      <c r="T34" s="388" t="str">
        <f t="shared" si="65"/>
        <v/>
      </c>
      <c r="U34" s="388" t="str">
        <f t="shared" si="65"/>
        <v/>
      </c>
      <c r="V34" s="387" t="str">
        <f>R34</f>
        <v>거주</v>
      </c>
      <c r="Y34" s="174" t="s">
        <v>97</v>
      </c>
      <c r="Z34" s="388" t="str">
        <f>IF($B$6=Z$9,"거주","")</f>
        <v>거주</v>
      </c>
      <c r="AA34" s="388" t="str">
        <f t="shared" ref="AA34:AC34" si="66">IF($B$6=AA$9,"거주","")</f>
        <v/>
      </c>
      <c r="AB34" s="388" t="str">
        <f t="shared" si="66"/>
        <v/>
      </c>
      <c r="AC34" s="388" t="str">
        <f t="shared" si="66"/>
        <v/>
      </c>
      <c r="AD34" s="387" t="str">
        <f>Z34</f>
        <v>거주</v>
      </c>
      <c r="AG34" s="174" t="s">
        <v>97</v>
      </c>
      <c r="AH34" s="388" t="str">
        <f>IF($B$6=AH$9,"거주","")</f>
        <v>거주</v>
      </c>
      <c r="AI34" s="388" t="str">
        <f t="shared" ref="AI34:AK34" si="67">IF($B$6=AI$9,"거주","")</f>
        <v/>
      </c>
      <c r="AJ34" s="388" t="str">
        <f t="shared" si="67"/>
        <v/>
      </c>
      <c r="AK34" s="388" t="str">
        <f t="shared" si="67"/>
        <v/>
      </c>
      <c r="AL34" s="387" t="str">
        <f>AH34</f>
        <v>거주</v>
      </c>
    </row>
    <row r="35" spans="1:38" ht="16.5" customHeight="1">
      <c r="A35" s="174" t="s">
        <v>221</v>
      </c>
      <c r="B35" s="205">
        <f>HLOOKUP(B$9,기초!$C$5:$I$16,MATCH($A35,기초!$A$5:$A$16,0),0)</f>
        <v>1</v>
      </c>
      <c r="C35" s="205">
        <f>HLOOKUP(C$9,기초!$C$5:$I$16,MATCH($A35,기초!$A$5:$A$16,0),0)</f>
        <v>0.5</v>
      </c>
      <c r="D35" s="205">
        <f>HLOOKUP(D$9,기초!$C$5:$I$16,MATCH($A35,기초!$A$5:$A$16,0),0)</f>
        <v>1</v>
      </c>
      <c r="E35" s="205">
        <f>HLOOKUP(E$9,기초!$C$5:$I$16,MATCH($A35,기초!$A$5:$A$16,0),0)</f>
        <v>1</v>
      </c>
      <c r="F35" s="389"/>
      <c r="H35" s="3"/>
      <c r="I35" s="174" t="s">
        <v>221</v>
      </c>
      <c r="J35" s="390">
        <f>B35</f>
        <v>1</v>
      </c>
      <c r="K35" s="390">
        <f t="shared" ref="K35:M35" si="68">C35</f>
        <v>0.5</v>
      </c>
      <c r="L35" s="390">
        <f t="shared" si="68"/>
        <v>1</v>
      </c>
      <c r="M35" s="390">
        <f t="shared" si="68"/>
        <v>1</v>
      </c>
      <c r="N35" s="470"/>
      <c r="Q35" s="174" t="s">
        <v>98</v>
      </c>
      <c r="R35" s="390">
        <f>J35</f>
        <v>1</v>
      </c>
      <c r="S35" s="390">
        <f t="shared" ref="S35:U35" si="69">K35</f>
        <v>0.5</v>
      </c>
      <c r="T35" s="390">
        <f t="shared" si="69"/>
        <v>1</v>
      </c>
      <c r="U35" s="390">
        <f t="shared" si="69"/>
        <v>1</v>
      </c>
      <c r="V35" s="389"/>
      <c r="Y35" s="174" t="s">
        <v>98</v>
      </c>
      <c r="Z35" s="390">
        <f>R35</f>
        <v>1</v>
      </c>
      <c r="AA35" s="390">
        <f t="shared" ref="AA35:AC35" si="70">S35</f>
        <v>0.5</v>
      </c>
      <c r="AB35" s="390">
        <f t="shared" si="70"/>
        <v>1</v>
      </c>
      <c r="AC35" s="390">
        <f t="shared" si="70"/>
        <v>1</v>
      </c>
      <c r="AD35" s="389"/>
      <c r="AG35" s="174" t="s">
        <v>98</v>
      </c>
      <c r="AH35" s="390">
        <f>Z35</f>
        <v>1</v>
      </c>
      <c r="AI35" s="390">
        <f t="shared" ref="AI35:AK35" si="71">AA35</f>
        <v>0.5</v>
      </c>
      <c r="AJ35" s="390">
        <f t="shared" si="71"/>
        <v>1</v>
      </c>
      <c r="AK35" s="390">
        <f t="shared" si="71"/>
        <v>1</v>
      </c>
      <c r="AL35" s="389"/>
    </row>
    <row r="36" spans="1:38" ht="16.5" customHeight="1">
      <c r="A36" s="174" t="s">
        <v>41</v>
      </c>
      <c r="B36" s="197">
        <f>HLOOKUP(B$9,기초!$C$5:$I$16,MATCH($A36,기초!$A$5:$A$16,0),0)</f>
        <v>15</v>
      </c>
      <c r="C36" s="197">
        <f>HLOOKUP(C$9,기초!$C$5:$I$16,MATCH($A36,기초!$A$5:$A$16,0),0)</f>
        <v>4</v>
      </c>
      <c r="D36" s="197">
        <f>HLOOKUP(D$9,기초!$C$5:$I$16,MATCH($A36,기초!$A$5:$A$16,0),0)</f>
        <v>5</v>
      </c>
      <c r="E36" s="197">
        <f>HLOOKUP(E$9,기초!$C$5:$I$16,MATCH($A36,기초!$A$5:$A$16,0),0)</f>
        <v>6</v>
      </c>
      <c r="F36" s="391">
        <f>IF(F33="1세대1주택",B36-1,)</f>
        <v>0</v>
      </c>
      <c r="H36" s="3"/>
      <c r="I36" s="353" t="s">
        <v>306</v>
      </c>
      <c r="J36" s="392">
        <f>B36+1</f>
        <v>16</v>
      </c>
      <c r="K36" s="392">
        <f>C36+1</f>
        <v>5</v>
      </c>
      <c r="L36" s="392">
        <f>D36+1</f>
        <v>6</v>
      </c>
      <c r="M36" s="392">
        <f>E36+1</f>
        <v>7</v>
      </c>
      <c r="N36" s="393">
        <f>IF(N33="1세대1주택",J36-1,)</f>
        <v>0</v>
      </c>
      <c r="Q36" s="394"/>
      <c r="R36" s="439"/>
      <c r="S36" s="439"/>
      <c r="T36" s="439"/>
      <c r="U36" s="439"/>
      <c r="V36" s="391"/>
      <c r="Y36" s="394"/>
      <c r="Z36" s="439"/>
      <c r="AA36" s="439"/>
      <c r="AB36" s="439"/>
      <c r="AC36" s="439"/>
      <c r="AD36" s="391"/>
      <c r="AG36" s="394"/>
      <c r="AH36" s="439"/>
      <c r="AI36" s="439"/>
      <c r="AJ36" s="439"/>
      <c r="AK36" s="439"/>
      <c r="AL36" s="391"/>
    </row>
    <row r="37" spans="1:38" ht="16.5" customHeight="1">
      <c r="A37" s="174" t="s">
        <v>99</v>
      </c>
      <c r="B37" s="395" t="b">
        <f>IF(B33="1세대1주택",IF(B36&gt;=15,50%,IF(B36&gt;=10,40%,IF(B36&gt;=5,20%,0))))</f>
        <v>0</v>
      </c>
      <c r="C37" s="105" t="b">
        <f t="shared" ref="C37:E37" si="72">IF(C33="1세대1주택",IF(C36&gt;=15,50%,IF(C36&gt;=10,40%,IF(C36&gt;=5,20%,0))))</f>
        <v>0</v>
      </c>
      <c r="D37" s="105" t="b">
        <f t="shared" si="72"/>
        <v>0</v>
      </c>
      <c r="E37" s="396" t="b">
        <f t="shared" si="72"/>
        <v>0</v>
      </c>
      <c r="F37" s="397" t="b">
        <f>IF(F33="1세대1주택",IF(F36&gt;=15,50%,IF(F36&gt;=10,40%,IF(F36&gt;=5,20%,0))))</f>
        <v>0</v>
      </c>
      <c r="H37" s="3"/>
      <c r="I37" s="354" t="s">
        <v>307</v>
      </c>
      <c r="J37" s="390" t="b">
        <f>IF(J$33="1세대1주택",IF(J36&gt;=15,25%,IF(J36&gt;=10,20%,IF(J36&gt;=5,10%,0))))</f>
        <v>0</v>
      </c>
      <c r="K37" s="390" t="b">
        <f t="shared" ref="K37:M37" si="73">IF(K$33="1세대1주택",IF(K36&gt;=15,25%,IF(K36&gt;=10,20%,IF(K36&gt;=5,10%,0))))</f>
        <v>0</v>
      </c>
      <c r="L37" s="390" t="b">
        <f t="shared" si="73"/>
        <v>0</v>
      </c>
      <c r="M37" s="390" t="b">
        <f t="shared" si="73"/>
        <v>0</v>
      </c>
      <c r="N37" s="470" t="b">
        <f>IF(N$33="1세대1주택",IF(N36&gt;=15,25%,IF(N36&gt;=10,20%,IF(N36&gt;=5,10%,0))))</f>
        <v>0</v>
      </c>
      <c r="Q37" s="394"/>
      <c r="R37" s="440"/>
      <c r="S37" s="440"/>
      <c r="T37" s="440"/>
      <c r="U37" s="441"/>
      <c r="V37" s="397"/>
      <c r="Y37" s="394"/>
      <c r="Z37" s="440"/>
      <c r="AA37" s="440"/>
      <c r="AB37" s="440"/>
      <c r="AC37" s="441"/>
      <c r="AD37" s="397"/>
      <c r="AG37" s="394"/>
      <c r="AH37" s="440"/>
      <c r="AI37" s="440"/>
      <c r="AJ37" s="440"/>
      <c r="AK37" s="441"/>
      <c r="AL37" s="397"/>
    </row>
    <row r="38" spans="1:38" ht="16.5" customHeight="1">
      <c r="A38" s="174" t="s">
        <v>100</v>
      </c>
      <c r="B38" s="398">
        <f>$B$3</f>
        <v>4</v>
      </c>
      <c r="C38" s="439"/>
      <c r="D38" s="439"/>
      <c r="E38" s="439"/>
      <c r="F38" s="389"/>
      <c r="H38" s="3"/>
      <c r="I38" s="174" t="s">
        <v>100</v>
      </c>
      <c r="J38" s="398">
        <f>$B$3</f>
        <v>4</v>
      </c>
      <c r="K38" s="439"/>
      <c r="L38" s="439"/>
      <c r="M38" s="464"/>
      <c r="N38" s="389"/>
      <c r="Q38" s="174" t="s">
        <v>100</v>
      </c>
      <c r="R38" s="399">
        <f>$B$3</f>
        <v>4</v>
      </c>
      <c r="S38" s="439"/>
      <c r="T38" s="439"/>
      <c r="U38" s="439"/>
      <c r="V38" s="389"/>
      <c r="Y38" s="174" t="s">
        <v>100</v>
      </c>
      <c r="Z38" s="399">
        <f>$B$3</f>
        <v>4</v>
      </c>
      <c r="AA38" s="439"/>
      <c r="AB38" s="439"/>
      <c r="AC38" s="439"/>
      <c r="AD38" s="389"/>
      <c r="AG38" s="174" t="s">
        <v>100</v>
      </c>
      <c r="AH38" s="399">
        <f>$B$3</f>
        <v>4</v>
      </c>
      <c r="AI38" s="439"/>
      <c r="AJ38" s="439"/>
      <c r="AK38" s="439"/>
      <c r="AL38" s="389"/>
    </row>
    <row r="39" spans="1:38" ht="16.5" customHeight="1">
      <c r="A39" s="174" t="s">
        <v>75</v>
      </c>
      <c r="B39" s="398" t="str">
        <f>IF(B38&lt;=2,"기본세율","중과세율")</f>
        <v>중과세율</v>
      </c>
      <c r="C39" s="440"/>
      <c r="D39" s="440"/>
      <c r="E39" s="441"/>
      <c r="F39" s="389"/>
      <c r="H39" s="3"/>
      <c r="I39" s="394"/>
      <c r="J39" s="440"/>
      <c r="K39" s="440"/>
      <c r="L39" s="440"/>
      <c r="M39" s="465"/>
      <c r="N39" s="389"/>
      <c r="Q39" s="394"/>
      <c r="R39" s="83"/>
      <c r="S39" s="440"/>
      <c r="T39" s="440"/>
      <c r="U39" s="441"/>
      <c r="V39" s="400"/>
      <c r="Y39" s="394"/>
      <c r="Z39" s="83"/>
      <c r="AA39" s="440"/>
      <c r="AB39" s="440"/>
      <c r="AC39" s="441"/>
      <c r="AD39" s="389"/>
      <c r="AG39" s="394"/>
      <c r="AH39" s="83"/>
      <c r="AI39" s="440"/>
      <c r="AJ39" s="440"/>
      <c r="AK39" s="441"/>
      <c r="AL39" s="389"/>
    </row>
    <row r="40" spans="1:38" ht="16.5" customHeight="1">
      <c r="A40" s="401"/>
      <c r="B40" s="447"/>
      <c r="C40" s="447"/>
      <c r="D40" s="447"/>
      <c r="E40" s="448"/>
      <c r="F40" s="391"/>
      <c r="H40" s="3"/>
      <c r="I40" s="354" t="s">
        <v>264</v>
      </c>
      <c r="J40" s="392">
        <v>15</v>
      </c>
      <c r="K40" s="392">
        <v>1</v>
      </c>
      <c r="L40" s="392">
        <v>2</v>
      </c>
      <c r="M40" s="392">
        <v>3</v>
      </c>
      <c r="N40" s="393">
        <f ca="1">OFFSET($I$40,0,MATCH("거주",$J34:$M34,0))</f>
        <v>15</v>
      </c>
      <c r="Q40" s="354" t="s">
        <v>267</v>
      </c>
      <c r="R40" s="392">
        <f>IF(R34="거주",J40+1,J40)</f>
        <v>16</v>
      </c>
      <c r="S40" s="392">
        <f>IF(S34="거주",K40+1,K40)</f>
        <v>1</v>
      </c>
      <c r="T40" s="392">
        <f t="shared" ref="T40:U40" si="74">IF(T34="거주",L40+1,L40)</f>
        <v>2</v>
      </c>
      <c r="U40" s="392">
        <f t="shared" si="74"/>
        <v>3</v>
      </c>
      <c r="V40" s="393">
        <f ca="1">OFFSET($I$40,0,MATCH("거주",$J34:$M34,0))</f>
        <v>15</v>
      </c>
      <c r="Y40" s="354" t="s">
        <v>267</v>
      </c>
      <c r="Z40" s="392">
        <f>IF(Z34="거주",R40+1,R40)</f>
        <v>17</v>
      </c>
      <c r="AA40" s="392">
        <f>IF(AA34="거주",S40+1,S40)</f>
        <v>1</v>
      </c>
      <c r="AB40" s="392">
        <f t="shared" ref="AB40:AC40" si="75">IF(AB34="거주",T40+1,T40)</f>
        <v>2</v>
      </c>
      <c r="AC40" s="392">
        <f t="shared" si="75"/>
        <v>3</v>
      </c>
      <c r="AD40" s="391">
        <f ca="1">IF(AD34="거주",V40+1,V40)</f>
        <v>16</v>
      </c>
      <c r="AG40" s="354" t="s">
        <v>267</v>
      </c>
      <c r="AH40" s="392">
        <f>IF(AH34="거주",Z40+1,Z40)</f>
        <v>18</v>
      </c>
      <c r="AI40" s="392">
        <f>IF(AI34="거주",AA40+1,AA40)</f>
        <v>1</v>
      </c>
      <c r="AJ40" s="392">
        <f t="shared" ref="AJ40:AK40" si="76">IF(AJ34="거주",AB40+1,AB40)</f>
        <v>2</v>
      </c>
      <c r="AK40" s="392">
        <f t="shared" si="76"/>
        <v>3</v>
      </c>
      <c r="AL40" s="391">
        <f ca="1">IF(AL34="거주",AD40+1,AD40)</f>
        <v>17</v>
      </c>
    </row>
    <row r="41" spans="1:38" ht="16.5" customHeight="1">
      <c r="A41" s="394"/>
      <c r="B41" s="442"/>
      <c r="C41" s="440"/>
      <c r="D41" s="440"/>
      <c r="E41" s="441"/>
      <c r="F41" s="402"/>
      <c r="H41" s="3"/>
      <c r="I41" s="354" t="s">
        <v>265</v>
      </c>
      <c r="J41" s="403" t="b">
        <f>IF(AND(J33="1세대1주택",COUNTIF($J$34:$J$34,"거주")=1),IF(J40&gt;=15,50%,IF(J40&gt;=10,40%,IF(J40&gt;=5,20%,0))))</f>
        <v>0</v>
      </c>
      <c r="K41" s="403" t="b">
        <f t="shared" ref="K41:M41" si="77">IF(AND(K33="1세대1주택",COUNTIF($J$34:$J$34,"거주")=1),IF(K40&gt;=15,50%,IF(K40&gt;=10,40%,IF(K40&gt;=5,20%,0))))</f>
        <v>0</v>
      </c>
      <c r="L41" s="403" t="b">
        <f t="shared" si="77"/>
        <v>0</v>
      </c>
      <c r="M41" s="403" t="b">
        <f t="shared" si="77"/>
        <v>0</v>
      </c>
      <c r="N41" s="404" t="b">
        <f>IF(AND(N33="1세대1주택",COUNTIF($J$34:$J$34,"거주")=1),IF(N40&gt;=15,50%,IF(N40&gt;=10,40%,IF(N40&gt;=5,20%,0))))</f>
        <v>0</v>
      </c>
      <c r="Q41" s="354" t="s">
        <v>265</v>
      </c>
      <c r="R41" s="403" t="b">
        <f>IF(AND(R33="1세대1주택",COUNTIF($J$34:$J$34,"거주")=1),IF(R40&gt;=15,50%,IF(R40&gt;=10,40%,IF(R40&gt;=5,20%,0))))</f>
        <v>0</v>
      </c>
      <c r="S41" s="403" t="b">
        <f t="shared" ref="S41:U41" si="78">IF(AND(S33="1세대1주택",COUNTIF($J$34:$J$34,"거주")=1),IF(S40&gt;=15,50%,IF(S40&gt;=10,40%,IF(S40&gt;=5,20%,0))))</f>
        <v>0</v>
      </c>
      <c r="T41" s="403" t="b">
        <f t="shared" si="78"/>
        <v>0</v>
      </c>
      <c r="U41" s="403" t="b">
        <f t="shared" si="78"/>
        <v>0</v>
      </c>
      <c r="V41" s="404" t="b">
        <f>IF(AND(V33="1세대1주택",COUNTIF($J$34:$J$34,"거주")=1),IF(V40&gt;=15,50%,IF(V40&gt;=10,40%,IF(V40&gt;=5,20%,0))))</f>
        <v>0</v>
      </c>
      <c r="Y41" s="354" t="s">
        <v>265</v>
      </c>
      <c r="Z41" s="403" t="b">
        <f>IF(AND(Z33="1세대1주택",COUNTIF($J$34:$J$34,"거주")=1),IF(Z40&gt;=15,50%,IF(Z40&gt;=10,40%,IF(Z40&gt;=5,20%,0))))</f>
        <v>0</v>
      </c>
      <c r="AA41" s="403" t="b">
        <f t="shared" ref="AA41:AC41" si="79">IF(AND(AA33="1세대1주택",COUNTIF($J$34:$J$34,"거주")=1),IF(AA40&gt;=15,50%,IF(AA40&gt;=10,40%,IF(AA40&gt;=5,20%,0))))</f>
        <v>0</v>
      </c>
      <c r="AB41" s="403" t="b">
        <f t="shared" si="79"/>
        <v>0</v>
      </c>
      <c r="AC41" s="403" t="b">
        <f t="shared" si="79"/>
        <v>0</v>
      </c>
      <c r="AD41" s="404" t="b">
        <f>IF(AND(AD33="1세대1주택",COUNTIF($Z$34:$Z$34,"거주")=1),IF(AD40&gt;=15,50%,IF(AD40&gt;=10,40%,IF(AD40&gt;=5,20%,0))))</f>
        <v>0</v>
      </c>
      <c r="AG41" s="354" t="s">
        <v>265</v>
      </c>
      <c r="AH41" s="403" t="b">
        <f>IF(AND(AH33="1세대1주택",COUNTIF($J$34:$J$34,"거주")=1),IF(AH40&gt;=15,50%,IF(AH40&gt;=10,40%,IF(AH40&gt;=5,20%,0))))</f>
        <v>0</v>
      </c>
      <c r="AI41" s="403" t="b">
        <f t="shared" ref="AI41:AK41" si="80">IF(AND(AI33="1세대1주택",COUNTIF($J$34:$J$34,"거주")=1),IF(AI40&gt;=15,50%,IF(AI40&gt;=10,40%,IF(AI40&gt;=5,20%,0))))</f>
        <v>0</v>
      </c>
      <c r="AJ41" s="403" t="b">
        <f t="shared" si="80"/>
        <v>0</v>
      </c>
      <c r="AK41" s="403" t="b">
        <f t="shared" si="80"/>
        <v>0</v>
      </c>
      <c r="AL41" s="404" t="b">
        <f>IF(AND(AL33="1세대1주택",COUNTIF($Z$34:$Z$34,"거주")=1),IF(AL40&gt;=15,50%,IF(AL40&gt;=10,40%,IF(AL40&gt;=5,20%,0))))</f>
        <v>0</v>
      </c>
    </row>
    <row r="42" spans="1:38" ht="16.5" customHeight="1">
      <c r="A42" s="174" t="s">
        <v>3</v>
      </c>
      <c r="B42" s="197">
        <v>66</v>
      </c>
      <c r="C42" s="443"/>
      <c r="D42" s="443"/>
      <c r="E42" s="444"/>
      <c r="F42" s="391">
        <f>B42-1</f>
        <v>65</v>
      </c>
      <c r="H42" s="3"/>
      <c r="I42" s="174" t="s">
        <v>102</v>
      </c>
      <c r="J42" s="405">
        <f>B42+1</f>
        <v>67</v>
      </c>
      <c r="K42" s="443"/>
      <c r="L42" s="443"/>
      <c r="M42" s="467"/>
      <c r="N42" s="391">
        <f>J42-1</f>
        <v>66</v>
      </c>
      <c r="Q42" s="174" t="s">
        <v>102</v>
      </c>
      <c r="R42" s="405">
        <f>J42+1</f>
        <v>68</v>
      </c>
      <c r="S42" s="443"/>
      <c r="T42" s="443"/>
      <c r="U42" s="444"/>
      <c r="V42" s="391">
        <f>R42-1</f>
        <v>67</v>
      </c>
      <c r="Y42" s="174" t="s">
        <v>102</v>
      </c>
      <c r="Z42" s="405">
        <f>R42+1</f>
        <v>69</v>
      </c>
      <c r="AA42" s="443"/>
      <c r="AB42" s="443"/>
      <c r="AC42" s="444"/>
      <c r="AD42" s="391">
        <f>Z42-1</f>
        <v>68</v>
      </c>
      <c r="AG42" s="174" t="s">
        <v>102</v>
      </c>
      <c r="AH42" s="405">
        <f>Z42+1</f>
        <v>70</v>
      </c>
      <c r="AI42" s="443"/>
      <c r="AJ42" s="443"/>
      <c r="AK42" s="444"/>
      <c r="AL42" s="391">
        <f>AH42-1</f>
        <v>69</v>
      </c>
    </row>
    <row r="43" spans="1:38" ht="16.5" customHeight="1">
      <c r="A43" s="174" t="s">
        <v>104</v>
      </c>
      <c r="B43" s="395" t="b">
        <f>IF(B33="1세대1주택",IF(B42&gt;=70,40%,IF(B42&gt;=65,30%,IF(B42&gt;=60,20%,0))))</f>
        <v>0</v>
      </c>
      <c r="C43" s="445"/>
      <c r="D43" s="445"/>
      <c r="E43" s="446"/>
      <c r="F43" s="389" t="b">
        <f>IF(F33="1세대1주택",IF(F42&gt;=70,40%,IF(F42&gt;=65,30%,IF(F42&gt;=60,20%,0))))</f>
        <v>0</v>
      </c>
      <c r="H43" s="3"/>
      <c r="I43" s="174" t="s">
        <v>109</v>
      </c>
      <c r="J43" s="406" t="b">
        <f>IF(J33="1세대1주택",IF(J42&gt;=70,40%,IF(J42&gt;=65,30%,IF(J42&gt;=60,20%,0))))</f>
        <v>0</v>
      </c>
      <c r="K43" s="445"/>
      <c r="L43" s="445"/>
      <c r="M43" s="468"/>
      <c r="N43" s="389" t="b">
        <f>IF(N33="1세대1주택",IF(N42&gt;=70,40%,IF(N42&gt;=65,30%,IF(N42&gt;=60,20%,0))))</f>
        <v>0</v>
      </c>
      <c r="Q43" s="174" t="s">
        <v>109</v>
      </c>
      <c r="R43" s="406" t="b">
        <f>IF(R33="1세대1주택",IF(R42&gt;=70,40%,IF(R42&gt;=65,30%,IF(R42&gt;=60,20%,0))))</f>
        <v>0</v>
      </c>
      <c r="S43" s="445"/>
      <c r="T43" s="445"/>
      <c r="U43" s="446"/>
      <c r="V43" s="389" t="b">
        <f>IF(V33="1세대1주택",IF(V42&gt;=70,40%,IF(V42&gt;=65,30%,IF(V42&gt;=60,20%,0))))</f>
        <v>0</v>
      </c>
      <c r="Y43" s="174" t="s">
        <v>109</v>
      </c>
      <c r="Z43" s="406" t="b">
        <f>IF(Z33="1세대1주택",IF(Z42&gt;=70,40%,IF(Z42&gt;=65,30%,IF(Z42&gt;=60,20%,0))))</f>
        <v>0</v>
      </c>
      <c r="AA43" s="445"/>
      <c r="AB43" s="445"/>
      <c r="AC43" s="446"/>
      <c r="AD43" s="389" t="b">
        <f>IF(AD33="1세대1주택",IF(AD42&gt;=70,40%,IF(AD42&gt;=65,30%,IF(AD42&gt;=60,20%,0))))</f>
        <v>0</v>
      </c>
      <c r="AG43" s="174" t="s">
        <v>109</v>
      </c>
      <c r="AH43" s="406" t="b">
        <f>IF(AH33="1세대1주택",IF(AH42&gt;=70,40%,IF(AH42&gt;=65,30%,IF(AH42&gt;=60,20%,0))))</f>
        <v>0</v>
      </c>
      <c r="AI43" s="445"/>
      <c r="AJ43" s="445"/>
      <c r="AK43" s="446"/>
      <c r="AL43" s="389" t="b">
        <f>IF(AL33="1세대1주택",IF(AL42&gt;=70,40%,IF(AL42&gt;=65,30%,IF(AL42&gt;=60,20%,0))))</f>
        <v>0</v>
      </c>
    </row>
    <row r="44" spans="1:38" ht="16.5" customHeight="1">
      <c r="A44" s="174" t="s">
        <v>317</v>
      </c>
      <c r="B44" s="407">
        <f>IF(B33="1세대1주택",MIN(80%,SUM(B43,B37)),0)</f>
        <v>0</v>
      </c>
      <c r="C44" s="445"/>
      <c r="D44" s="445"/>
      <c r="E44" s="446"/>
      <c r="F44" s="408">
        <f>IF(F33="1세대1주택",MIN(80%,SUM(F43,F37)),0)</f>
        <v>0</v>
      </c>
      <c r="H44" s="3"/>
      <c r="I44" s="174" t="s">
        <v>317</v>
      </c>
      <c r="J44" s="119">
        <f>IF(J33="1세대1주택",MIN(80%,J$43+MAX(J$41,J$37)),0)</f>
        <v>0</v>
      </c>
      <c r="K44" s="445"/>
      <c r="L44" s="445"/>
      <c r="M44" s="468"/>
      <c r="N44" s="409">
        <f>IF(N33="1세대1주택",MIN(80%,N$43+MAX(N$41,N$37)),0)</f>
        <v>0</v>
      </c>
      <c r="Q44" s="174" t="s">
        <v>317</v>
      </c>
      <c r="R44" s="119">
        <f>IF(R33="1세대1주택",MIN(80%,R$43+MAX(R$41,R$37)),0)</f>
        <v>0</v>
      </c>
      <c r="S44" s="445"/>
      <c r="T44" s="445"/>
      <c r="U44" s="446"/>
      <c r="V44" s="409">
        <f>IF(V33="1세대1주택",MIN(80%,V$43+MAX(V$41,V$37)),0)</f>
        <v>0</v>
      </c>
      <c r="Y44" s="174" t="s">
        <v>317</v>
      </c>
      <c r="Z44" s="119">
        <f>IF(Z33="1세대1주택",MIN(80%,Z$43+MAX(Z$41,Z$37)),0)</f>
        <v>0</v>
      </c>
      <c r="AA44" s="445"/>
      <c r="AB44" s="445"/>
      <c r="AC44" s="446"/>
      <c r="AD44" s="408" t="b">
        <f>IF(AD33="1세대1주택",MIN(80%,AD41+AD43))</f>
        <v>0</v>
      </c>
      <c r="AG44" s="174" t="s">
        <v>317</v>
      </c>
      <c r="AH44" s="119">
        <f>IF(AH33="1세대1주택",MIN(80%,AH$43+MAX(AH$41,AH$37)),0)</f>
        <v>0</v>
      </c>
      <c r="AI44" s="445"/>
      <c r="AJ44" s="445"/>
      <c r="AK44" s="446"/>
      <c r="AL44" s="408" t="b">
        <f>IF(AL33="1세대1주택",MIN(80%,AL41+AL43))</f>
        <v>0</v>
      </c>
    </row>
    <row r="45" spans="1:38" ht="16.5" customHeight="1">
      <c r="A45" s="68"/>
      <c r="B45" s="119"/>
      <c r="C45" s="119"/>
      <c r="D45" s="119"/>
      <c r="E45" s="119"/>
      <c r="F45" s="410"/>
      <c r="H45" s="3"/>
      <c r="I45" s="3"/>
      <c r="J45" s="91"/>
      <c r="K45" s="91"/>
      <c r="L45" s="91"/>
      <c r="M45" s="91"/>
      <c r="N45" s="410"/>
      <c r="Q45" s="68"/>
      <c r="R45" s="119"/>
      <c r="S45" s="119"/>
      <c r="T45" s="119"/>
      <c r="U45" s="119"/>
      <c r="V45" s="410"/>
      <c r="Y45" s="68"/>
      <c r="Z45" s="119"/>
      <c r="AA45" s="119"/>
      <c r="AB45" s="119"/>
      <c r="AC45" s="119"/>
      <c r="AD45" s="410"/>
      <c r="AG45" s="68"/>
      <c r="AH45" s="119"/>
      <c r="AI45" s="119"/>
      <c r="AJ45" s="119"/>
      <c r="AK45" s="119"/>
      <c r="AL45" s="410"/>
    </row>
    <row r="46" spans="1:38" ht="16.5" customHeight="1">
      <c r="A46" s="175">
        <f>A9</f>
        <v>2026</v>
      </c>
      <c r="B46" s="119"/>
      <c r="C46" s="119"/>
      <c r="D46" s="119"/>
      <c r="E46" s="119"/>
      <c r="F46" s="411" t="str">
        <f>B39</f>
        <v>중과세율</v>
      </c>
      <c r="H46" s="3"/>
      <c r="I46" s="216">
        <f>A46+1</f>
        <v>2027</v>
      </c>
      <c r="J46" s="105" t="s">
        <v>299</v>
      </c>
      <c r="K46" s="105" t="s">
        <v>298</v>
      </c>
      <c r="L46" s="105" t="s">
        <v>204</v>
      </c>
      <c r="M46" s="91"/>
      <c r="N46" s="412" t="str">
        <f>B39</f>
        <v>중과세율</v>
      </c>
      <c r="Q46" s="216">
        <f>I46+1</f>
        <v>2028</v>
      </c>
      <c r="R46" s="105" t="s">
        <v>299</v>
      </c>
      <c r="S46" s="105" t="s">
        <v>298</v>
      </c>
      <c r="T46" s="105" t="s">
        <v>204</v>
      </c>
      <c r="U46" s="91"/>
      <c r="V46" s="400" t="str">
        <f>$B$4</f>
        <v>3주택</v>
      </c>
      <c r="Y46" s="216">
        <f>Q46+1</f>
        <v>2029</v>
      </c>
      <c r="Z46" s="105" t="s">
        <v>299</v>
      </c>
      <c r="AA46" s="105" t="s">
        <v>298</v>
      </c>
      <c r="AB46" s="105" t="s">
        <v>204</v>
      </c>
      <c r="AC46" s="91"/>
      <c r="AD46" s="400" t="str">
        <f>$B$4</f>
        <v>3주택</v>
      </c>
      <c r="AG46" s="216">
        <f>Y46+1</f>
        <v>2030</v>
      </c>
      <c r="AH46" s="105" t="s">
        <v>299</v>
      </c>
      <c r="AI46" s="105" t="s">
        <v>298</v>
      </c>
      <c r="AJ46" s="105" t="s">
        <v>204</v>
      </c>
      <c r="AK46" s="91"/>
      <c r="AL46" s="400" t="str">
        <f>$B$4</f>
        <v>3주택</v>
      </c>
    </row>
    <row r="47" spans="1:38" ht="16.5" customHeight="1">
      <c r="A47" s="177" t="s">
        <v>136</v>
      </c>
      <c r="B47" s="91">
        <f>SUMPRODUCT($B$11:$E$11,$B$35:$E$35)</f>
        <v>8100000000</v>
      </c>
      <c r="C47" s="91"/>
      <c r="D47" s="91"/>
      <c r="E47" s="91"/>
      <c r="F47" s="411">
        <f>SUMPRODUCT(B23:E23,B35:E35)</f>
        <v>8190000000</v>
      </c>
      <c r="H47" s="3"/>
      <c r="I47" s="217" t="s">
        <v>136</v>
      </c>
      <c r="J47" s="218">
        <f>SUMPRODUCT($J$11:$M$11,$J$35:$M$35)</f>
        <v>9315000000</v>
      </c>
      <c r="K47" s="218">
        <f t="shared" ref="K47:L47" si="81">SUMPRODUCT($J$11:$M$11,$J$35:$M$35)</f>
        <v>9315000000</v>
      </c>
      <c r="L47" s="218">
        <f t="shared" si="81"/>
        <v>9315000000</v>
      </c>
      <c r="M47" s="481"/>
      <c r="N47" s="411">
        <f>SUMPRODUCT(J23:M23,J35:M35)</f>
        <v>8100000000</v>
      </c>
      <c r="Q47" s="217" t="s">
        <v>136</v>
      </c>
      <c r="R47" s="218">
        <f>SUMPRODUCT($R$11:$U$11,$R$35:$U$35)</f>
        <v>9315000000</v>
      </c>
      <c r="S47" s="218">
        <f>SUMPRODUCT($R$11:$U$11,$R$35:$U$35)</f>
        <v>9315000000</v>
      </c>
      <c r="T47" s="218">
        <f>SUMPRODUCT($R$11:$U$11,$R$35:$U$35)</f>
        <v>9315000000</v>
      </c>
      <c r="U47" s="91"/>
      <c r="V47" s="411">
        <f>SUMPRODUCT(R23:U23,R35:U35)</f>
        <v>9315000000</v>
      </c>
      <c r="Y47" s="217" t="s">
        <v>136</v>
      </c>
      <c r="Z47" s="218">
        <f>SUMPRODUCT($Z$11:$AC$11,$Z$35:$AC$35)</f>
        <v>10712249999.999998</v>
      </c>
      <c r="AA47" s="218">
        <f>SUMPRODUCT($Z$11:$AC$11,$Z$35:$AC$35)</f>
        <v>10712249999.999998</v>
      </c>
      <c r="AB47" s="218">
        <f>SUMPRODUCT($Z$11:$AC$11,$Z$35:$AC$35)</f>
        <v>10712249999.999998</v>
      </c>
      <c r="AC47" s="91"/>
      <c r="AD47" s="411">
        <f>SUMPRODUCT(Z23:AC23,Z35:AC35)</f>
        <v>9315000000</v>
      </c>
      <c r="AG47" s="217" t="s">
        <v>136</v>
      </c>
      <c r="AH47" s="218">
        <f>SUMPRODUCT($AH$11:$AK$11,$AH$35:$AK$35)</f>
        <v>11403256249.999998</v>
      </c>
      <c r="AI47" s="218">
        <f t="shared" ref="AI47:AJ47" si="82">SUMPRODUCT($AH$11:$AK$11,$AH$35:$AK$35)</f>
        <v>11403256249.999998</v>
      </c>
      <c r="AJ47" s="218">
        <f t="shared" si="82"/>
        <v>11403256249.999998</v>
      </c>
      <c r="AK47" s="91"/>
      <c r="AL47" s="411">
        <f>SUMPRODUCT(AH23:AK23,AH35:AK35)</f>
        <v>10712249999.999998</v>
      </c>
    </row>
    <row r="48" spans="1:38" ht="16.5" customHeight="1">
      <c r="A48" s="177" t="s">
        <v>139</v>
      </c>
      <c r="B48" s="91">
        <f>IF(B33="1세대1주택",1200000000,900000000)</f>
        <v>900000000</v>
      </c>
      <c r="C48" s="91"/>
      <c r="D48" s="91"/>
      <c r="E48" s="91"/>
      <c r="F48" s="413">
        <f>IF(F33="1세대1주택",1200000000,900000000)</f>
        <v>900000000</v>
      </c>
      <c r="H48" s="3"/>
      <c r="I48" s="217" t="s">
        <v>139</v>
      </c>
      <c r="J48" s="218">
        <v>1400000000</v>
      </c>
      <c r="K48" s="218">
        <f ca="1">4*10^8
+500000000
*OFFSET(I11,0,MATCH("거주",J34:M34,0))*OFFSET(I35,0,MATCH("거주",J67:M67,0))
/K80</f>
        <v>3443478260.869565</v>
      </c>
      <c r="L48" s="218">
        <f ca="1">4*10^8
+500000000
*OFFSET(I11,0,MATCH("거주",J34:M34,0))*OFFSET(I35,0,MATCH("거주",J34:M34,0))
/L47</f>
        <v>616049382.71604931</v>
      </c>
      <c r="M48" s="91"/>
      <c r="N48" s="414">
        <f>IF(N33="1세대1주택",1200000000,900000000)</f>
        <v>900000000</v>
      </c>
      <c r="Q48" s="217" t="s">
        <v>139</v>
      </c>
      <c r="R48" s="218">
        <v>1400000000</v>
      </c>
      <c r="S48" s="218">
        <f ca="1">4*10^8
+500000000
*OFFSET(Q11,0,MATCH("거주",R34:U34,0))*OFFSET(Q35,0,MATCH("거주",R34:U34,0))
/S47</f>
        <v>616049382.71604931</v>
      </c>
      <c r="T48" s="218">
        <f ca="1">4*10^8
+500000000
*OFFSET(Q11,0,MATCH("거주",R34:U34,0))*OFFSET(Q35,0,MATCH("거주",R34:U34,0))
/T47</f>
        <v>616049382.71604931</v>
      </c>
      <c r="U48" s="91"/>
      <c r="V48" s="413">
        <f ca="1">OFFSET(I48,0,MATCH(V46,J46:L46,0))</f>
        <v>616049382.71604931</v>
      </c>
      <c r="Y48" s="217" t="s">
        <v>139</v>
      </c>
      <c r="Z48" s="218">
        <v>1400000000</v>
      </c>
      <c r="AA48" s="218">
        <f ca="1">4*10^8
+500000000
*OFFSET(Y11,0,MATCH("거주",Z34:AC34,0))*OFFSET(Y35,0,MATCH("거주",Z34:AC34,0))
/AA47</f>
        <v>616049382.71604943</v>
      </c>
      <c r="AB48" s="218">
        <f ca="1">4*10^8
+500000000
*OFFSET(Y11,0,MATCH("거주",Z34:AC34,0))*OFFSET(Y35,0,MATCH("거주",Z34:AC34,0))
/AB47</f>
        <v>616049382.71604943</v>
      </c>
      <c r="AC48" s="91"/>
      <c r="AD48" s="413">
        <f ca="1">OFFSET(Q48,0,MATCH(AD46,R46:T46,0))</f>
        <v>616049382.71604931</v>
      </c>
      <c r="AG48" s="217" t="s">
        <v>139</v>
      </c>
      <c r="AH48" s="218">
        <v>1400000000</v>
      </c>
      <c r="AI48" s="218">
        <f ca="1">4*10^8
+500000000
*OFFSET(AG11,0,MATCH("거주",AH34:AK34,0))*OFFSET(AG35,0,MATCH("거주",AH34:AK34,0))
/AI47</f>
        <v>623253116.84546244</v>
      </c>
      <c r="AJ48" s="218">
        <f ca="1">4*10^8
+500000000
*OFFSET(AG11,0,MATCH("거주",AH34:AK34,0))*OFFSET(AG35,0,MATCH("거주",AH34:AK34,0))
/AJ47</f>
        <v>623253116.84546244</v>
      </c>
      <c r="AK48" s="91"/>
      <c r="AL48" s="413">
        <f ca="1">OFFSET(Y48,0,MATCH(AL46,Z46:AB46,0))</f>
        <v>616049382.71604943</v>
      </c>
    </row>
    <row r="49" spans="1:41" ht="16.5" customHeight="1">
      <c r="A49" s="177" t="s">
        <v>147</v>
      </c>
      <c r="B49" s="91">
        <f>IF(B47&gt;B48,B47-B48,0)</f>
        <v>7200000000</v>
      </c>
      <c r="C49" s="91"/>
      <c r="D49" s="91"/>
      <c r="E49" s="91"/>
      <c r="F49" s="415">
        <f>F47-F48</f>
        <v>7290000000</v>
      </c>
      <c r="H49" s="3"/>
      <c r="I49" s="217" t="s">
        <v>147</v>
      </c>
      <c r="J49" s="117">
        <f t="shared" ref="J49:L49" si="83">IF(J47&gt;J48,J47-J48,0)</f>
        <v>7915000000</v>
      </c>
      <c r="K49" s="117">
        <f t="shared" ca="1" si="83"/>
        <v>5871521739.130435</v>
      </c>
      <c r="L49" s="117">
        <f t="shared" ca="1" si="83"/>
        <v>8698950617.2839508</v>
      </c>
      <c r="M49" s="416"/>
      <c r="N49" s="415">
        <f>N47-N48</f>
        <v>7200000000</v>
      </c>
      <c r="O49" s="3"/>
      <c r="Q49" s="217" t="s">
        <v>147</v>
      </c>
      <c r="R49" s="117">
        <f t="shared" ref="R49:T49" si="84">IF(R47&gt;R48,R47-R48,0)</f>
        <v>7915000000</v>
      </c>
      <c r="S49" s="117">
        <f t="shared" ca="1" si="84"/>
        <v>8698950617.2839508</v>
      </c>
      <c r="T49" s="117">
        <f t="shared" ca="1" si="84"/>
        <v>8698950617.2839508</v>
      </c>
      <c r="U49" s="416"/>
      <c r="V49" s="415">
        <f ca="1">V47-V48</f>
        <v>8698950617.2839508</v>
      </c>
      <c r="W49" s="3"/>
      <c r="Y49" s="217" t="s">
        <v>147</v>
      </c>
      <c r="Z49" s="117">
        <f t="shared" ref="Z49:AB49" si="85">IF(Z47&gt;Z48,Z47-Z48,0)</f>
        <v>9312249999.9999981</v>
      </c>
      <c r="AA49" s="117">
        <f t="shared" ca="1" si="85"/>
        <v>10096200617.283949</v>
      </c>
      <c r="AB49" s="117">
        <f t="shared" ca="1" si="85"/>
        <v>10096200617.283949</v>
      </c>
      <c r="AC49" s="416"/>
      <c r="AD49" s="415">
        <f ca="1">AD47-AD48</f>
        <v>8698950617.2839508</v>
      </c>
      <c r="AE49" s="3"/>
      <c r="AG49" s="217" t="s">
        <v>147</v>
      </c>
      <c r="AH49" s="117">
        <f t="shared" ref="AH49:AJ49" si="86">IF(AH47&gt;AH48,AH47-AH48,0)</f>
        <v>10003256249.999998</v>
      </c>
      <c r="AI49" s="117">
        <f t="shared" ca="1" si="86"/>
        <v>10780003133.154535</v>
      </c>
      <c r="AJ49" s="117">
        <f t="shared" ca="1" si="86"/>
        <v>10780003133.154535</v>
      </c>
      <c r="AK49" s="416"/>
      <c r="AL49" s="415">
        <f ca="1">AL47-AL48</f>
        <v>10096200617.283949</v>
      </c>
      <c r="AM49" s="3"/>
    </row>
    <row r="50" spans="1:41" ht="16.5" customHeight="1">
      <c r="A50" s="177" t="s">
        <v>76</v>
      </c>
      <c r="B50" s="416">
        <v>0.6</v>
      </c>
      <c r="C50" s="416"/>
      <c r="D50" s="454"/>
      <c r="E50" s="416"/>
      <c r="F50" s="417">
        <v>0.6</v>
      </c>
      <c r="H50" s="3"/>
      <c r="I50" s="229" t="s">
        <v>266</v>
      </c>
      <c r="J50" s="230">
        <v>0.7</v>
      </c>
      <c r="K50" s="230">
        <v>0.7</v>
      </c>
      <c r="L50" s="230">
        <v>0.7</v>
      </c>
      <c r="M50" s="91"/>
      <c r="N50" s="418">
        <v>0.6</v>
      </c>
      <c r="O50" s="3"/>
      <c r="P50" s="24"/>
      <c r="Q50" s="231" t="s">
        <v>76</v>
      </c>
      <c r="R50" s="419">
        <v>0.7</v>
      </c>
      <c r="S50" s="419">
        <v>0.7</v>
      </c>
      <c r="T50" s="420">
        <v>0.8</v>
      </c>
      <c r="U50" s="91"/>
      <c r="V50" s="421">
        <f ca="1">OFFSET(I50,0,MATCH(V46,J46:L46,0))</f>
        <v>0.7</v>
      </c>
      <c r="W50" s="3"/>
      <c r="X50" s="24"/>
      <c r="Y50" s="231" t="s">
        <v>76</v>
      </c>
      <c r="Z50" s="419">
        <v>0.7</v>
      </c>
      <c r="AA50" s="419">
        <v>0.7</v>
      </c>
      <c r="AB50" s="420">
        <v>0.8</v>
      </c>
      <c r="AC50" s="91"/>
      <c r="AD50" s="421">
        <f ca="1">OFFSET(Q50,0,MATCH(AD46,R46:T46,0))</f>
        <v>0.8</v>
      </c>
      <c r="AE50" s="3"/>
      <c r="AG50" s="231" t="s">
        <v>76</v>
      </c>
      <c r="AH50" s="419">
        <v>0.7</v>
      </c>
      <c r="AI50" s="419">
        <v>0.7</v>
      </c>
      <c r="AJ50" s="420">
        <v>0.8</v>
      </c>
      <c r="AK50" s="91"/>
      <c r="AL50" s="421">
        <f ca="1">OFFSET(Y50,0,MATCH(AL46,Z46:AB46,0))</f>
        <v>0.8</v>
      </c>
      <c r="AM50" s="3"/>
    </row>
    <row r="51" spans="1:41" ht="16.5" customHeight="1">
      <c r="A51" s="177" t="s">
        <v>61</v>
      </c>
      <c r="B51" s="91">
        <f>B49*B50</f>
        <v>4320000000</v>
      </c>
      <c r="C51" s="91"/>
      <c r="D51" s="91"/>
      <c r="E51" s="91"/>
      <c r="F51" s="422">
        <f>F49*F50</f>
        <v>4374000000</v>
      </c>
      <c r="H51" s="3"/>
      <c r="I51" s="217" t="s">
        <v>61</v>
      </c>
      <c r="J51" s="117">
        <f t="shared" ref="J51:L51" si="87">IF(J49&gt;0,J49*J50,0)</f>
        <v>5540500000</v>
      </c>
      <c r="K51" s="117">
        <f t="shared" ca="1" si="87"/>
        <v>4110065217.391304</v>
      </c>
      <c r="L51" s="117">
        <f t="shared" ca="1" si="87"/>
        <v>6089265432.0987654</v>
      </c>
      <c r="M51" s="423"/>
      <c r="N51" s="422">
        <f>N49*N50</f>
        <v>4320000000</v>
      </c>
      <c r="O51" s="3"/>
      <c r="P51" s="24"/>
      <c r="Q51" s="217" t="s">
        <v>61</v>
      </c>
      <c r="R51" s="344">
        <f t="shared" ref="R51:T51" si="88">IF(R49&gt;0,R49*R50,0)</f>
        <v>5540500000</v>
      </c>
      <c r="S51" s="344">
        <f t="shared" ca="1" si="88"/>
        <v>6089265432.0987654</v>
      </c>
      <c r="T51" s="344">
        <f t="shared" ca="1" si="88"/>
        <v>6959160493.8271608</v>
      </c>
      <c r="U51" s="423"/>
      <c r="V51" s="422">
        <f ca="1">V49*V50</f>
        <v>6089265432.0987654</v>
      </c>
      <c r="W51" s="3"/>
      <c r="X51" s="24"/>
      <c r="Y51" s="217" t="s">
        <v>61</v>
      </c>
      <c r="Z51" s="344">
        <f t="shared" ref="Z51:AB51" si="89">IF(Z49&gt;0,Z49*Z50,0)</f>
        <v>6518574999.9999981</v>
      </c>
      <c r="AA51" s="344">
        <f t="shared" ca="1" si="89"/>
        <v>7067340432.0987635</v>
      </c>
      <c r="AB51" s="344">
        <f t="shared" ca="1" si="89"/>
        <v>8076960493.8271599</v>
      </c>
      <c r="AC51" s="423"/>
      <c r="AD51" s="422">
        <f ca="1">AD49*AD50</f>
        <v>6959160493.8271608</v>
      </c>
      <c r="AE51" s="3"/>
      <c r="AG51" s="217" t="s">
        <v>61</v>
      </c>
      <c r="AH51" s="344">
        <f t="shared" ref="AH51:AJ51" si="90">IF(AH49&gt;0,AH49*AH50,0)</f>
        <v>7002279374.9999981</v>
      </c>
      <c r="AI51" s="344">
        <f t="shared" ca="1" si="90"/>
        <v>7546002193.2081738</v>
      </c>
      <c r="AJ51" s="344">
        <f t="shared" ca="1" si="90"/>
        <v>8624002506.5236282</v>
      </c>
      <c r="AK51" s="423"/>
      <c r="AL51" s="422">
        <f ca="1">AL49*AL50</f>
        <v>8076960493.8271599</v>
      </c>
      <c r="AM51" s="3"/>
    </row>
    <row r="52" spans="1:41" ht="16.5" customHeight="1">
      <c r="A52" s="177" t="s">
        <v>62</v>
      </c>
      <c r="B52" s="423">
        <f t="array" ref="B52">IF(B39="기본세율",
INDEX(t!$M$3:$M$9,MATCH(TRUE,B51&lt;=t!$L$3:$L$9,0)),
INDEX(t!$O$3:$O$9,MATCH(TRUE,B51&lt;=t!$L$3:$L$9,0)))</f>
        <v>0.03</v>
      </c>
      <c r="C52" s="423"/>
      <c r="D52" s="317"/>
      <c r="E52" s="317"/>
      <c r="F52" s="424">
        <f t="array" ref="F52">IF(F46="기본세율",
INDEX(t!$M$3:$M$9,MATCH(TRUE,F51&lt;=t!$L$3:$L$9,0)),
INDEX(t!$O$3:$O$9,MATCH(TRUE,F51&lt;=t!$L$3:$L$9,0)))</f>
        <v>0.03</v>
      </c>
      <c r="H52" s="3"/>
      <c r="I52" s="217" t="s">
        <v>62</v>
      </c>
      <c r="J52" s="219">
        <f t="array" ref="J52">INDEX(t!$M$13:$M$19,MATCH(TRUE,J51&lt;=t!$L$13:$L$19,0))</f>
        <v>2.7E-2</v>
      </c>
      <c r="K52" s="219">
        <f t="array" aca="1" ref="K52" ca="1">INDEX(t!$M$13:$M$19,MATCH(TRUE,K51&lt;=t!$L$13:$L$19,0))</f>
        <v>0.02</v>
      </c>
      <c r="L52" s="219">
        <f t="array" aca="1" ref="L52" ca="1">INDEX(t!$O$13:$O$19,MATCH(TRUE,L51&lt;=t!$L$13:$L$19,0))</f>
        <v>0.04</v>
      </c>
      <c r="M52" s="91"/>
      <c r="N52" s="424">
        <f t="array" ref="N52">IF(N46="기본세율",
INDEX(t!$M$3:$M$9,MATCH(TRUE,N51&lt;=t!$L$3:$L$9,0)),
INDEX(t!$O$3:$O$9,MATCH(TRUE,N51&lt;=t!$L$3:$L$9,0)))</f>
        <v>0.03</v>
      </c>
      <c r="O52" s="3"/>
      <c r="P52" s="7"/>
      <c r="Q52" s="217" t="s">
        <v>62</v>
      </c>
      <c r="R52" s="425">
        <f t="array" ref="R52">INDEX(t!$M$23:$M$29,MATCH(TRUE,R51&lt;=t!$L$23:$L$29,0))</f>
        <v>0.04</v>
      </c>
      <c r="S52" s="425">
        <f t="array" aca="1" ref="S52" ca="1">INDEX(t!$M$23:$M$29,MATCH(TRUE,S51&lt;=t!$L$23:$L$29,0))</f>
        <v>0.04</v>
      </c>
      <c r="T52" s="425">
        <f t="array" aca="1" ref="T52" ca="1">INDEX(t!$M$23:$M$29,MATCH(TRUE,T51&lt;=t!$L$23:$L$29,0))</f>
        <v>0.04</v>
      </c>
      <c r="U52" s="91"/>
      <c r="V52" s="426">
        <f t="array" aca="1" ref="V52" ca="1">INDEX(t!$O$13:$O$19,MATCH(TRUE,V51&lt;=t!$L$13:$L$19,0))</f>
        <v>0.04</v>
      </c>
      <c r="W52" s="3"/>
      <c r="X52" s="7"/>
      <c r="Y52" s="217" t="s">
        <v>62</v>
      </c>
      <c r="Z52" s="425">
        <f t="array" ref="Z52">INDEX(t!$M$23:$M$29,MATCH(TRUE,Z51&lt;=t!$L$23:$L$29,0))</f>
        <v>0.04</v>
      </c>
      <c r="AA52" s="425">
        <f t="array" aca="1" ref="AA52" ca="1">INDEX(t!$M$23:$M$29,MATCH(TRUE,AA51&lt;=t!$L$23:$L$29,0))</f>
        <v>0.04</v>
      </c>
      <c r="AB52" s="425">
        <f t="array" aca="1" ref="AB52" ca="1">INDEX(t!$M$23:$M$29,MATCH(TRUE,AB51&lt;=t!$L$23:$L$29,0))</f>
        <v>0.04</v>
      </c>
      <c r="AC52" s="91"/>
      <c r="AD52" s="426">
        <f t="array" aca="1" ref="AD52" ca="1">INDEX(t!$M$23:$M$29,MATCH(TRUE,AD51&lt;=t!$L$23:$L$29,0))</f>
        <v>0.04</v>
      </c>
      <c r="AE52" s="3"/>
      <c r="AG52" s="217" t="s">
        <v>62</v>
      </c>
      <c r="AH52" s="425">
        <f t="array" ref="AH52">INDEX(t!$M$23:$M$29,MATCH(TRUE,AH51&lt;=t!$L$23:$L$29,0))</f>
        <v>0.04</v>
      </c>
      <c r="AI52" s="425">
        <f t="array" aca="1" ref="AI52" ca="1">INDEX(t!$M$23:$M$29,MATCH(TRUE,AI51&lt;=t!$L$23:$L$29,0))</f>
        <v>0.04</v>
      </c>
      <c r="AJ52" s="425">
        <f t="array" aca="1" ref="AJ52" ca="1">INDEX(t!$M$23:$M$29,MATCH(TRUE,AJ51&lt;=t!$L$23:$L$29,0))</f>
        <v>0.04</v>
      </c>
      <c r="AK52" s="91"/>
      <c r="AL52" s="426">
        <f t="array" aca="1" ref="AL52" ca="1">INDEX(t!$M$23:$M$29,MATCH(TRUE,AL51&lt;=t!$L$23:$L$29,0))</f>
        <v>0.04</v>
      </c>
      <c r="AM52" s="3"/>
    </row>
    <row r="53" spans="1:41" ht="16.5" customHeight="1">
      <c r="A53" s="177" t="s">
        <v>161</v>
      </c>
      <c r="B53" s="91">
        <f>B51*B52-VLOOKUP(B52,IF(B39="기본세율",t!$M$2:$N$9,t!$O$2:$P$9),2,0)</f>
        <v>90200000</v>
      </c>
      <c r="C53" s="91"/>
      <c r="D53" s="91"/>
      <c r="E53" s="91"/>
      <c r="F53" s="422">
        <f>F51*F52-VLOOKUP(F52,IF(F46="기본세율",t!$M$2:$N$9,t!$O$2:$P$9),2,0)</f>
        <v>91820000</v>
      </c>
      <c r="H53" s="3"/>
      <c r="I53" s="217" t="s">
        <v>161</v>
      </c>
      <c r="J53" s="117">
        <f>J51*J52-VLOOKUP(J52,t!$M$13:$N$19,2,0)</f>
        <v>95493500</v>
      </c>
      <c r="K53" s="117">
        <f ca="1">K51*K52-VLOOKUP(K52,t!$M$13:$N$19,2,0)</f>
        <v>63101304.347826079</v>
      </c>
      <c r="L53" s="117">
        <f ca="1">L51*L52-VLOOKUP(L52,t!$O$13:$P$19,2,0)</f>
        <v>155970617.28395063</v>
      </c>
      <c r="M53" s="427"/>
      <c r="N53" s="422">
        <f>N51*N52-VLOOKUP(N52,IF(N46="기본세율",t!$M$2:$N$9,t!$O$2:$P$9),2,0)</f>
        <v>90200000</v>
      </c>
      <c r="O53" s="3"/>
      <c r="P53" s="24"/>
      <c r="Q53" s="217" t="s">
        <v>161</v>
      </c>
      <c r="R53" s="344">
        <f>R51*R52-VLOOKUP(R52,t!$M$22:$N$29,2,0)</f>
        <v>134020000</v>
      </c>
      <c r="S53" s="344">
        <f ca="1">S51*S52-VLOOKUP(S52,t!$M$22:$N$29,2,0)</f>
        <v>155970617.28395063</v>
      </c>
      <c r="T53" s="344">
        <f ca="1">T51*T52-VLOOKUP(T52,t!$M$22:$N$29,2,0)</f>
        <v>190766419.75308645</v>
      </c>
      <c r="U53" s="427"/>
      <c r="V53" s="428">
        <f ca="1">V51*V52-VLOOKUP(V52,t!$O$13:$P$19,2,0)</f>
        <v>155970617.28395063</v>
      </c>
      <c r="W53" s="3"/>
      <c r="X53" s="24"/>
      <c r="Y53" s="217" t="s">
        <v>161</v>
      </c>
      <c r="Z53" s="344">
        <f>Z51*Z52-VLOOKUP(Z52,t!$M$22:$N$29,2,0)</f>
        <v>173142999.99999994</v>
      </c>
      <c r="AA53" s="344">
        <f ca="1">AA51*AA52-VLOOKUP(AA52,t!$M$22:$N$29,2,0)</f>
        <v>195093617.28395057</v>
      </c>
      <c r="AB53" s="344">
        <f ca="1">AB51*AB52-VLOOKUP(AB52,t!$M$22:$N$29,2,0)</f>
        <v>235478419.75308639</v>
      </c>
      <c r="AC53" s="427"/>
      <c r="AD53" s="428">
        <f ca="1">AD51*AD52-VLOOKUP(AD52,t!$M$22:$N$29,2,0)</f>
        <v>190766419.75308645</v>
      </c>
      <c r="AE53" s="3"/>
      <c r="AG53" s="217" t="s">
        <v>161</v>
      </c>
      <c r="AH53" s="344">
        <f>AH51*AH52-VLOOKUP(AH52,t!$M$22:$N$29,2,0)</f>
        <v>192491174.99999994</v>
      </c>
      <c r="AI53" s="344">
        <f ca="1">AI51*AI52-VLOOKUP(AI52,t!$M$22:$N$29,2,0)</f>
        <v>214240087.72832698</v>
      </c>
      <c r="AJ53" s="344">
        <f ca="1">AJ51*AJ52-VLOOKUP(AJ52,t!$M$22:$N$29,2,0)</f>
        <v>257360100.26094514</v>
      </c>
      <c r="AK53" s="427"/>
      <c r="AL53" s="428">
        <f ca="1">AL51*AL52-VLOOKUP(AL52,t!$M$22:$N$29,2,0)</f>
        <v>235478419.75308639</v>
      </c>
      <c r="AM53" s="3"/>
    </row>
    <row r="54" spans="1:41" ht="16.5" customHeight="1">
      <c r="A54" s="177" t="s">
        <v>162</v>
      </c>
      <c r="B54" s="427">
        <f>SUMPRODUCT(B16:E16,B35:E35)
*(B51*60%*0.4%)
/(B47*0.6*0.4%-630000)</f>
        <v>8084394.2583732056</v>
      </c>
      <c r="C54" s="427"/>
      <c r="D54" s="427"/>
      <c r="E54" s="427"/>
      <c r="F54" s="427">
        <f>F26
*(F51*60%*0.4%)
/(F47*0.6*0.4%-630000)</f>
        <v>9628593.3774834443</v>
      </c>
      <c r="H54" s="40"/>
      <c r="I54" s="217" t="s">
        <v>162</v>
      </c>
      <c r="J54" s="427">
        <f>SUMPRODUCT($J$16:$M$16,$J$35:$M$35)
*(J51*60%*0.4%)
/(J47*0.6*0.4%-630000)</f>
        <v>11232663.728251863</v>
      </c>
      <c r="K54" s="427">
        <f ca="1">SUMPRODUCT($J$16:$M$16,$J$35:$M$35)
*(K51*60%*0.4%)
/(K47*0.6*0.4%-630000)</f>
        <v>8332637.9366737502</v>
      </c>
      <c r="L54" s="427">
        <f ca="1">SUMPRODUCT($J$16:$M$16,$J$35:$M$35)
*(L51*60%*0.4%)
/(L47*0.6*0.4%-630000)</f>
        <v>12345216.307342969</v>
      </c>
      <c r="M54" s="338"/>
      <c r="N54" s="427">
        <f>N26
*(N51*60%*0.4%)
/(N47*0.6*0.4%-630000)</f>
        <v>9499866.0287081338</v>
      </c>
      <c r="O54" s="40"/>
      <c r="P54" s="27"/>
      <c r="Q54" s="217" t="s">
        <v>162</v>
      </c>
      <c r="R54" s="427">
        <f>SUMPRODUCT($R$16:$U$16,$R$35:$U$35)
*(R51*60%*0.4%)
/(R47*0.6*0.4%-630000)</f>
        <v>12333235.62551781</v>
      </c>
      <c r="S54" s="427">
        <f ca="1">SUMPRODUCT($R$16:$U$16,$R$35:$U$35)
*(S51*60%*0.4%)
/(S47*0.6*0.4%-630000)</f>
        <v>13554795.661112644</v>
      </c>
      <c r="T54" s="427">
        <f ca="1">SUMPRODUCT($R$16:$U$16,$R$35:$U$35)
*(T51*60%*0.4%)
/(T47*0.6*0.4%-630000)</f>
        <v>15491195.041271593</v>
      </c>
      <c r="U54" s="338"/>
      <c r="V54" s="427">
        <f ca="1">V26
*(V51*60%*0.4%)
/(V47*0.6*0.4%-630000)</f>
        <v>13554795.661112644</v>
      </c>
      <c r="W54" s="40"/>
      <c r="X54" s="27"/>
      <c r="Y54" s="217" t="s">
        <v>162</v>
      </c>
      <c r="Z54" s="427">
        <f>SUMPRODUCT($Z$16:$AC$16,$Z$35:$AC$35)
*(Z51*60%*0.4%)
/(Z47*0.6*0.4%-630000)</f>
        <v>13372112.962534983</v>
      </c>
      <c r="AA54" s="427">
        <f ca="1">SUMPRODUCT($Z$16:$AC$16,$Z$35:$AC$35)
*(AA51*60%*0.4%)
/(AA47*0.6*0.4%-630000)</f>
        <v>14497842.642405048</v>
      </c>
      <c r="AB54" s="427">
        <f ca="1">SUMPRODUCT($Z$16:$AC$16,$Z$35:$AC$35)
*(AB51*60%*0.4%)
/(AB47*0.6*0.4%-630000)</f>
        <v>16568963.019891491</v>
      </c>
      <c r="AC54" s="338"/>
      <c r="AD54" s="427">
        <f ca="1">AD26
*(AD51*60%*0.4%)
/(AD47*0.6*0.4%-630000)</f>
        <v>15491195.041271593</v>
      </c>
      <c r="AE54" s="40"/>
      <c r="AG54" s="217" t="s">
        <v>162</v>
      </c>
      <c r="AH54" s="427">
        <f>SUMPRODUCT($AH$16:$AK$16,$Z$35:$AC$35)
*(AH51*60%*0.4%)
/(AH47*0.6*0.4%-630000)</f>
        <v>15501334.21332876</v>
      </c>
      <c r="AI54" s="427">
        <f ca="1">SUMPRODUCT($AH$16:$AK$16,$Z$35:$AC$35)
*(AI51*60%*0.4%)
/(AI47*0.6*0.4%-630000)</f>
        <v>16705003.571987836</v>
      </c>
      <c r="AJ54" s="427">
        <f ca="1">SUMPRODUCT($AH$16:$AK$16,$Z$35:$AC$35)
*(AJ51*60%*0.4%)
/(AJ47*0.6*0.4%-630000)</f>
        <v>19091432.653700385</v>
      </c>
      <c r="AK54" s="338"/>
      <c r="AL54" s="427">
        <f ca="1">AL26
*(AL51*60%*0.4%)
/(AL47*0.6*0.4%-630000)</f>
        <v>18167335.125827041</v>
      </c>
      <c r="AM54" s="40"/>
    </row>
    <row r="55" spans="1:41" ht="16.5" customHeight="1">
      <c r="A55" s="177" t="s">
        <v>63</v>
      </c>
      <c r="B55" s="338">
        <f>B53-B54</f>
        <v>82115605.741626799</v>
      </c>
      <c r="C55" s="338"/>
      <c r="D55" s="338"/>
      <c r="E55" s="338"/>
      <c r="F55" s="430">
        <f>F53-F54</f>
        <v>82191406.622516558</v>
      </c>
      <c r="H55" s="3"/>
      <c r="I55" s="217" t="s">
        <v>63</v>
      </c>
      <c r="J55" s="117">
        <f t="shared" ref="J55:L55" si="91">IF(J53-J54&lt;0,0,J53-J54)</f>
        <v>84260836.27174814</v>
      </c>
      <c r="K55" s="117">
        <f t="shared" ca="1" si="91"/>
        <v>54768666.411152326</v>
      </c>
      <c r="L55" s="117">
        <f t="shared" ca="1" si="91"/>
        <v>143625400.97660765</v>
      </c>
      <c r="M55" s="431"/>
      <c r="N55" s="430">
        <f>N53-N54</f>
        <v>80700133.97129187</v>
      </c>
      <c r="O55" s="3"/>
      <c r="P55" s="7"/>
      <c r="Q55" s="217" t="s">
        <v>63</v>
      </c>
      <c r="R55" s="344">
        <f t="shared" ref="R55:T55" si="92">IF(R53-R54&lt;0,0,R53-R54)</f>
        <v>121686764.37448218</v>
      </c>
      <c r="S55" s="344">
        <f t="shared" ca="1" si="92"/>
        <v>142415821.62283799</v>
      </c>
      <c r="T55" s="344">
        <f t="shared" ca="1" si="92"/>
        <v>175275224.71181485</v>
      </c>
      <c r="U55" s="431"/>
      <c r="V55" s="430">
        <f ca="1">V53-V54</f>
        <v>142415821.62283799</v>
      </c>
      <c r="W55" s="3"/>
      <c r="X55" s="7"/>
      <c r="Y55" s="217" t="s">
        <v>63</v>
      </c>
      <c r="Z55" s="344">
        <f t="shared" ref="Z55:AB55" si="93">IF(Z53-Z54&lt;0,0,Z53-Z54)</f>
        <v>159770887.03746495</v>
      </c>
      <c r="AA55" s="344">
        <f t="shared" ca="1" si="93"/>
        <v>180595774.64154553</v>
      </c>
      <c r="AB55" s="344">
        <f t="shared" ca="1" si="93"/>
        <v>218909456.73319489</v>
      </c>
      <c r="AC55" s="431"/>
      <c r="AD55" s="430">
        <f ca="1">AD53-AD54</f>
        <v>175275224.71181485</v>
      </c>
      <c r="AE55" s="3"/>
      <c r="AG55" s="217" t="s">
        <v>63</v>
      </c>
      <c r="AH55" s="344">
        <f t="shared" ref="AH55:AJ55" si="94">IF(AH53-AH54&lt;0,0,AH53-AH54)</f>
        <v>176989840.78667119</v>
      </c>
      <c r="AI55" s="344">
        <f t="shared" ca="1" si="94"/>
        <v>197535084.15633914</v>
      </c>
      <c r="AJ55" s="344">
        <f t="shared" ca="1" si="94"/>
        <v>238268667.60724476</v>
      </c>
      <c r="AK55" s="431"/>
      <c r="AL55" s="430">
        <f ca="1">AL53-AL54</f>
        <v>217311084.62725934</v>
      </c>
      <c r="AM55" s="3"/>
    </row>
    <row r="56" spans="1:41" ht="16.5" customHeight="1">
      <c r="A56" s="177" t="s">
        <v>259</v>
      </c>
      <c r="B56" s="431">
        <f>B55*B44</f>
        <v>0</v>
      </c>
      <c r="C56" s="431"/>
      <c r="D56" s="431"/>
      <c r="E56" s="431"/>
      <c r="F56" s="432">
        <f>F55*F44</f>
        <v>0</v>
      </c>
      <c r="H56" s="3"/>
      <c r="I56" s="229" t="s">
        <v>304</v>
      </c>
      <c r="J56" s="433">
        <f>MIN(8000000,J55*J44)</f>
        <v>0</v>
      </c>
      <c r="K56" s="433">
        <f t="shared" ref="K56:L56" ca="1" si="95">MIN(8000000,K55*K44)</f>
        <v>0</v>
      </c>
      <c r="L56" s="433">
        <f t="shared" ca="1" si="95"/>
        <v>0</v>
      </c>
      <c r="M56" s="427"/>
      <c r="N56" s="432">
        <f>MIN(8000000,N55*N44)</f>
        <v>0</v>
      </c>
      <c r="O56" s="14"/>
      <c r="P56" s="7"/>
      <c r="Q56" s="229" t="s">
        <v>304</v>
      </c>
      <c r="R56" s="434">
        <f>MIN(6000000,R55*R44)</f>
        <v>0</v>
      </c>
      <c r="S56" s="434">
        <f t="shared" ref="S56:T56" ca="1" si="96">MIN(6000000,S55*S44)</f>
        <v>0</v>
      </c>
      <c r="T56" s="434">
        <f t="shared" ca="1" si="96"/>
        <v>0</v>
      </c>
      <c r="U56" s="427"/>
      <c r="V56" s="435">
        <f ca="1">MIN(6000000,V55*V44)</f>
        <v>0</v>
      </c>
      <c r="W56" s="14"/>
      <c r="X56" s="7"/>
      <c r="Y56" s="229" t="s">
        <v>304</v>
      </c>
      <c r="Z56" s="434">
        <f>MIN(6000000,Z55*Z44)</f>
        <v>0</v>
      </c>
      <c r="AA56" s="434">
        <f t="shared" ref="AA56:AB56" ca="1" si="97">MIN(6000000,AA55*AA44)</f>
        <v>0</v>
      </c>
      <c r="AB56" s="434">
        <f t="shared" ca="1" si="97"/>
        <v>0</v>
      </c>
      <c r="AC56" s="427"/>
      <c r="AD56" s="435">
        <f ca="1">MIN(6000000,AD55*AD44)</f>
        <v>0</v>
      </c>
      <c r="AE56" s="14"/>
      <c r="AG56" s="229" t="s">
        <v>304</v>
      </c>
      <c r="AH56" s="434">
        <f>MIN(6000000,AH55*AH44)</f>
        <v>0</v>
      </c>
      <c r="AI56" s="434">
        <f t="shared" ref="AI56:AJ56" ca="1" si="98">MIN(6000000,AI55*AI44)</f>
        <v>0</v>
      </c>
      <c r="AJ56" s="434">
        <f t="shared" ca="1" si="98"/>
        <v>0</v>
      </c>
      <c r="AK56" s="427"/>
      <c r="AL56" s="435">
        <f ca="1">MIN(6000000,AL55*AL44)</f>
        <v>0</v>
      </c>
      <c r="AM56" s="14"/>
    </row>
    <row r="57" spans="1:41" ht="16.5" customHeight="1" thickBot="1">
      <c r="A57" s="177" t="s">
        <v>260</v>
      </c>
      <c r="B57" s="427">
        <f>B55-B56</f>
        <v>82115605.741626799</v>
      </c>
      <c r="C57" s="427"/>
      <c r="D57" s="427"/>
      <c r="E57" s="427"/>
      <c r="F57" s="436">
        <f>F55-F56</f>
        <v>82191406.622516558</v>
      </c>
      <c r="H57" s="3"/>
      <c r="I57" s="229" t="s">
        <v>305</v>
      </c>
      <c r="J57" s="228">
        <f>J55-J56</f>
        <v>84260836.27174814</v>
      </c>
      <c r="K57" s="228">
        <f t="shared" ref="K57:L57" ca="1" si="99">K55-K56</f>
        <v>54768666.411152326</v>
      </c>
      <c r="L57" s="228">
        <f t="shared" ca="1" si="99"/>
        <v>143625400.97660765</v>
      </c>
      <c r="M57" s="338"/>
      <c r="N57" s="436">
        <f>N55-N56</f>
        <v>80700133.97129187</v>
      </c>
      <c r="O57" s="3"/>
      <c r="P57" s="24"/>
      <c r="Q57" s="229" t="s">
        <v>305</v>
      </c>
      <c r="R57" s="437">
        <f>R55-R56</f>
        <v>121686764.37448218</v>
      </c>
      <c r="S57" s="437">
        <f t="shared" ref="S57:T57" ca="1" si="100">S55-S56</f>
        <v>142415821.62283799</v>
      </c>
      <c r="T57" s="437">
        <f t="shared" ca="1" si="100"/>
        <v>175275224.71181485</v>
      </c>
      <c r="U57" s="338"/>
      <c r="V57" s="436">
        <f ca="1">V55-V56</f>
        <v>142415821.62283799</v>
      </c>
      <c r="W57" s="3"/>
      <c r="X57" s="24"/>
      <c r="Y57" s="229" t="s">
        <v>305</v>
      </c>
      <c r="Z57" s="437">
        <f>Z55-Z56</f>
        <v>159770887.03746495</v>
      </c>
      <c r="AA57" s="437">
        <f t="shared" ref="AA57:AB57" ca="1" si="101">AA55-AA56</f>
        <v>180595774.64154553</v>
      </c>
      <c r="AB57" s="437">
        <f t="shared" ca="1" si="101"/>
        <v>218909456.73319489</v>
      </c>
      <c r="AC57" s="338"/>
      <c r="AD57" s="436">
        <f ca="1">AD55-AD56</f>
        <v>175275224.71181485</v>
      </c>
      <c r="AE57" s="3"/>
      <c r="AG57" s="229" t="s">
        <v>305</v>
      </c>
      <c r="AH57" s="437">
        <f>AH55-AH56</f>
        <v>176989840.78667119</v>
      </c>
      <c r="AI57" s="437">
        <f t="shared" ref="AI57:AJ57" ca="1" si="102">AI55-AI56</f>
        <v>197535084.15633914</v>
      </c>
      <c r="AJ57" s="437">
        <f t="shared" ca="1" si="102"/>
        <v>238268667.60724476</v>
      </c>
      <c r="AK57" s="338"/>
      <c r="AL57" s="436">
        <f ca="1">AL55-AL56</f>
        <v>217311084.62725934</v>
      </c>
      <c r="AM57" s="3"/>
    </row>
    <row r="58" spans="1:41" ht="16.5" customHeight="1" thickBot="1">
      <c r="A58" s="337" t="s">
        <v>163</v>
      </c>
      <c r="B58" s="338">
        <f>MAX(SUMPRODUCT(B16:E16,B35:E35)+B57-$F$28,0)</f>
        <v>0</v>
      </c>
      <c r="C58" s="338"/>
      <c r="D58" s="338"/>
      <c r="E58" s="338"/>
      <c r="F58" s="3"/>
      <c r="G58" s="3"/>
      <c r="H58" s="3"/>
      <c r="I58" s="345" t="s">
        <v>163</v>
      </c>
      <c r="J58" s="338">
        <f>MAX(SUMPRODUCT($J$16:$M$16,$J$35:$M$35)+J57-$N$28,0)</f>
        <v>0</v>
      </c>
      <c r="K58" s="338">
        <f ca="1">MAX(SUMPRODUCT($J$16:$M$16,$J$35:$M$35)+K57-$N$28,0)</f>
        <v>0</v>
      </c>
      <c r="L58" s="338">
        <f ca="1">MAX(SUMPRODUCT($J$16:$M$16,$J$35:$M$35)+L57-$N$28,0)</f>
        <v>0</v>
      </c>
      <c r="M58" s="338"/>
      <c r="N58" s="14"/>
      <c r="O58" s="3"/>
      <c r="Q58" s="224" t="s">
        <v>163</v>
      </c>
      <c r="R58" s="338">
        <f ca="1">MAX(SUMPRODUCT($R$16:$U$16,$R$35:$U$35)+R57-$V$28,0)</f>
        <v>0</v>
      </c>
      <c r="S58" s="338">
        <f ca="1">MAX(SUMPRODUCT($R$16:$U$16,$R$35:$U$35)+S57-$V$28,0)</f>
        <v>0</v>
      </c>
      <c r="T58" s="338">
        <f ca="1">MAX(SUMPRODUCT($R$16:$U$16,$R$35:$U$35)+T57-$V$28,0)</f>
        <v>0</v>
      </c>
      <c r="U58" s="338"/>
      <c r="V58" s="14"/>
      <c r="W58" s="3"/>
      <c r="Y58" s="224" t="s">
        <v>163</v>
      </c>
      <c r="Z58" s="338">
        <f ca="1">MAX(SUMPRODUCT($Z$16:$AC$16,$Z$35:$AC$35)+Z57-$V$28,0)</f>
        <v>0</v>
      </c>
      <c r="AA58" s="338">
        <f ca="1">MAX(SUMPRODUCT($Z$16:$AC$16,$Z$35:$AC$35)+AA57-$V$28,0)</f>
        <v>0</v>
      </c>
      <c r="AB58" s="338">
        <f ca="1">MAX(SUMPRODUCT($Z$16:$AC$16,$Z$35:$AC$35)+AB57-$V$28,0)</f>
        <v>0</v>
      </c>
      <c r="AC58" s="338"/>
      <c r="AD58" s="14"/>
      <c r="AE58" s="3"/>
      <c r="AG58" s="224" t="s">
        <v>163</v>
      </c>
      <c r="AH58" s="338">
        <f ca="1">MAX(SUMPRODUCT($AH$16:$AK$16,$AH$35:$AK$35)+AH57-$V$28,0)</f>
        <v>0</v>
      </c>
      <c r="AI58" s="338">
        <f ca="1">MAX(SUMPRODUCT($AH$16:$AK$16,$AH$35:$AK$35)+AI57-$V$28,0)</f>
        <v>0</v>
      </c>
      <c r="AJ58" s="338">
        <f ca="1">MAX(SUMPRODUCT($AH$16:$AK$16,$AH$35:$AK$35)+AJ57-$V$28,0)</f>
        <v>0</v>
      </c>
      <c r="AK58" s="338"/>
      <c r="AL58" s="14"/>
      <c r="AM58" s="3"/>
    </row>
    <row r="59" spans="1:41" ht="16.5" customHeight="1" thickBot="1">
      <c r="A59" s="187" t="s">
        <v>165</v>
      </c>
      <c r="B59" s="339">
        <f>B57-B58</f>
        <v>82115605.741626799</v>
      </c>
      <c r="C59" s="338"/>
      <c r="D59" s="338"/>
      <c r="E59" s="338"/>
      <c r="F59" s="14"/>
      <c r="G59" s="14"/>
      <c r="H59" s="3"/>
      <c r="I59" s="221" t="s">
        <v>165</v>
      </c>
      <c r="J59" s="222">
        <f>J57-J58</f>
        <v>84260836.27174814</v>
      </c>
      <c r="K59" s="222">
        <f t="shared" ref="K59:L59" ca="1" si="103">K57-K58</f>
        <v>54768666.411152326</v>
      </c>
      <c r="L59" s="223">
        <f t="shared" ca="1" si="103"/>
        <v>143625400.97660765</v>
      </c>
      <c r="M59" s="14"/>
      <c r="N59" s="14"/>
      <c r="O59" s="3"/>
      <c r="Q59" s="221" t="s">
        <v>165</v>
      </c>
      <c r="R59" s="222">
        <f ca="1">R57-R58</f>
        <v>121686764.37448218</v>
      </c>
      <c r="S59" s="222">
        <f t="shared" ref="S59:T59" ca="1" si="104">S57-S58</f>
        <v>142415821.62283799</v>
      </c>
      <c r="T59" s="222">
        <f t="shared" ca="1" si="104"/>
        <v>175275224.71181485</v>
      </c>
      <c r="U59" s="14"/>
      <c r="V59" s="14"/>
      <c r="W59" s="3"/>
      <c r="Y59" s="221" t="s">
        <v>165</v>
      </c>
      <c r="Z59" s="222">
        <f ca="1">Z57-Z58</f>
        <v>159770887.03746495</v>
      </c>
      <c r="AA59" s="222">
        <f t="shared" ref="AA59:AB59" ca="1" si="105">AA57-AA58</f>
        <v>180595774.64154553</v>
      </c>
      <c r="AB59" s="222">
        <f t="shared" ca="1" si="105"/>
        <v>218909456.73319489</v>
      </c>
      <c r="AC59" s="14"/>
      <c r="AD59" s="14"/>
      <c r="AE59" s="3"/>
      <c r="AG59" s="221" t="s">
        <v>165</v>
      </c>
      <c r="AH59" s="222">
        <f ca="1">AH57-AH58</f>
        <v>176989840.78667119</v>
      </c>
      <c r="AI59" s="222">
        <f t="shared" ref="AI59:AJ59" ca="1" si="106">AI57-AI58</f>
        <v>197535084.15633914</v>
      </c>
      <c r="AJ59" s="222">
        <f t="shared" ca="1" si="106"/>
        <v>238268667.60724476</v>
      </c>
      <c r="AK59" s="14"/>
      <c r="AL59" s="14"/>
      <c r="AM59" s="3"/>
    </row>
    <row r="60" spans="1:41" ht="16.5" customHeight="1" thickBot="1">
      <c r="A60" s="177" t="s">
        <v>53</v>
      </c>
      <c r="B60" s="14">
        <f>B59*0.2</f>
        <v>16423121.148325361</v>
      </c>
      <c r="C60" s="14"/>
      <c r="D60" s="14"/>
      <c r="E60" s="14"/>
      <c r="F60" s="3"/>
      <c r="G60" s="3"/>
      <c r="H60" s="3"/>
      <c r="I60" s="224" t="s">
        <v>53</v>
      </c>
      <c r="J60" s="225">
        <f t="shared" ref="J60:L60" si="107">J59*0.2</f>
        <v>16852167.25434963</v>
      </c>
      <c r="K60" s="225">
        <f t="shared" ca="1" si="107"/>
        <v>10953733.282230467</v>
      </c>
      <c r="L60" s="225">
        <f t="shared" ca="1" si="107"/>
        <v>28725080.19532153</v>
      </c>
      <c r="M60" s="438"/>
      <c r="N60" s="3"/>
      <c r="O60" s="3"/>
      <c r="Q60" s="224" t="s">
        <v>53</v>
      </c>
      <c r="R60" s="225">
        <f t="shared" ref="R60:T60" ca="1" si="108">R59*0.2</f>
        <v>24337352.874896437</v>
      </c>
      <c r="S60" s="225">
        <f t="shared" ca="1" si="108"/>
        <v>28483164.324567601</v>
      </c>
      <c r="T60" s="225">
        <f t="shared" ca="1" si="108"/>
        <v>35055044.942362972</v>
      </c>
      <c r="U60" s="438"/>
      <c r="V60" s="3"/>
      <c r="W60" s="3"/>
      <c r="Y60" s="224" t="s">
        <v>53</v>
      </c>
      <c r="Z60" s="225">
        <f t="shared" ref="Z60:AB60" ca="1" si="109">Z59*0.2</f>
        <v>31954177.407492992</v>
      </c>
      <c r="AA60" s="225">
        <f t="shared" ca="1" si="109"/>
        <v>36119154.928309105</v>
      </c>
      <c r="AB60" s="225">
        <f t="shared" ca="1" si="109"/>
        <v>43781891.346638978</v>
      </c>
      <c r="AC60" s="438"/>
      <c r="AD60" s="3"/>
      <c r="AE60" s="3"/>
      <c r="AG60" s="224" t="s">
        <v>53</v>
      </c>
      <c r="AH60" s="225">
        <f t="shared" ref="AH60:AJ60" ca="1" si="110">AH59*0.2</f>
        <v>35397968.157334238</v>
      </c>
      <c r="AI60" s="225">
        <f t="shared" ca="1" si="110"/>
        <v>39507016.831267826</v>
      </c>
      <c r="AJ60" s="225">
        <f t="shared" ca="1" si="110"/>
        <v>47653733.521448955</v>
      </c>
      <c r="AK60" s="438"/>
      <c r="AL60" s="3"/>
      <c r="AM60" s="3"/>
    </row>
    <row r="61" spans="1:41" ht="16.5" customHeight="1" thickBot="1">
      <c r="A61" s="187" t="s">
        <v>166</v>
      </c>
      <c r="B61" s="127">
        <f>SUM(B59:B60)</f>
        <v>98538726.889952153</v>
      </c>
      <c r="C61" s="438"/>
      <c r="D61" s="438"/>
      <c r="E61" s="438"/>
      <c r="F61" s="3"/>
      <c r="G61" s="3"/>
      <c r="H61" s="3"/>
      <c r="I61" s="221" t="s">
        <v>166</v>
      </c>
      <c r="J61" s="222">
        <f t="shared" ref="J61:L61" si="111">SUM(J59:J60)</f>
        <v>101113003.52609777</v>
      </c>
      <c r="K61" s="222">
        <f t="shared" ca="1" si="111"/>
        <v>65722399.693382792</v>
      </c>
      <c r="L61" s="222">
        <f t="shared" ca="1" si="111"/>
        <v>172350481.17192918</v>
      </c>
      <c r="M61" s="3"/>
      <c r="N61" s="3"/>
      <c r="O61" s="3"/>
      <c r="Q61" s="221" t="s">
        <v>166</v>
      </c>
      <c r="R61" s="222">
        <f t="shared" ref="R61:T61" ca="1" si="112">SUM(R59:R60)</f>
        <v>146024117.24937862</v>
      </c>
      <c r="S61" s="222">
        <f t="shared" ca="1" si="112"/>
        <v>170898985.94740558</v>
      </c>
      <c r="T61" s="222">
        <f t="shared" ca="1" si="112"/>
        <v>210330269.65417781</v>
      </c>
      <c r="U61" s="3"/>
      <c r="V61" s="3"/>
      <c r="W61" s="3"/>
      <c r="Y61" s="221" t="s">
        <v>166</v>
      </c>
      <c r="Z61" s="222">
        <f t="shared" ref="Z61:AB61" ca="1" si="113">SUM(Z59:Z60)</f>
        <v>191725064.44495794</v>
      </c>
      <c r="AA61" s="222">
        <f t="shared" ca="1" si="113"/>
        <v>216714929.56985465</v>
      </c>
      <c r="AB61" s="222">
        <f t="shared" ca="1" si="113"/>
        <v>262691348.07983387</v>
      </c>
      <c r="AC61" s="3"/>
      <c r="AD61" s="3"/>
      <c r="AE61" s="3"/>
      <c r="AG61" s="221" t="s">
        <v>166</v>
      </c>
      <c r="AH61" s="222">
        <f t="shared" ref="AH61:AJ61" ca="1" si="114">SUM(AH59:AH60)</f>
        <v>212387808.94400543</v>
      </c>
      <c r="AI61" s="222">
        <f t="shared" ca="1" si="114"/>
        <v>237042100.98760697</v>
      </c>
      <c r="AJ61" s="222">
        <f t="shared" ca="1" si="114"/>
        <v>285922401.1286937</v>
      </c>
      <c r="AK61" s="3"/>
      <c r="AL61" s="3"/>
      <c r="AM61" s="3"/>
    </row>
    <row r="62" spans="1:41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14"/>
      <c r="L62" s="3"/>
      <c r="M62" s="3"/>
      <c r="N62" s="3"/>
      <c r="O62" s="3"/>
      <c r="P62" s="3"/>
      <c r="Q62" s="3"/>
      <c r="S62" s="3"/>
      <c r="T62" s="14"/>
      <c r="U62" s="3"/>
      <c r="V62" s="3"/>
      <c r="W62" s="3"/>
      <c r="X62" s="3"/>
      <c r="Y62" s="3"/>
      <c r="Z62" s="3"/>
      <c r="AB62" s="3"/>
      <c r="AC62" s="14"/>
      <c r="AD62" s="3"/>
      <c r="AE62" s="3"/>
      <c r="AF62" s="3"/>
      <c r="AG62" s="3"/>
      <c r="AH62" s="3"/>
      <c r="AI62" s="3"/>
      <c r="AK62" s="3"/>
      <c r="AL62" s="14"/>
      <c r="AM62" s="3"/>
      <c r="AN62" s="3"/>
      <c r="AO62" s="3"/>
    </row>
    <row r="63" spans="1:41" s="357" customFormat="1" ht="7.5" customHeight="1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6"/>
      <c r="L63" s="355"/>
      <c r="M63" s="355"/>
      <c r="N63" s="355"/>
      <c r="O63" s="355"/>
      <c r="P63" s="355"/>
      <c r="Q63" s="355"/>
      <c r="S63" s="355"/>
      <c r="T63" s="356"/>
      <c r="U63" s="355"/>
      <c r="V63" s="355"/>
      <c r="W63" s="355"/>
      <c r="X63" s="355"/>
      <c r="Y63" s="355"/>
      <c r="Z63" s="355"/>
      <c r="AB63" s="355"/>
      <c r="AC63" s="356"/>
      <c r="AD63" s="355"/>
      <c r="AE63" s="355"/>
      <c r="AF63" s="355"/>
      <c r="AG63" s="355"/>
      <c r="AH63" s="355"/>
      <c r="AI63" s="355"/>
      <c r="AK63" s="355"/>
      <c r="AL63" s="356"/>
      <c r="AM63" s="356"/>
      <c r="AN63" s="355"/>
      <c r="AO63" s="355"/>
    </row>
    <row r="64" spans="1:41" ht="16.5" customHeight="1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S64" s="3"/>
      <c r="T64" s="3"/>
      <c r="U64" s="3"/>
      <c r="V64" s="3"/>
      <c r="W64" s="3"/>
      <c r="X64" s="3"/>
      <c r="Y64" s="3"/>
      <c r="Z64" s="3"/>
      <c r="AB64" s="3"/>
      <c r="AC64" s="3"/>
      <c r="AD64" s="3"/>
      <c r="AE64" s="3"/>
      <c r="AF64" s="3"/>
      <c r="AG64" s="3"/>
      <c r="AH64" s="3"/>
      <c r="AI64" s="3"/>
      <c r="AK64" s="3"/>
      <c r="AL64" s="3"/>
      <c r="AN64" s="3"/>
      <c r="AO64" s="3"/>
    </row>
    <row r="65" spans="1:41" ht="16.5" customHeight="1">
      <c r="A65" s="3"/>
      <c r="B65" s="381">
        <f>B32</f>
        <v>2026</v>
      </c>
      <c r="C65" s="382"/>
      <c r="D65" s="382"/>
      <c r="E65" s="461"/>
      <c r="F65" s="469" t="s">
        <v>315</v>
      </c>
      <c r="G65" s="3"/>
      <c r="H65" s="3"/>
      <c r="I65" s="3"/>
      <c r="J65" s="381">
        <f>J32</f>
        <v>2027</v>
      </c>
      <c r="K65" s="382"/>
      <c r="L65" s="382"/>
      <c r="M65" s="461"/>
      <c r="N65" s="469" t="s">
        <v>315</v>
      </c>
      <c r="Q65" s="3"/>
      <c r="R65" s="176">
        <f>J65+1</f>
        <v>2028</v>
      </c>
      <c r="S65" s="382"/>
      <c r="T65" s="382"/>
      <c r="U65" s="382"/>
      <c r="V65" s="3" t="s">
        <v>315</v>
      </c>
      <c r="Y65" s="3"/>
      <c r="Z65" s="176">
        <f>R65+1</f>
        <v>2029</v>
      </c>
      <c r="AA65" s="383"/>
      <c r="AB65" s="383"/>
      <c r="AC65" s="383"/>
      <c r="AD65" s="3" t="s">
        <v>315</v>
      </c>
      <c r="AG65" s="3"/>
      <c r="AH65" s="176">
        <f>Z65+1</f>
        <v>2030</v>
      </c>
      <c r="AI65" s="383"/>
      <c r="AJ65" s="383"/>
      <c r="AK65" s="383"/>
      <c r="AL65" s="3" t="s">
        <v>315</v>
      </c>
    </row>
    <row r="66" spans="1:41" ht="16.5" customHeight="1">
      <c r="B66" s="352" t="str">
        <f ca="1">IF(OR($C$5="1세대1주택"),"1세대1주택","주택")</f>
        <v>주택</v>
      </c>
      <c r="C66" s="352" t="str">
        <f t="shared" ref="C66:E66" ca="1" si="115">IF(OR($C$5="1세대1주택"),"1세대1주택","주택")</f>
        <v>주택</v>
      </c>
      <c r="D66" s="352" t="str">
        <f t="shared" ca="1" si="115"/>
        <v>주택</v>
      </c>
      <c r="E66" s="385" t="str">
        <f t="shared" ca="1" si="115"/>
        <v>주택</v>
      </c>
      <c r="F66" s="410" t="str">
        <f ca="1">IF(OR($C$5="1세대1주택"),"1세대1주택","주택")</f>
        <v>주택</v>
      </c>
      <c r="G66" s="3"/>
      <c r="H66" s="3"/>
      <c r="J66" s="471" t="str">
        <f ca="1">B66</f>
        <v>주택</v>
      </c>
      <c r="K66" s="471" t="str">
        <f t="shared" ref="K66:M66" ca="1" si="116">C66</f>
        <v>주택</v>
      </c>
      <c r="L66" s="471" t="str">
        <f t="shared" ca="1" si="116"/>
        <v>주택</v>
      </c>
      <c r="M66" s="471" t="str">
        <f t="shared" ca="1" si="116"/>
        <v>주택</v>
      </c>
      <c r="N66" s="410" t="str">
        <f ca="1">IF(OR($C$5="1세대1주택"),"1세대1주택","주택")</f>
        <v>주택</v>
      </c>
      <c r="O66" s="3"/>
      <c r="P66" s="3"/>
      <c r="R66" s="385" t="str">
        <f ca="1">J66</f>
        <v>주택</v>
      </c>
      <c r="S66" s="385" t="str">
        <f t="shared" ref="S66" ca="1" si="117">K66</f>
        <v>주택</v>
      </c>
      <c r="T66" s="385" t="str">
        <f t="shared" ref="T66" ca="1" si="118">L66</f>
        <v>주택</v>
      </c>
      <c r="U66" s="385" t="str">
        <f t="shared" ref="U66" ca="1" si="119">M66</f>
        <v>주택</v>
      </c>
      <c r="V66" s="3" t="str">
        <f ca="1">IF(OR($C$5="1세대1주택"),"1세대1주택","주택")</f>
        <v>주택</v>
      </c>
      <c r="W66" s="3"/>
      <c r="X66" s="3"/>
      <c r="Z66" s="385" t="str">
        <f ca="1">R66</f>
        <v>주택</v>
      </c>
      <c r="AA66" s="385" t="str">
        <f t="shared" ref="AA66" ca="1" si="120">S66</f>
        <v>주택</v>
      </c>
      <c r="AB66" s="385" t="str">
        <f t="shared" ref="AB66" ca="1" si="121">T66</f>
        <v>주택</v>
      </c>
      <c r="AC66" s="385" t="str">
        <f t="shared" ref="AC66" ca="1" si="122">U66</f>
        <v>주택</v>
      </c>
      <c r="AD66" s="3" t="str">
        <f ca="1">IF(OR($C$5="1세대1주택"),"1세대1주택","주택")</f>
        <v>주택</v>
      </c>
      <c r="AE66" s="3"/>
      <c r="AF66" s="3"/>
      <c r="AH66" s="385" t="str">
        <f ca="1">Z66</f>
        <v>주택</v>
      </c>
      <c r="AI66" s="385" t="str">
        <f t="shared" ref="AI66" ca="1" si="123">AA66</f>
        <v>주택</v>
      </c>
      <c r="AJ66" s="385" t="str">
        <f t="shared" ref="AJ66" ca="1" si="124">AB66</f>
        <v>주택</v>
      </c>
      <c r="AK66" s="385" t="str">
        <f t="shared" ref="AK66" ca="1" si="125">AC66</f>
        <v>주택</v>
      </c>
      <c r="AL66" s="3" t="str">
        <f ca="1">IF(OR($C$5="1세대1주택"),"1세대1주택","주택")</f>
        <v>주택</v>
      </c>
      <c r="AN66" s="3"/>
      <c r="AO66" s="3"/>
    </row>
    <row r="67" spans="1:41" ht="16.5" customHeight="1">
      <c r="A67" s="321" t="s">
        <v>318</v>
      </c>
      <c r="B67" s="386" t="str">
        <f>IF($C$6=B$9,"거주","")</f>
        <v>거주</v>
      </c>
      <c r="C67" s="386" t="str">
        <f t="shared" ref="C67:E67" si="126">IF($C$6=C$9,"거주","")</f>
        <v/>
      </c>
      <c r="D67" s="386" t="str">
        <f t="shared" si="126"/>
        <v/>
      </c>
      <c r="E67" s="388" t="str">
        <f t="shared" si="126"/>
        <v/>
      </c>
      <c r="F67" s="387" t="str">
        <f>B67</f>
        <v>거주</v>
      </c>
      <c r="G67" s="3"/>
      <c r="H67" s="3"/>
      <c r="I67" s="321" t="s">
        <v>292</v>
      </c>
      <c r="J67" s="386" t="str">
        <f>IF($C$6=J$9,"거주","")</f>
        <v>거주</v>
      </c>
      <c r="K67" s="386" t="str">
        <f t="shared" ref="K67:M67" si="127">IF($C$6=K$9,"거주","")</f>
        <v/>
      </c>
      <c r="L67" s="386" t="str">
        <f t="shared" si="127"/>
        <v/>
      </c>
      <c r="M67" s="388" t="str">
        <f t="shared" si="127"/>
        <v/>
      </c>
      <c r="N67" s="387" t="str">
        <f>J67</f>
        <v>거주</v>
      </c>
      <c r="O67" s="3"/>
      <c r="P67" s="3"/>
      <c r="Q67" s="321" t="s">
        <v>326</v>
      </c>
      <c r="R67" s="386" t="str">
        <f>IF($C$6=R$9,"거주","")</f>
        <v>거주</v>
      </c>
      <c r="S67" s="386" t="str">
        <f t="shared" ref="S67:U67" si="128">IF($C$6=S$9,"거주","")</f>
        <v/>
      </c>
      <c r="T67" s="386" t="str">
        <f t="shared" si="128"/>
        <v/>
      </c>
      <c r="U67" s="388" t="str">
        <f t="shared" si="128"/>
        <v/>
      </c>
      <c r="V67" s="387" t="str">
        <f>R67</f>
        <v>거주</v>
      </c>
      <c r="W67" s="3"/>
      <c r="X67" s="3"/>
      <c r="Y67" s="321" t="s">
        <v>326</v>
      </c>
      <c r="Z67" s="386" t="str">
        <f>IF($C$6=Z$9,"거주","")</f>
        <v>거주</v>
      </c>
      <c r="AA67" s="386" t="str">
        <f t="shared" ref="AA67:AC67" si="129">IF($C$6=AA$9,"거주","")</f>
        <v/>
      </c>
      <c r="AB67" s="386" t="str">
        <f t="shared" si="129"/>
        <v/>
      </c>
      <c r="AC67" s="388" t="str">
        <f t="shared" si="129"/>
        <v/>
      </c>
      <c r="AD67" s="387" t="str">
        <f>Z67</f>
        <v>거주</v>
      </c>
      <c r="AE67" s="3"/>
      <c r="AF67" s="3"/>
      <c r="AG67" s="321" t="s">
        <v>326</v>
      </c>
      <c r="AH67" s="386" t="str">
        <f>IF($C$6=AH$9,"거주","")</f>
        <v>거주</v>
      </c>
      <c r="AI67" s="386" t="str">
        <f t="shared" ref="AI67:AK67" si="130">IF($C$6=AI$9,"거주","")</f>
        <v/>
      </c>
      <c r="AJ67" s="386" t="str">
        <f t="shared" si="130"/>
        <v/>
      </c>
      <c r="AK67" s="388" t="str">
        <f t="shared" si="130"/>
        <v/>
      </c>
      <c r="AL67" s="387" t="str">
        <f>AH67</f>
        <v>거주</v>
      </c>
      <c r="AM67" s="3"/>
    </row>
    <row r="68" spans="1:41" ht="16.5" customHeight="1">
      <c r="A68" s="321" t="s">
        <v>44</v>
      </c>
      <c r="B68" s="328">
        <f ca="1">INDIRECT("기초!c"&amp;(MATCH($C$2,기초!$B:$B,0)+9))</f>
        <v>0</v>
      </c>
      <c r="C68" s="328">
        <f ca="1">INDIRECT("기초!d"&amp;(MATCH($C$2,기초!$B:$B,0)+9))</f>
        <v>0.5</v>
      </c>
      <c r="D68" s="328">
        <f ca="1">INDIRECT("기초!e"&amp;(MATCH($C$2,기초!$B:$B,0)+9))</f>
        <v>0</v>
      </c>
      <c r="E68" s="462">
        <f ca="1">INDIRECT("기초!f"&amp;(MATCH($C$2,기초!$B:$B,0)+9))</f>
        <v>0</v>
      </c>
      <c r="F68" s="389"/>
      <c r="G68" s="3"/>
      <c r="H68" s="3"/>
      <c r="I68" s="321" t="s">
        <v>322</v>
      </c>
      <c r="J68" s="105">
        <f ca="1">B68</f>
        <v>0</v>
      </c>
      <c r="K68" s="105">
        <f t="shared" ref="K68:M68" ca="1" si="131">C68</f>
        <v>0.5</v>
      </c>
      <c r="L68" s="105">
        <f t="shared" ca="1" si="131"/>
        <v>0</v>
      </c>
      <c r="M68" s="390">
        <f t="shared" ca="1" si="131"/>
        <v>0</v>
      </c>
      <c r="N68" s="389"/>
      <c r="O68" s="3"/>
      <c r="P68" s="3"/>
      <c r="Q68" s="321" t="s">
        <v>322</v>
      </c>
      <c r="R68" s="105">
        <f ca="1">J68</f>
        <v>0</v>
      </c>
      <c r="S68" s="105">
        <f t="shared" ref="S68" ca="1" si="132">K68</f>
        <v>0.5</v>
      </c>
      <c r="T68" s="105">
        <f t="shared" ref="T68" ca="1" si="133">L68</f>
        <v>0</v>
      </c>
      <c r="U68" s="390">
        <f t="shared" ref="U68" ca="1" si="134">M68</f>
        <v>0</v>
      </c>
      <c r="V68" s="389"/>
      <c r="W68" s="3"/>
      <c r="X68" s="3"/>
      <c r="Y68" s="321" t="s">
        <v>322</v>
      </c>
      <c r="Z68" s="105">
        <f ca="1">R68</f>
        <v>0</v>
      </c>
      <c r="AA68" s="105">
        <f t="shared" ref="AA68" ca="1" si="135">S68</f>
        <v>0.5</v>
      </c>
      <c r="AB68" s="105">
        <f t="shared" ref="AB68" ca="1" si="136">T68</f>
        <v>0</v>
      </c>
      <c r="AC68" s="390">
        <f t="shared" ref="AC68" ca="1" si="137">U68</f>
        <v>0</v>
      </c>
      <c r="AD68" s="389"/>
      <c r="AE68" s="3"/>
      <c r="AF68" s="3"/>
      <c r="AG68" s="321" t="s">
        <v>322</v>
      </c>
      <c r="AH68" s="105">
        <f ca="1">Z68</f>
        <v>0</v>
      </c>
      <c r="AI68" s="105">
        <f t="shared" ref="AI68" ca="1" si="138">AA68</f>
        <v>0.5</v>
      </c>
      <c r="AJ68" s="105">
        <f t="shared" ref="AJ68" ca="1" si="139">AB68</f>
        <v>0</v>
      </c>
      <c r="AK68" s="390">
        <f t="shared" ref="AK68" ca="1" si="140">AC68</f>
        <v>0</v>
      </c>
      <c r="AL68" s="389"/>
      <c r="AM68" s="3"/>
    </row>
    <row r="69" spans="1:41" ht="16.5" customHeight="1">
      <c r="A69" s="330" t="s">
        <v>41</v>
      </c>
      <c r="B69" s="329">
        <f ca="1">INDIRECT("기초!c"&amp;(MATCH($C$2,기초!$B:$B,0)+7))</f>
        <v>0</v>
      </c>
      <c r="C69" s="329">
        <f ca="1">INDIRECT("기초!d"&amp;(MATCH($C$2,기초!$B:$B,0)+7))</f>
        <v>3</v>
      </c>
      <c r="D69" s="329">
        <f ca="1">INDIRECT("기초!e"&amp;(MATCH($C$2,기초!$B:$B,0)+7))</f>
        <v>0</v>
      </c>
      <c r="E69" s="463">
        <f ca="1">INDIRECT("기초!e"&amp;(MATCH($C$2,기초!$B:$B,0)+7))</f>
        <v>0</v>
      </c>
      <c r="F69" s="391">
        <f ca="1">IF(F66="1세대1주택",B69-1,)</f>
        <v>0</v>
      </c>
      <c r="G69" s="3"/>
      <c r="H69" s="3"/>
      <c r="I69" s="330" t="s">
        <v>41</v>
      </c>
      <c r="J69" s="197">
        <f ca="1">B69+1</f>
        <v>1</v>
      </c>
      <c r="K69" s="197">
        <f ca="1">C69+1</f>
        <v>4</v>
      </c>
      <c r="L69" s="197">
        <f ca="1">D69+1</f>
        <v>1</v>
      </c>
      <c r="M69" s="392">
        <f ca="1">E69+1</f>
        <v>1</v>
      </c>
      <c r="N69" s="391">
        <f ca="1">IF(N66="1세대1주택",J69-1,)</f>
        <v>0</v>
      </c>
      <c r="O69" s="3"/>
      <c r="P69" s="3"/>
      <c r="Q69" s="330"/>
      <c r="R69" s="197">
        <f ca="1">J69+1</f>
        <v>2</v>
      </c>
      <c r="S69" s="197">
        <f ca="1">K69+1</f>
        <v>5</v>
      </c>
      <c r="T69" s="197">
        <f ca="1">L69+1</f>
        <v>2</v>
      </c>
      <c r="U69" s="392">
        <f ca="1">M69+1</f>
        <v>2</v>
      </c>
      <c r="V69" s="391">
        <f ca="1">IF(V66="1세대1주택",R69-1,)</f>
        <v>0</v>
      </c>
      <c r="W69" s="3"/>
      <c r="X69" s="3"/>
      <c r="Y69" s="330"/>
      <c r="Z69" s="197">
        <f ca="1">R69+1</f>
        <v>3</v>
      </c>
      <c r="AA69" s="197">
        <f ca="1">S69+1</f>
        <v>6</v>
      </c>
      <c r="AB69" s="197">
        <f ca="1">T69+1</f>
        <v>3</v>
      </c>
      <c r="AC69" s="392">
        <f ca="1">U69+1</f>
        <v>3</v>
      </c>
      <c r="AD69" s="391">
        <f ca="1">IF(AD66="1세대1주택",Z69-1,)</f>
        <v>0</v>
      </c>
      <c r="AE69" s="3"/>
      <c r="AF69" s="3"/>
      <c r="AG69" s="330"/>
      <c r="AH69" s="197">
        <f ca="1">Z69+1</f>
        <v>4</v>
      </c>
      <c r="AI69" s="197">
        <f ca="1">AA69+1</f>
        <v>7</v>
      </c>
      <c r="AJ69" s="197">
        <f ca="1">AB69+1</f>
        <v>4</v>
      </c>
      <c r="AK69" s="392">
        <f ca="1">AC69+1</f>
        <v>4</v>
      </c>
      <c r="AL69" s="391">
        <f ca="1">IF(AL66="1세대1주택",AH69-1,)</f>
        <v>0</v>
      </c>
      <c r="AM69" s="3"/>
    </row>
    <row r="70" spans="1:41" ht="16.5" customHeight="1">
      <c r="A70" s="321" t="s">
        <v>99</v>
      </c>
      <c r="B70" s="9" t="b">
        <f ca="1">IF($B$66="1세대1주택",IF(B69&gt;=15,50%,IF(B69&gt;=10,40%,IF(B69&gt;=5,20%,0))))</f>
        <v>0</v>
      </c>
      <c r="C70" s="9" t="b">
        <f ca="1">IF($B$66="1세대1주택",IF(C69&gt;=15,50%,IF(C69&gt;=10,40%,IF(C69&gt;=5,20%,0))))</f>
        <v>0</v>
      </c>
      <c r="D70" s="9" t="b">
        <f ca="1">IF($B$66="1세대1주택",IF(D69&gt;=15,50%,IF(D69&gt;=10,40%,IF(D69&gt;=5,20%,0))))</f>
        <v>0</v>
      </c>
      <c r="E70" s="406" t="b">
        <f ca="1">IF($B$66="1세대1주택",IF(E69&gt;=15,50%,IF(E69&gt;=10,40%,IF(E69&gt;=5,20%,0))))</f>
        <v>0</v>
      </c>
      <c r="F70" s="397" t="b">
        <f ca="1">IF(F66="1세대1주택",IF(F69&gt;=15,50%,IF(F69&gt;=10,40%,IF(F69&gt;=5,20%,0))))</f>
        <v>0</v>
      </c>
      <c r="G70" s="3"/>
      <c r="H70" s="3"/>
      <c r="I70" s="321" t="s">
        <v>99</v>
      </c>
      <c r="J70" s="105" t="b">
        <f ca="1">IF(J$66="1세대1주택",IF(J69&gt;=15,25%,IF(J69&gt;=10,20%,IF(J69&gt;=5,10%,0))))</f>
        <v>0</v>
      </c>
      <c r="K70" s="105" t="b">
        <f t="shared" ref="K70:M70" ca="1" si="141">IF(K$66="1세대1주택",IF(K69&gt;=15,25%,IF(K69&gt;=10,20%,IF(K69&gt;=5,10%,0))))</f>
        <v>0</v>
      </c>
      <c r="L70" s="105" t="b">
        <f t="shared" ca="1" si="141"/>
        <v>0</v>
      </c>
      <c r="M70" s="390" t="b">
        <f t="shared" ca="1" si="141"/>
        <v>0</v>
      </c>
      <c r="N70" s="397" t="b">
        <f ca="1">IF(N66="1세대1주택",IF(N69&gt;=15,50%,IF(N69&gt;=10,40%,IF(N69&gt;=5,20%,0))))</f>
        <v>0</v>
      </c>
      <c r="O70" s="3"/>
      <c r="P70" s="3"/>
      <c r="Q70" s="321"/>
      <c r="R70" s="105" t="b">
        <f ca="1">IF(R$66="1세대1주택",IF(R69&gt;=15,25%,IF(R69&gt;=10,20%,IF(R69&gt;=5,10%,0))))</f>
        <v>0</v>
      </c>
      <c r="S70" s="105" t="b">
        <f t="shared" ref="S70" ca="1" si="142">IF(S$66="1세대1주택",IF(S69&gt;=15,25%,IF(S69&gt;=10,20%,IF(S69&gt;=5,10%,0))))</f>
        <v>0</v>
      </c>
      <c r="T70" s="105" t="b">
        <f t="shared" ref="T70" ca="1" si="143">IF(T$66="1세대1주택",IF(T69&gt;=15,25%,IF(T69&gt;=10,20%,IF(T69&gt;=5,10%,0))))</f>
        <v>0</v>
      </c>
      <c r="U70" s="390" t="b">
        <f t="shared" ref="U70" ca="1" si="144">IF(U$66="1세대1주택",IF(U69&gt;=15,25%,IF(U69&gt;=10,20%,IF(U69&gt;=5,10%,0))))</f>
        <v>0</v>
      </c>
      <c r="V70" s="397" t="b">
        <f ca="1">IF(V66="1세대1주택",IF(V69&gt;=15,50%,IF(V69&gt;=10,40%,IF(V69&gt;=5,20%,0))))</f>
        <v>0</v>
      </c>
      <c r="W70" s="3"/>
      <c r="X70" s="3"/>
      <c r="Y70" s="321"/>
      <c r="Z70" s="105" t="b">
        <f ca="1">IF(Z$66="1세대1주택",IF(Z69&gt;=15,25%,IF(Z69&gt;=10,20%,IF(Z69&gt;=5,10%,0))))</f>
        <v>0</v>
      </c>
      <c r="AA70" s="105" t="b">
        <f t="shared" ref="AA70" ca="1" si="145">IF(AA$66="1세대1주택",IF(AA69&gt;=15,25%,IF(AA69&gt;=10,20%,IF(AA69&gt;=5,10%,0))))</f>
        <v>0</v>
      </c>
      <c r="AB70" s="105" t="b">
        <f t="shared" ref="AB70" ca="1" si="146">IF(AB$66="1세대1주택",IF(AB69&gt;=15,25%,IF(AB69&gt;=10,20%,IF(AB69&gt;=5,10%,0))))</f>
        <v>0</v>
      </c>
      <c r="AC70" s="390" t="b">
        <f t="shared" ref="AC70" ca="1" si="147">IF(AC$66="1세대1주택",IF(AC69&gt;=15,25%,IF(AC69&gt;=10,20%,IF(AC69&gt;=5,10%,0))))</f>
        <v>0</v>
      </c>
      <c r="AD70" s="397" t="b">
        <f ca="1">IF(AD66="1세대1주택",IF(AD69&gt;=15,50%,IF(AD69&gt;=10,40%,IF(AD69&gt;=5,20%,0))))</f>
        <v>0</v>
      </c>
      <c r="AE70" s="3"/>
      <c r="AF70" s="3"/>
      <c r="AG70" s="321"/>
      <c r="AH70" s="105" t="b">
        <f ca="1">IF(AH$66="1세대1주택",IF(AH69&gt;=15,25%,IF(AH69&gt;=10,20%,IF(AH69&gt;=5,10%,0))))</f>
        <v>0</v>
      </c>
      <c r="AI70" s="105" t="b">
        <f t="shared" ref="AI70" ca="1" si="148">IF(AI$66="1세대1주택",IF(AI69&gt;=15,25%,IF(AI69&gt;=10,20%,IF(AI69&gt;=5,10%,0))))</f>
        <v>0</v>
      </c>
      <c r="AJ70" s="105" t="b">
        <f t="shared" ref="AJ70" ca="1" si="149">IF(AJ$66="1세대1주택",IF(AJ69&gt;=15,25%,IF(AJ69&gt;=10,20%,IF(AJ69&gt;=5,10%,0))))</f>
        <v>0</v>
      </c>
      <c r="AK70" s="390" t="b">
        <f t="shared" ref="AK70" ca="1" si="150">IF(AK$66="1세대1주택",IF(AK69&gt;=15,25%,IF(AK69&gt;=10,20%,IF(AK69&gt;=5,10%,0))))</f>
        <v>0</v>
      </c>
      <c r="AL70" s="397" t="b">
        <f ca="1">IF(AL66="1세대1주택",IF(AL69&gt;=15,50%,IF(AL69&gt;=10,40%,IF(AL69&gt;=5,20%,0))))</f>
        <v>0</v>
      </c>
      <c r="AM70" s="3"/>
    </row>
    <row r="71" spans="1:41" ht="16.5" customHeight="1">
      <c r="A71" s="321" t="s">
        <v>100</v>
      </c>
      <c r="B71" s="2">
        <f ca="1">$C$3</f>
        <v>1</v>
      </c>
      <c r="C71" s="439"/>
      <c r="D71" s="439"/>
      <c r="E71" s="464"/>
      <c r="F71" s="389"/>
      <c r="G71" s="3"/>
      <c r="H71" s="3"/>
      <c r="I71" s="321" t="s">
        <v>100</v>
      </c>
      <c r="J71" s="103">
        <f ca="1">$C$3</f>
        <v>1</v>
      </c>
      <c r="K71" s="440"/>
      <c r="L71" s="440"/>
      <c r="M71" s="465"/>
      <c r="N71" s="389"/>
      <c r="O71" s="3"/>
      <c r="P71" s="3"/>
      <c r="Q71" s="321" t="s">
        <v>100</v>
      </c>
      <c r="R71" s="103">
        <f ca="1">$C$3</f>
        <v>1</v>
      </c>
      <c r="S71" s="440"/>
      <c r="T71" s="440"/>
      <c r="U71" s="465"/>
      <c r="V71" s="389"/>
      <c r="W71" s="3"/>
      <c r="X71" s="3"/>
      <c r="Y71" s="321" t="s">
        <v>100</v>
      </c>
      <c r="Z71" s="103">
        <f ca="1">$C$3</f>
        <v>1</v>
      </c>
      <c r="AA71" s="440"/>
      <c r="AB71" s="440"/>
      <c r="AC71" s="465"/>
      <c r="AD71" s="389"/>
      <c r="AE71" s="3"/>
      <c r="AF71" s="3"/>
      <c r="AG71" s="321" t="s">
        <v>100</v>
      </c>
      <c r="AH71" s="103">
        <f ca="1">$C$3</f>
        <v>1</v>
      </c>
      <c r="AI71" s="440"/>
      <c r="AJ71" s="440"/>
      <c r="AK71" s="465"/>
      <c r="AL71" s="389"/>
      <c r="AM71" s="3"/>
    </row>
    <row r="72" spans="1:41" ht="16.5" customHeight="1">
      <c r="A72" s="321" t="s">
        <v>75</v>
      </c>
      <c r="B72" s="2" t="str">
        <f ca="1">IF(B71&lt;=2,"기본세율","중과세율")</f>
        <v>기본세율</v>
      </c>
      <c r="C72" s="440"/>
      <c r="D72" s="440"/>
      <c r="E72" s="465"/>
      <c r="F72" s="389"/>
      <c r="G72" s="3"/>
      <c r="H72" s="3"/>
      <c r="I72" s="321"/>
      <c r="J72" s="440"/>
      <c r="K72" s="440"/>
      <c r="L72" s="440"/>
      <c r="M72" s="465"/>
      <c r="N72" s="389"/>
      <c r="O72" s="3"/>
      <c r="P72" s="3"/>
      <c r="Q72" s="321"/>
      <c r="R72" s="440"/>
      <c r="S72" s="440"/>
      <c r="T72" s="440"/>
      <c r="U72" s="465"/>
      <c r="V72" s="389"/>
      <c r="W72" s="3"/>
      <c r="X72" s="3"/>
      <c r="Y72" s="321"/>
      <c r="Z72" s="440"/>
      <c r="AA72" s="440"/>
      <c r="AB72" s="440"/>
      <c r="AC72" s="465"/>
      <c r="AD72" s="389"/>
      <c r="AE72" s="3"/>
      <c r="AF72" s="3"/>
      <c r="AG72" s="321"/>
      <c r="AH72" s="440"/>
      <c r="AI72" s="440"/>
      <c r="AJ72" s="440"/>
      <c r="AK72" s="465"/>
      <c r="AL72" s="389"/>
      <c r="AM72" s="3"/>
    </row>
    <row r="73" spans="1:41" ht="16.5" customHeight="1">
      <c r="A73" s="321"/>
      <c r="B73" s="447"/>
      <c r="C73" s="447"/>
      <c r="D73" s="447"/>
      <c r="E73" s="466"/>
      <c r="F73" s="391"/>
      <c r="G73" s="3"/>
      <c r="H73" s="3"/>
      <c r="I73" s="354" t="s">
        <v>264</v>
      </c>
      <c r="J73" s="229">
        <f ca="1">INDIRECT("기초!c"&amp;(MATCH($C$2,기초!$B:$B,0)+8))</f>
        <v>0</v>
      </c>
      <c r="K73" s="229">
        <f ca="1">INDIRECT("기초!D"&amp;(MATCH($C$2,기초!$B:$B,0)+8))</f>
        <v>2</v>
      </c>
      <c r="L73" s="229">
        <f ca="1">INDIRECT("기초!E"&amp;(MATCH($C$2,기초!$B:$B,0)+8))</f>
        <v>0</v>
      </c>
      <c r="M73" s="472">
        <f ca="1">INDIRECT("기초!F"&amp;(MATCH($C$2,기초!$B:$B,0)+8))</f>
        <v>0</v>
      </c>
      <c r="N73" s="391"/>
      <c r="O73" s="3"/>
      <c r="P73" s="3"/>
      <c r="Q73" s="354" t="s">
        <v>323</v>
      </c>
      <c r="R73" s="229">
        <f ca="1">INDIRECT("기초!c"&amp;(MATCH($C$2,기초!$B:$B,0)+8))</f>
        <v>0</v>
      </c>
      <c r="S73" s="229">
        <f ca="1">INDIRECT("기초!D"&amp;(MATCH($C$2,기초!$B:$B,0)+8))</f>
        <v>2</v>
      </c>
      <c r="T73" s="229">
        <f ca="1">INDIRECT("기초!E"&amp;(MATCH($C$2,기초!$B:$B,0)+8))</f>
        <v>0</v>
      </c>
      <c r="U73" s="472">
        <f ca="1">INDIRECT("기초!F"&amp;(MATCH($C$2,기초!$B:$B,0)+8))</f>
        <v>0</v>
      </c>
      <c r="V73" s="391"/>
      <c r="W73" s="3"/>
      <c r="X73" s="3"/>
      <c r="Y73" s="354" t="s">
        <v>323</v>
      </c>
      <c r="Z73" s="229">
        <f ca="1">INDIRECT("기초!c"&amp;(MATCH($C$2,기초!$B:$B,0)+8))</f>
        <v>0</v>
      </c>
      <c r="AA73" s="229">
        <f ca="1">INDIRECT("기초!D"&amp;(MATCH($C$2,기초!$B:$B,0)+8))</f>
        <v>2</v>
      </c>
      <c r="AB73" s="229">
        <f ca="1">INDIRECT("기초!E"&amp;(MATCH($C$2,기초!$B:$B,0)+8))</f>
        <v>0</v>
      </c>
      <c r="AC73" s="472">
        <f ca="1">INDIRECT("기초!F"&amp;(MATCH($C$2,기초!$B:$B,0)+8))</f>
        <v>0</v>
      </c>
      <c r="AD73" s="391"/>
      <c r="AE73" s="3"/>
      <c r="AF73" s="3"/>
      <c r="AG73" s="354" t="s">
        <v>323</v>
      </c>
      <c r="AH73" s="229">
        <f ca="1">INDIRECT("기초!c"&amp;(MATCH($C$2,기초!$B:$B,0)+8))</f>
        <v>0</v>
      </c>
      <c r="AI73" s="229">
        <f ca="1">INDIRECT("기초!D"&amp;(MATCH($C$2,기초!$B:$B,0)+8))</f>
        <v>2</v>
      </c>
      <c r="AJ73" s="229">
        <f ca="1">INDIRECT("기초!E"&amp;(MATCH($C$2,기초!$B:$B,0)+8))</f>
        <v>0</v>
      </c>
      <c r="AK73" s="472">
        <f ca="1">INDIRECT("기초!F"&amp;(MATCH($C$2,기초!$B:$B,0)+8))</f>
        <v>0</v>
      </c>
      <c r="AL73" s="391"/>
      <c r="AM73" s="3"/>
    </row>
    <row r="74" spans="1:41" ht="16.5" customHeight="1">
      <c r="A74" s="322"/>
      <c r="B74" s="440"/>
      <c r="C74" s="440"/>
      <c r="D74" s="440"/>
      <c r="E74" s="465"/>
      <c r="F74" s="402"/>
      <c r="G74" s="3"/>
      <c r="H74" s="3"/>
      <c r="I74" s="354" t="s">
        <v>265</v>
      </c>
      <c r="J74" s="230" t="b">
        <f ca="1">IF(AND(J66="1세대1주택",COUNTIF($J$34:$J$34,"거주")=1),IF(J73&gt;=15,50%,IF(J73&gt;=10,40%,IF(J73&gt;=5,20%,0))))</f>
        <v>0</v>
      </c>
      <c r="K74" s="230" t="b">
        <f t="shared" ref="K74:M74" ca="1" si="151">IF(AND(K66="1세대1주택",COUNTIF($J$34:$J$34,"거주")=1),IF(K73&gt;=15,50%,IF(K73&gt;=10,40%,IF(K73&gt;=5,20%,0))))</f>
        <v>0</v>
      </c>
      <c r="L74" s="230" t="b">
        <f t="shared" ca="1" si="151"/>
        <v>0</v>
      </c>
      <c r="M74" s="449" t="b">
        <f t="shared" ca="1" si="151"/>
        <v>0</v>
      </c>
      <c r="N74" s="402"/>
      <c r="O74" s="3"/>
      <c r="P74" s="3"/>
      <c r="Q74" s="354" t="s">
        <v>265</v>
      </c>
      <c r="R74" s="230" t="b">
        <f ca="1">IF(AND(R66="1세대1주택",COUNTIF($J$34:$J$34,"거주")=1),IF(R73&gt;=15,50%,IF(R73&gt;=10,40%,IF(R73&gt;=5,20%,0))))</f>
        <v>0</v>
      </c>
      <c r="S74" s="230" t="b">
        <f t="shared" ref="S74" ca="1" si="152">IF(AND(S66="1세대1주택",COUNTIF($J$34:$J$34,"거주")=1),IF(S73&gt;=15,50%,IF(S73&gt;=10,40%,IF(S73&gt;=5,20%,0))))</f>
        <v>0</v>
      </c>
      <c r="T74" s="230" t="b">
        <f t="shared" ref="T74" ca="1" si="153">IF(AND(T66="1세대1주택",COUNTIF($J$34:$J$34,"거주")=1),IF(T73&gt;=15,50%,IF(T73&gt;=10,40%,IF(T73&gt;=5,20%,0))))</f>
        <v>0</v>
      </c>
      <c r="U74" s="449" t="b">
        <f t="shared" ref="U74" ca="1" si="154">IF(AND(U66="1세대1주택",COUNTIF($J$34:$J$34,"거주")=1),IF(U73&gt;=15,50%,IF(U73&gt;=10,40%,IF(U73&gt;=5,20%,0))))</f>
        <v>0</v>
      </c>
      <c r="V74" s="402"/>
      <c r="W74" s="3"/>
      <c r="X74" s="3"/>
      <c r="Y74" s="354" t="s">
        <v>265</v>
      </c>
      <c r="Z74" s="230" t="b">
        <f ca="1">IF(AND(Z66="1세대1주택",COUNTIF($J$34:$J$34,"거주")=1),IF(Z73&gt;=15,50%,IF(Z73&gt;=10,40%,IF(Z73&gt;=5,20%,0))))</f>
        <v>0</v>
      </c>
      <c r="AA74" s="230" t="b">
        <f t="shared" ref="AA74" ca="1" si="155">IF(AND(AA66="1세대1주택",COUNTIF($J$34:$J$34,"거주")=1),IF(AA73&gt;=15,50%,IF(AA73&gt;=10,40%,IF(AA73&gt;=5,20%,0))))</f>
        <v>0</v>
      </c>
      <c r="AB74" s="230" t="b">
        <f t="shared" ref="AB74" ca="1" si="156">IF(AND(AB66="1세대1주택",COUNTIF($J$34:$J$34,"거주")=1),IF(AB73&gt;=15,50%,IF(AB73&gt;=10,40%,IF(AB73&gt;=5,20%,0))))</f>
        <v>0</v>
      </c>
      <c r="AC74" s="449" t="b">
        <f t="shared" ref="AC74" ca="1" si="157">IF(AND(AC66="1세대1주택",COUNTIF($J$34:$J$34,"거주")=1),IF(AC73&gt;=15,50%,IF(AC73&gt;=10,40%,IF(AC73&gt;=5,20%,0))))</f>
        <v>0</v>
      </c>
      <c r="AD74" s="402"/>
      <c r="AE74" s="3"/>
      <c r="AF74" s="3"/>
      <c r="AG74" s="354" t="s">
        <v>265</v>
      </c>
      <c r="AH74" s="230" t="b">
        <f ca="1">IF(AND(AH66="1세대1주택",COUNTIF($J$34:$J$34,"거주")=1),IF(AH73&gt;=15,50%,IF(AH73&gt;=10,40%,IF(AH73&gt;=5,20%,0))))</f>
        <v>0</v>
      </c>
      <c r="AI74" s="230" t="b">
        <f t="shared" ref="AI74" ca="1" si="158">IF(AND(AI66="1세대1주택",COUNTIF($J$34:$J$34,"거주")=1),IF(AI73&gt;=15,50%,IF(AI73&gt;=10,40%,IF(AI73&gt;=5,20%,0))))</f>
        <v>0</v>
      </c>
      <c r="AJ74" s="230" t="b">
        <f t="shared" ref="AJ74" ca="1" si="159">IF(AND(AJ66="1세대1주택",COUNTIF($J$34:$J$34,"거주")=1),IF(AJ73&gt;=15,50%,IF(AJ73&gt;=10,40%,IF(AJ73&gt;=5,20%,0))))</f>
        <v>0</v>
      </c>
      <c r="AK74" s="449" t="b">
        <f t="shared" ref="AK74" ca="1" si="160">IF(AND(AK66="1세대1주택",COUNTIF($J$34:$J$34,"거주")=1),IF(AK73&gt;=15,50%,IF(AK73&gt;=10,40%,IF(AK73&gt;=5,20%,0))))</f>
        <v>0</v>
      </c>
      <c r="AL74" s="402"/>
      <c r="AM74" s="3"/>
    </row>
    <row r="75" spans="1:41" ht="16.5" customHeight="1">
      <c r="A75" s="321" t="s">
        <v>3</v>
      </c>
      <c r="B75" s="329">
        <f ca="1">INDIRECT("기초!b"&amp;(MATCH($C$2,기초!$B:$B,0))+2)</f>
        <v>39</v>
      </c>
      <c r="C75" s="443"/>
      <c r="D75" s="443"/>
      <c r="E75" s="467"/>
      <c r="F75" s="391">
        <f ca="1">B75-1</f>
        <v>38</v>
      </c>
      <c r="G75" s="3"/>
      <c r="H75" s="3"/>
      <c r="I75" s="321" t="s">
        <v>3</v>
      </c>
      <c r="J75" s="315">
        <f ca="1">B75+1</f>
        <v>40</v>
      </c>
      <c r="K75" s="443"/>
      <c r="L75" s="443"/>
      <c r="M75" s="467"/>
      <c r="N75" s="391">
        <f ca="1">J75-1</f>
        <v>39</v>
      </c>
      <c r="O75" s="3"/>
      <c r="P75" s="3"/>
      <c r="Q75" s="321" t="s">
        <v>102</v>
      </c>
      <c r="R75" s="315">
        <f ca="1">J75+1</f>
        <v>41</v>
      </c>
      <c r="S75" s="443"/>
      <c r="T75" s="443"/>
      <c r="U75" s="467"/>
      <c r="V75" s="391">
        <f ca="1">R75-1</f>
        <v>40</v>
      </c>
      <c r="W75" s="3"/>
      <c r="X75" s="3"/>
      <c r="Y75" s="321" t="s">
        <v>102</v>
      </c>
      <c r="Z75" s="315">
        <f ca="1">R75+1</f>
        <v>42</v>
      </c>
      <c r="AA75" s="443"/>
      <c r="AB75" s="443"/>
      <c r="AC75" s="467"/>
      <c r="AD75" s="391">
        <f ca="1">Z75-1</f>
        <v>41</v>
      </c>
      <c r="AE75" s="3"/>
      <c r="AF75" s="3"/>
      <c r="AG75" s="321" t="s">
        <v>102</v>
      </c>
      <c r="AH75" s="315">
        <f ca="1">Z75+1</f>
        <v>43</v>
      </c>
      <c r="AI75" s="443"/>
      <c r="AJ75" s="443"/>
      <c r="AK75" s="467"/>
      <c r="AL75" s="391">
        <f ca="1">AH75-1</f>
        <v>42</v>
      </c>
      <c r="AM75" s="3"/>
    </row>
    <row r="76" spans="1:41" ht="16.5" customHeight="1">
      <c r="A76" s="321" t="s">
        <v>104</v>
      </c>
      <c r="B76" s="9" t="b">
        <f>IF(B$10="1세대1주택",IF(B75&gt;=70,40%,IF(B75&gt;=65,30%,IF(B75&gt;=60,20%,0))))</f>
        <v>0</v>
      </c>
      <c r="C76" s="445"/>
      <c r="D76" s="445"/>
      <c r="E76" s="468"/>
      <c r="F76" s="389" t="b">
        <f ca="1">IF(F66="1세대1주택",IF(F75&gt;=70,40%,IF(F75&gt;=65,30%,IF(F75&gt;=60,20%,0))))</f>
        <v>0</v>
      </c>
      <c r="G76" s="3"/>
      <c r="H76" s="3"/>
      <c r="I76" s="321" t="s">
        <v>104</v>
      </c>
      <c r="J76" s="105" t="b">
        <f ca="1">IF(J66="1세대1주택",IF(J75&gt;=70,40%,IF(J75&gt;=65,30%,IF(J75&gt;=60,20%,0))))</f>
        <v>0</v>
      </c>
      <c r="K76" s="445"/>
      <c r="L76" s="445"/>
      <c r="M76" s="468"/>
      <c r="N76" s="389" t="b">
        <f ca="1">IF(N66="1세대1주택",IF(N75&gt;=70,40%,IF(N75&gt;=65,30%,IF(N75&gt;=60,20%,0))))</f>
        <v>0</v>
      </c>
      <c r="O76" s="3"/>
      <c r="P76" s="3"/>
      <c r="Q76" s="321" t="s">
        <v>109</v>
      </c>
      <c r="R76" s="105" t="b">
        <f ca="1">IF(R66="1세대1주택",IF(R75&gt;=70,40%,IF(R75&gt;=65,30%,IF(R75&gt;=60,20%,0))))</f>
        <v>0</v>
      </c>
      <c r="S76" s="445"/>
      <c r="T76" s="445"/>
      <c r="U76" s="468"/>
      <c r="V76" s="389" t="b">
        <f ca="1">IF(V66="1세대1주택",IF(V75&gt;=70,40%,IF(V75&gt;=65,30%,IF(V75&gt;=60,20%,0))))</f>
        <v>0</v>
      </c>
      <c r="W76" s="3"/>
      <c r="X76" s="3"/>
      <c r="Y76" s="321" t="s">
        <v>109</v>
      </c>
      <c r="Z76" s="105" t="b">
        <f ca="1">IF(Z66="1세대1주택",IF(Z75&gt;=70,40%,IF(Z75&gt;=65,30%,IF(Z75&gt;=60,20%,0))))</f>
        <v>0</v>
      </c>
      <c r="AA76" s="445"/>
      <c r="AB76" s="445"/>
      <c r="AC76" s="468"/>
      <c r="AD76" s="389" t="b">
        <f ca="1">IF(AD66="1세대1주택",IF(AD75&gt;=70,40%,IF(AD75&gt;=65,30%,IF(AD75&gt;=60,20%,0))))</f>
        <v>0</v>
      </c>
      <c r="AE76" s="3"/>
      <c r="AF76" s="3"/>
      <c r="AG76" s="321" t="s">
        <v>109</v>
      </c>
      <c r="AH76" s="105" t="b">
        <f ca="1">IF(AH66="1세대1주택",IF(AH75&gt;=70,40%,IF(AH75&gt;=65,30%,IF(AH75&gt;=60,20%,0))))</f>
        <v>0</v>
      </c>
      <c r="AI76" s="445"/>
      <c r="AJ76" s="445"/>
      <c r="AK76" s="468"/>
      <c r="AL76" s="389" t="b">
        <f ca="1">IF(AL66="1세대1주택",IF(AL75&gt;=70,40%,IF(AL75&gt;=65,30%,IF(AL75&gt;=60,20%,0))))</f>
        <v>0</v>
      </c>
      <c r="AM76" s="3"/>
    </row>
    <row r="77" spans="1:41" ht="16.5" customHeight="1">
      <c r="A77" s="347" t="s">
        <v>319</v>
      </c>
      <c r="B77" s="407">
        <f ca="1">IF(B66="1세대1주택",MIN(80%,SUM(B76,B70)),0)</f>
        <v>0</v>
      </c>
      <c r="C77" s="445"/>
      <c r="D77" s="445"/>
      <c r="E77" s="468"/>
      <c r="F77" s="408">
        <f ca="1">IF(F66="1세대1주택",MIN(80%,SUM(F76,F70)),0)</f>
        <v>0</v>
      </c>
      <c r="G77" s="3"/>
      <c r="H77" s="3"/>
      <c r="I77" s="347" t="s">
        <v>317</v>
      </c>
      <c r="J77" s="105">
        <f ca="1">IF(J66="1세대1주택",MIN(80%,J$43+MAX(J$41,J$37)),0)</f>
        <v>0</v>
      </c>
      <c r="K77" s="445"/>
      <c r="L77" s="445"/>
      <c r="M77" s="468"/>
      <c r="N77" s="408">
        <f ca="1">IF(N66="1세대1주택",MIN(80%,SUM(N76,N70)),0)</f>
        <v>0</v>
      </c>
      <c r="O77" s="3"/>
      <c r="P77" s="3"/>
      <c r="Q77" s="347" t="s">
        <v>317</v>
      </c>
      <c r="R77" s="105">
        <f ca="1">IF(R66="1세대1주택",MIN(80%,R$43+MAX(R$41,R$37)),0)</f>
        <v>0</v>
      </c>
      <c r="S77" s="445"/>
      <c r="T77" s="445"/>
      <c r="U77" s="468"/>
      <c r="V77" s="408">
        <f ca="1">IF(V66="1세대1주택",MIN(80%,SUM(V76,V70)),0)</f>
        <v>0</v>
      </c>
      <c r="W77" s="3"/>
      <c r="X77" s="3"/>
      <c r="Y77" s="347" t="s">
        <v>317</v>
      </c>
      <c r="Z77" s="105">
        <f ca="1">IF(Z66="1세대1주택",MIN(80%,Z$43+MAX(Z$41,Z$37)),0)</f>
        <v>0</v>
      </c>
      <c r="AA77" s="445"/>
      <c r="AB77" s="445"/>
      <c r="AC77" s="468"/>
      <c r="AD77" s="408">
        <f ca="1">IF(AD66="1세대1주택",MIN(80%,SUM(AD76,AD70)),0)</f>
        <v>0</v>
      </c>
      <c r="AE77" s="3"/>
      <c r="AF77" s="3"/>
      <c r="AG77" s="347" t="s">
        <v>317</v>
      </c>
      <c r="AH77" s="105">
        <f ca="1">IF(AH66="1세대1주택",MIN(80%,AH$43+MAX(AH$41,AH$37)),0)</f>
        <v>0</v>
      </c>
      <c r="AI77" s="445"/>
      <c r="AJ77" s="445"/>
      <c r="AK77" s="468"/>
      <c r="AL77" s="408">
        <f ca="1">IF(AL66="1세대1주택",MIN(80%,SUM(AL76,AL70)),0)</f>
        <v>0</v>
      </c>
      <c r="AM77" s="3"/>
    </row>
    <row r="78" spans="1:41" ht="16.5" customHeight="1">
      <c r="A78" s="68"/>
      <c r="B78" s="16"/>
      <c r="C78" s="16"/>
      <c r="D78" s="16"/>
      <c r="E78" s="119"/>
      <c r="F78" s="410"/>
      <c r="G78" s="3"/>
      <c r="H78" s="3"/>
      <c r="I78" s="3"/>
      <c r="J78" s="3"/>
      <c r="K78" s="3"/>
      <c r="L78" s="3"/>
      <c r="M78" s="83"/>
      <c r="N78" s="410"/>
      <c r="O78" s="3"/>
      <c r="P78" s="3"/>
      <c r="Q78" s="68"/>
      <c r="R78" s="3"/>
      <c r="S78" s="3"/>
      <c r="T78" s="3"/>
      <c r="U78" s="83"/>
      <c r="V78" s="410"/>
      <c r="W78" s="3"/>
      <c r="X78" s="3"/>
      <c r="Y78" s="68"/>
      <c r="Z78" s="3"/>
      <c r="AA78" s="3"/>
      <c r="AB78" s="3"/>
      <c r="AC78" s="83"/>
      <c r="AD78" s="410"/>
      <c r="AE78" s="3"/>
      <c r="AF78" s="3"/>
      <c r="AG78" s="68"/>
      <c r="AH78" s="3"/>
      <c r="AI78" s="3"/>
      <c r="AJ78" s="3"/>
      <c r="AK78" s="83"/>
      <c r="AL78" s="410"/>
      <c r="AM78" s="3"/>
    </row>
    <row r="79" spans="1:41" ht="16.5" customHeight="1">
      <c r="A79" s="175">
        <f>B65</f>
        <v>2026</v>
      </c>
      <c r="B79" s="16"/>
      <c r="C79" s="16"/>
      <c r="D79" s="16"/>
      <c r="E79" s="119"/>
      <c r="F79" s="411" t="str">
        <f ca="1">B72</f>
        <v>기본세율</v>
      </c>
      <c r="G79" s="3"/>
      <c r="H79" s="3"/>
      <c r="I79" s="216">
        <f>A79+1</f>
        <v>2027</v>
      </c>
      <c r="J79" s="105" t="s">
        <v>299</v>
      </c>
      <c r="K79" s="105" t="s">
        <v>298</v>
      </c>
      <c r="L79" s="105" t="s">
        <v>204</v>
      </c>
      <c r="M79" s="91"/>
      <c r="N79" s="411" t="str">
        <f ca="1">B72</f>
        <v>기본세율</v>
      </c>
      <c r="O79" s="3"/>
      <c r="P79" s="3"/>
      <c r="Q79" s="216">
        <f>I79+1</f>
        <v>2028</v>
      </c>
      <c r="R79" s="105" t="s">
        <v>299</v>
      </c>
      <c r="S79" s="105" t="s">
        <v>298</v>
      </c>
      <c r="T79" s="105" t="s">
        <v>204</v>
      </c>
      <c r="U79" s="91"/>
      <c r="V79" s="400" t="str">
        <f ca="1">$C$4</f>
        <v>3주택</v>
      </c>
      <c r="W79" s="3"/>
      <c r="X79" s="3"/>
      <c r="Y79" s="216">
        <f>Q79+1</f>
        <v>2029</v>
      </c>
      <c r="Z79" s="105" t="s">
        <v>299</v>
      </c>
      <c r="AA79" s="105" t="s">
        <v>298</v>
      </c>
      <c r="AB79" s="105" t="s">
        <v>204</v>
      </c>
      <c r="AC79" s="91"/>
      <c r="AD79" s="400" t="str">
        <f ca="1">$C$4</f>
        <v>3주택</v>
      </c>
      <c r="AE79" s="3"/>
      <c r="AF79" s="3"/>
      <c r="AG79" s="216">
        <f>Y79+1</f>
        <v>2030</v>
      </c>
      <c r="AH79" s="105" t="s">
        <v>299</v>
      </c>
      <c r="AI79" s="105" t="s">
        <v>298</v>
      </c>
      <c r="AJ79" s="105" t="s">
        <v>204</v>
      </c>
      <c r="AK79" s="91"/>
      <c r="AL79" s="400" t="str">
        <f ca="1">$C$4</f>
        <v>3주택</v>
      </c>
      <c r="AM79" s="3"/>
    </row>
    <row r="80" spans="1:41" ht="16.5" customHeight="1">
      <c r="A80" s="177" t="s">
        <v>136</v>
      </c>
      <c r="B80" s="14">
        <f ca="1">SUMPRODUCT($B$11:$E$11,$B$68:$E$68)</f>
        <v>575000000</v>
      </c>
      <c r="C80" s="3"/>
      <c r="D80" s="3"/>
      <c r="E80" s="83"/>
      <c r="F80" s="411">
        <f ca="1">SUMPRODUCT(B23:E23,B68:E68)</f>
        <v>400000000</v>
      </c>
      <c r="G80" s="3"/>
      <c r="H80" s="3"/>
      <c r="I80" s="217" t="s">
        <v>136</v>
      </c>
      <c r="J80" s="218">
        <f ca="1">SUMPRODUCT($J$11:$M$11,$J$68:$M$68)</f>
        <v>661250000</v>
      </c>
      <c r="K80" s="218">
        <f t="shared" ref="K80:L80" ca="1" si="161">SUMPRODUCT($J$11:$M$11,$J$68:$M$68)</f>
        <v>661250000</v>
      </c>
      <c r="L80" s="218">
        <f t="shared" ca="1" si="161"/>
        <v>661250000</v>
      </c>
      <c r="M80" s="91"/>
      <c r="N80" s="411">
        <f ca="1">SUMPRODUCT(J23:M23,J68:M68)</f>
        <v>575000000</v>
      </c>
      <c r="O80" s="3"/>
      <c r="P80" s="3"/>
      <c r="Q80" s="217" t="s">
        <v>136</v>
      </c>
      <c r="R80" s="218">
        <f ca="1">SUMPRODUCT($R$11:$U$11,$R$68:$U$68)</f>
        <v>661250000</v>
      </c>
      <c r="S80" s="218">
        <f ca="1">SUMPRODUCT($R$11:$U$11,$R$68:$U$68)</f>
        <v>661250000</v>
      </c>
      <c r="T80" s="411">
        <f ca="1">SUMPRODUCT(P23:S23,P68:S68)</f>
        <v>661250000</v>
      </c>
      <c r="U80" s="91"/>
      <c r="V80" s="411">
        <f ca="1">SUMPRODUCT(R23:U23,R68:U68)</f>
        <v>661250000</v>
      </c>
      <c r="W80" s="3"/>
      <c r="X80" s="3"/>
      <c r="Y80" s="217" t="s">
        <v>136</v>
      </c>
      <c r="Z80" s="218">
        <f ca="1">SUMPRODUCT($Z$11:$AC$11,$Z$68:$AC$68)</f>
        <v>760437500</v>
      </c>
      <c r="AA80" s="218">
        <f ca="1">SUMPRODUCT($Z$11:$AC$11,$Z$68:$AC$68)</f>
        <v>760437500</v>
      </c>
      <c r="AB80" s="218">
        <f ca="1">SUMPRODUCT($Z$11:$AC$11,$Z$68:$AC$68)</f>
        <v>760437500</v>
      </c>
      <c r="AC80" s="91"/>
      <c r="AD80" s="411">
        <f ca="1">SUMPRODUCT(Z23:AC23,Z68:AC68)</f>
        <v>661250000</v>
      </c>
      <c r="AE80" s="3"/>
      <c r="AF80" s="3"/>
      <c r="AG80" s="217" t="s">
        <v>136</v>
      </c>
      <c r="AH80" s="218">
        <f ca="1">SUMPRODUCT($AH$11:$AK$11,$AH$68:$AK$68)</f>
        <v>768041875</v>
      </c>
      <c r="AI80" s="218">
        <f ca="1">SUMPRODUCT($AH$11:$AK$11,$AH$68:$AK$68)</f>
        <v>768041875</v>
      </c>
      <c r="AJ80" s="218">
        <f ca="1">SUMPRODUCT($AH$11:$AK$11,$AH$68:$AK$68)</f>
        <v>768041875</v>
      </c>
      <c r="AK80" s="91"/>
      <c r="AL80" s="411">
        <f ca="1">SUMPRODUCT(AH23:AK23,AH68:AK68)</f>
        <v>760437500</v>
      </c>
      <c r="AM80" s="3"/>
    </row>
    <row r="81" spans="1:39" ht="16.5" customHeight="1">
      <c r="A81" s="177" t="s">
        <v>139</v>
      </c>
      <c r="B81" s="14">
        <f ca="1">IF(B66="1세대1주택",12*10^8,9*10^8)</f>
        <v>900000000</v>
      </c>
      <c r="C81" s="3"/>
      <c r="D81" s="3"/>
      <c r="E81" s="83"/>
      <c r="F81" s="413">
        <f ca="1">IF(F66="1세대1주택",1200000000,900000000)</f>
        <v>900000000</v>
      </c>
      <c r="G81" s="3"/>
      <c r="H81" s="3"/>
      <c r="I81" s="217" t="s">
        <v>139</v>
      </c>
      <c r="J81" s="218">
        <v>1400000000</v>
      </c>
      <c r="K81" s="218">
        <f ca="1">4*10^8
+500000000
*OFFSET(I11,0,MATCH("거주",J67:M67,0))*OFFSET(I68,0,MATCH("거주",J67:M67,0))
/K80</f>
        <v>400000000</v>
      </c>
      <c r="L81" s="218">
        <f ca="1">4*10^8
+500000000
*OFFSET(I11,0,MATCH("거주",J67:M67,0))*OFFSET(I68,0,MATCH("거주",J67:M67,0))
/L80</f>
        <v>400000000</v>
      </c>
      <c r="M81" s="91"/>
      <c r="N81" s="413">
        <f ca="1">IF(N66="1세대1주택",1200000000,900000000)</f>
        <v>900000000</v>
      </c>
      <c r="O81" s="3"/>
      <c r="P81" s="3"/>
      <c r="Q81" s="217" t="s">
        <v>139</v>
      </c>
      <c r="R81" s="218">
        <v>1400000000</v>
      </c>
      <c r="S81" s="218">
        <f ca="1">4*10^8
+500000000
*OFFSET(Q11,0,MATCH("거주",R67:U67,0))*OFFSET(Q68,0,MATCH("거주",R67:U67,0))
/S80</f>
        <v>400000000</v>
      </c>
      <c r="T81" s="218">
        <f ca="1">4*10^8
+500000000
*OFFSET(Q11,0,MATCH("거주",R67:U67,0))*OFFSET(Q68,0,MATCH("거주",R67:U67,0))
/T80</f>
        <v>400000000</v>
      </c>
      <c r="U81" s="91"/>
      <c r="V81" s="218">
        <f ca="1">4*10^8
+500000000
*OFFSET(I11,0,MATCH("거주",J67:M67,0))*OFFSET(I68,0,MATCH("거주",J67:M67,0))
/V80</f>
        <v>400000000</v>
      </c>
      <c r="W81" s="3"/>
      <c r="X81" s="3"/>
      <c r="Y81" s="217" t="s">
        <v>139</v>
      </c>
      <c r="Z81" s="218">
        <v>1400000000</v>
      </c>
      <c r="AA81" s="218">
        <f ca="1">4*10^8
+500000000
*OFFSET(Y11,0,MATCH("거주",Z67:AC67,0))*OFFSET(Y68,0,MATCH("거주",Z67:AC67,0))
/AA80</f>
        <v>400000000</v>
      </c>
      <c r="AB81" s="218">
        <f ca="1">4*10^8
+500000000
*OFFSET(Y11,0,MATCH("거주",Z67:AC67,0))*OFFSET(Y68,0,MATCH("거주",Z67:AC67,0))
/AB80</f>
        <v>400000000</v>
      </c>
      <c r="AC81" s="91"/>
      <c r="AD81" s="218">
        <f ca="1">4*10^8
+500000000
*OFFSET(Q11,0,MATCH("거주",R67:U67,0))*OFFSET(Q68,0,MATCH("거주",R67:U67,0))
/AD80</f>
        <v>400000000</v>
      </c>
      <c r="AE81" s="3"/>
      <c r="AF81" s="3"/>
      <c r="AG81" s="217" t="s">
        <v>139</v>
      </c>
      <c r="AH81" s="218">
        <v>1400000000</v>
      </c>
      <c r="AI81" s="218">
        <v>900000000</v>
      </c>
      <c r="AJ81" s="218">
        <f ca="1">4*10^8
+500000000
*OFFSET(AG11,0,MATCH("거주",AH67:AK67,0))*OFFSET(AG68,0,MATCH("거주",AH67:AK67,0))
/AJ80</f>
        <v>400000000</v>
      </c>
      <c r="AK81" s="91"/>
      <c r="AL81" s="218">
        <f ca="1">4*10^8
+500000000
*OFFSET(Y11,0,MATCH("거주",Z67:AC67,0))*OFFSET(Y68,0,MATCH("거주",Z67:AC67,0))
/AL80</f>
        <v>400000000</v>
      </c>
      <c r="AM81" s="3"/>
    </row>
    <row r="82" spans="1:39" ht="16.5" customHeight="1">
      <c r="A82" s="177" t="s">
        <v>147</v>
      </c>
      <c r="B82" s="14">
        <f ca="1">IF(B80&gt;B81,B80-B81,0)</f>
        <v>0</v>
      </c>
      <c r="C82" s="3"/>
      <c r="D82" s="3"/>
      <c r="E82" s="83"/>
      <c r="F82" s="415">
        <f ca="1">F80-F81</f>
        <v>-500000000</v>
      </c>
      <c r="G82" s="3"/>
      <c r="H82" s="3"/>
      <c r="I82" s="217" t="s">
        <v>147</v>
      </c>
      <c r="J82" s="117">
        <f t="shared" ref="J82:L82" ca="1" si="162">IF(J80&gt;J81,J80-J81,0)</f>
        <v>0</v>
      </c>
      <c r="K82" s="117">
        <f t="shared" ca="1" si="162"/>
        <v>261250000</v>
      </c>
      <c r="L82" s="117">
        <f t="shared" ca="1" si="162"/>
        <v>261250000</v>
      </c>
      <c r="M82" s="416"/>
      <c r="N82" s="415">
        <f ca="1">N80-N81</f>
        <v>-325000000</v>
      </c>
      <c r="O82" s="3"/>
      <c r="P82" s="3"/>
      <c r="Q82" s="217" t="s">
        <v>147</v>
      </c>
      <c r="R82" s="117">
        <f t="shared" ref="R82:T82" ca="1" si="163">IF(R80&gt;R81,R80-R81,0)</f>
        <v>0</v>
      </c>
      <c r="S82" s="117">
        <f t="shared" ca="1" si="163"/>
        <v>261250000</v>
      </c>
      <c r="T82" s="117">
        <f t="shared" ca="1" si="163"/>
        <v>261250000</v>
      </c>
      <c r="U82" s="416"/>
      <c r="V82" s="415">
        <f ca="1">V80-V81</f>
        <v>261250000</v>
      </c>
      <c r="W82" s="3"/>
      <c r="X82" s="3"/>
      <c r="Y82" s="217" t="s">
        <v>147</v>
      </c>
      <c r="Z82" s="117">
        <f t="shared" ref="Z82:AB82" ca="1" si="164">IF(Z80&gt;Z81,Z80-Z81,0)</f>
        <v>0</v>
      </c>
      <c r="AA82" s="117">
        <f t="shared" ca="1" si="164"/>
        <v>360437500</v>
      </c>
      <c r="AB82" s="117">
        <f t="shared" ca="1" si="164"/>
        <v>360437500</v>
      </c>
      <c r="AC82" s="416"/>
      <c r="AD82" s="415">
        <f ca="1">AD80-AD81</f>
        <v>261250000</v>
      </c>
      <c r="AE82" s="3"/>
      <c r="AF82" s="3"/>
      <c r="AG82" s="217" t="s">
        <v>147</v>
      </c>
      <c r="AH82" s="117">
        <f t="shared" ref="AH82:AJ82" ca="1" si="165">IF(AH80&gt;AH81,AH80-AH81,0)</f>
        <v>0</v>
      </c>
      <c r="AI82" s="117">
        <f t="shared" ca="1" si="165"/>
        <v>0</v>
      </c>
      <c r="AJ82" s="117">
        <f t="shared" ca="1" si="165"/>
        <v>368041875</v>
      </c>
      <c r="AK82" s="416"/>
      <c r="AL82" s="415">
        <f ca="1">AL80-AL81</f>
        <v>360437500</v>
      </c>
      <c r="AM82" s="3"/>
    </row>
    <row r="83" spans="1:39" ht="16.5" customHeight="1">
      <c r="A83" s="177" t="s">
        <v>76</v>
      </c>
      <c r="B83" s="16">
        <v>0.6</v>
      </c>
      <c r="C83" s="3"/>
      <c r="D83" s="3"/>
      <c r="E83" s="83"/>
      <c r="F83" s="417">
        <v>0.6</v>
      </c>
      <c r="G83" s="3"/>
      <c r="H83" s="3"/>
      <c r="I83" s="229" t="s">
        <v>266</v>
      </c>
      <c r="J83" s="230">
        <v>0.7</v>
      </c>
      <c r="K83" s="230">
        <v>0.7</v>
      </c>
      <c r="L83" s="230">
        <v>0.7</v>
      </c>
      <c r="M83" s="91"/>
      <c r="N83" s="417">
        <v>0.6</v>
      </c>
      <c r="O83" s="3"/>
      <c r="P83" s="3"/>
      <c r="Q83" s="231" t="s">
        <v>76</v>
      </c>
      <c r="R83" s="230">
        <v>0.7</v>
      </c>
      <c r="S83" s="230">
        <v>0.7</v>
      </c>
      <c r="T83" s="230">
        <v>0.8</v>
      </c>
      <c r="U83" s="91"/>
      <c r="V83" s="421">
        <f ca="1">OFFSET(I83,0,MATCH(V79,J79:L79,0))</f>
        <v>0.7</v>
      </c>
      <c r="W83" s="3"/>
      <c r="X83" s="3"/>
      <c r="Y83" s="231" t="s">
        <v>76</v>
      </c>
      <c r="Z83" s="230">
        <v>0.7</v>
      </c>
      <c r="AA83" s="230">
        <v>0.7</v>
      </c>
      <c r="AB83" s="230">
        <v>0.8</v>
      </c>
      <c r="AC83" s="91"/>
      <c r="AD83" s="421">
        <f ca="1">OFFSET(Q83,0,MATCH(AD79,R79:T79,0))</f>
        <v>0.8</v>
      </c>
      <c r="AE83" s="3"/>
      <c r="AF83" s="3"/>
      <c r="AG83" s="231" t="s">
        <v>76</v>
      </c>
      <c r="AH83" s="230">
        <v>0.7</v>
      </c>
      <c r="AI83" s="230">
        <v>0.7</v>
      </c>
      <c r="AJ83" s="230">
        <v>0.8</v>
      </c>
      <c r="AK83" s="91"/>
      <c r="AL83" s="421">
        <f ca="1">OFFSET(Y83,0,MATCH(AL79,Z79:AB79,0))</f>
        <v>0.8</v>
      </c>
      <c r="AM83" s="3"/>
    </row>
    <row r="84" spans="1:39" ht="16.5" customHeight="1">
      <c r="A84" s="177" t="s">
        <v>61</v>
      </c>
      <c r="B84" s="91">
        <f ca="1">B82*B83</f>
        <v>0</v>
      </c>
      <c r="C84" s="3"/>
      <c r="D84" s="14"/>
      <c r="E84" s="83"/>
      <c r="F84" s="422">
        <f ca="1">F82*F83</f>
        <v>-300000000</v>
      </c>
      <c r="G84" s="3"/>
      <c r="H84" s="3"/>
      <c r="I84" s="217" t="s">
        <v>61</v>
      </c>
      <c r="J84" s="117">
        <f t="shared" ref="J84:L84" ca="1" si="166">IF(J82&gt;0,J82*J83,0)</f>
        <v>0</v>
      </c>
      <c r="K84" s="117">
        <f t="shared" ca="1" si="166"/>
        <v>182875000</v>
      </c>
      <c r="L84" s="117">
        <f t="shared" ca="1" si="166"/>
        <v>182875000</v>
      </c>
      <c r="M84" s="423"/>
      <c r="N84" s="422">
        <f ca="1">N82*N83</f>
        <v>-195000000</v>
      </c>
      <c r="O84" s="3"/>
      <c r="P84" s="3"/>
      <c r="Q84" s="217" t="s">
        <v>61</v>
      </c>
      <c r="R84" s="117">
        <f t="shared" ref="R84:T84" ca="1" si="167">IF(R82&gt;0,R82*R83,0)</f>
        <v>0</v>
      </c>
      <c r="S84" s="117">
        <f t="shared" ca="1" si="167"/>
        <v>182875000</v>
      </c>
      <c r="T84" s="117">
        <f t="shared" ca="1" si="167"/>
        <v>209000000</v>
      </c>
      <c r="U84" s="423"/>
      <c r="V84" s="422">
        <f ca="1">V82*V83</f>
        <v>182875000</v>
      </c>
      <c r="W84" s="3"/>
      <c r="X84" s="3"/>
      <c r="Y84" s="217" t="s">
        <v>61</v>
      </c>
      <c r="Z84" s="117">
        <f t="shared" ref="Z84:AB84" ca="1" si="168">IF(Z82&gt;0,Z82*Z83,0)</f>
        <v>0</v>
      </c>
      <c r="AA84" s="117">
        <f t="shared" ca="1" si="168"/>
        <v>252306249.99999997</v>
      </c>
      <c r="AB84" s="117">
        <f t="shared" ca="1" si="168"/>
        <v>288350000</v>
      </c>
      <c r="AC84" s="423"/>
      <c r="AD84" s="422">
        <f ca="1">AD82*AD83</f>
        <v>209000000</v>
      </c>
      <c r="AE84" s="3"/>
      <c r="AF84" s="3"/>
      <c r="AG84" s="217" t="s">
        <v>61</v>
      </c>
      <c r="AH84" s="117">
        <f t="shared" ref="AH84:AJ84" ca="1" si="169">IF(AH82&gt;0,AH82*AH83,0)</f>
        <v>0</v>
      </c>
      <c r="AI84" s="117">
        <f t="shared" ca="1" si="169"/>
        <v>0</v>
      </c>
      <c r="AJ84" s="117">
        <f t="shared" ca="1" si="169"/>
        <v>294433500</v>
      </c>
      <c r="AK84" s="423"/>
      <c r="AL84" s="422">
        <f ca="1">AL82*AL83</f>
        <v>288350000</v>
      </c>
      <c r="AM84" s="3"/>
    </row>
    <row r="85" spans="1:39" ht="16.5" customHeight="1">
      <c r="A85" s="177" t="s">
        <v>62</v>
      </c>
      <c r="B85" s="423">
        <f t="array" aca="1" ref="B85" ca="1">IF(B72="기본세율",
INDEX(t!$M$3:$M$9,MATCH(TRUE,B84&lt;=t!$L$3:$L$9,0)),
INDEX(t!$O$3:$O$9,MATCH(TRUE,B84&lt;=t!$L$3:$L$9,0)))</f>
        <v>5.0000000000000001E-3</v>
      </c>
      <c r="C85" s="3"/>
      <c r="D85" s="3"/>
      <c r="E85" s="83"/>
      <c r="F85" s="424">
        <f t="array" aca="1" ref="F85" ca="1">IF(F79="기본세율",
INDEX(t!$M$3:$M$9,MATCH(TRUE,F84&lt;=t!$L$3:$L$9,0)),
INDEX(t!$O$3:$O$9,MATCH(TRUE,F84&lt;=t!$L$3:$L$9,0)))</f>
        <v>5.0000000000000001E-3</v>
      </c>
      <c r="G85" s="3"/>
      <c r="H85" s="3"/>
      <c r="I85" s="217" t="s">
        <v>62</v>
      </c>
      <c r="J85" s="219">
        <f t="array" aca="1" ref="J85" ca="1">INDEX(t!$M$13:$M$19,MATCH(TRUE,J84&lt;=t!$L$13:$L$19,0))</f>
        <v>5.0000000000000001E-3</v>
      </c>
      <c r="K85" s="219">
        <f t="array" aca="1" ref="K85" ca="1">INDEX(t!$M$13:$M$19,MATCH(TRUE,K84&lt;=t!$L$13:$L$19,0))</f>
        <v>5.0000000000000001E-3</v>
      </c>
      <c r="L85" s="219">
        <f t="array" aca="1" ref="L85" ca="1">INDEX(t!$O$13:$O$19,MATCH(TRUE,L84&lt;=t!$L$13:$L$19,0))</f>
        <v>5.0000000000000001E-3</v>
      </c>
      <c r="M85" s="91"/>
      <c r="N85" s="424">
        <f t="array" aca="1" ref="N85" ca="1">IF(N79="기본세율",
INDEX(t!$M$3:$M$9,MATCH(TRUE,N84&lt;=t!$L$3:$L$9,0)),
INDEX(t!$O$3:$O$9,MATCH(TRUE,N84&lt;=t!$L$3:$L$9,0)))</f>
        <v>5.0000000000000001E-3</v>
      </c>
      <c r="O85" s="3"/>
      <c r="P85" s="3"/>
      <c r="Q85" s="217" t="s">
        <v>62</v>
      </c>
      <c r="R85" s="425">
        <f t="array" aca="1" ref="R85" ca="1">INDEX(t!$M$23:$M$29,MATCH(TRUE,R84&lt;=t!$L$23:$L$29,0))</f>
        <v>5.0000000000000001E-3</v>
      </c>
      <c r="S85" s="425">
        <f t="array" aca="1" ref="S85" ca="1">INDEX(t!$M$23:$M$29,MATCH(TRUE,S84&lt;=t!$L$23:$L$29,0))</f>
        <v>5.0000000000000001E-3</v>
      </c>
      <c r="T85" s="425">
        <f t="array" aca="1" ref="T85" ca="1">INDEX(t!$M$23:$M$29,MATCH(TRUE,T84&lt;=t!$L$23:$L$29,0))</f>
        <v>5.0000000000000001E-3</v>
      </c>
      <c r="U85" s="91"/>
      <c r="V85" s="219">
        <f t="array" aca="1" ref="V85" ca="1">INDEX(t!$O$13:$O$19,MATCH(TRUE,V84&lt;=t!$L$13:$L$19,0))</f>
        <v>5.0000000000000001E-3</v>
      </c>
      <c r="W85" s="3"/>
      <c r="X85" s="3"/>
      <c r="Y85" s="217" t="s">
        <v>62</v>
      </c>
      <c r="Z85" s="425">
        <f t="array" aca="1" ref="Z85" ca="1">INDEX(t!$M$23:$M$29,MATCH(TRUE,Z84&lt;=t!$L$23:$L$29,0))</f>
        <v>5.0000000000000001E-3</v>
      </c>
      <c r="AA85" s="425">
        <f t="array" aca="1" ref="AA85" ca="1">INDEX(t!$M$23:$M$29,MATCH(TRUE,AA84&lt;=t!$L$23:$L$29,0))</f>
        <v>5.0000000000000001E-3</v>
      </c>
      <c r="AB85" s="425">
        <f t="array" aca="1" ref="AB85" ca="1">INDEX(t!$M$23:$M$29,MATCH(TRUE,AB84&lt;=t!$L$23:$L$29,0))</f>
        <v>5.0000000000000001E-3</v>
      </c>
      <c r="AC85" s="91"/>
      <c r="AD85" s="425">
        <f t="array" aca="1" ref="AD85" ca="1">INDEX(t!$M$23:$M$29,MATCH(TRUE,AD84&lt;=t!$L$23:$L$29,0))</f>
        <v>5.0000000000000001E-3</v>
      </c>
      <c r="AE85" s="3"/>
      <c r="AF85" s="3"/>
      <c r="AG85" s="217" t="s">
        <v>62</v>
      </c>
      <c r="AH85" s="425">
        <f t="array" aca="1" ref="AH85" ca="1">INDEX(t!$M$23:$M$29,MATCH(TRUE,AH84&lt;=t!$L$23:$L$29,0))</f>
        <v>5.0000000000000001E-3</v>
      </c>
      <c r="AI85" s="425">
        <f t="array" aca="1" ref="AI85" ca="1">INDEX(t!$M$23:$M$29,MATCH(TRUE,AI84&lt;=t!$L$23:$L$29,0))</f>
        <v>5.0000000000000001E-3</v>
      </c>
      <c r="AJ85" s="425">
        <f t="array" aca="1" ref="AJ85" ca="1">INDEX(t!$M$23:$M$29,MATCH(TRUE,AJ84&lt;=t!$L$23:$L$29,0))</f>
        <v>5.0000000000000001E-3</v>
      </c>
      <c r="AK85" s="91"/>
      <c r="AL85" s="425">
        <f t="array" aca="1" ref="AL85" ca="1">INDEX(t!$M$23:$M$29,MATCH(TRUE,AL84&lt;=t!$L$23:$L$29,0))</f>
        <v>5.0000000000000001E-3</v>
      </c>
      <c r="AM85" s="3"/>
    </row>
    <row r="86" spans="1:39" ht="16.5" customHeight="1">
      <c r="A86" s="177" t="s">
        <v>161</v>
      </c>
      <c r="B86" s="91">
        <f ca="1">B84*B85-VLOOKUP(B85,IF(B72="기본세율",t!$M$2:$N$9,t!$O$2:$P$9),2,0)</f>
        <v>0</v>
      </c>
      <c r="C86" s="3"/>
      <c r="D86" s="3"/>
      <c r="E86" s="83"/>
      <c r="F86" s="422">
        <f ca="1">F84*F85-VLOOKUP(F85,IF(F79="기본세율",t!$M$2:$N$9,t!$O$2:$P$9),2,0)</f>
        <v>-1500000</v>
      </c>
      <c r="G86" s="3"/>
      <c r="H86" s="3"/>
      <c r="I86" s="217" t="s">
        <v>161</v>
      </c>
      <c r="J86" s="117">
        <f ca="1">J84*J85-VLOOKUP(J85,t!$M$13:$N$19,2,0)</f>
        <v>0</v>
      </c>
      <c r="K86" s="117">
        <f ca="1">K84*K85-VLOOKUP(K85,t!$M$13:$N$19,2,0)</f>
        <v>914375</v>
      </c>
      <c r="L86" s="117">
        <f ca="1">L84*L85-VLOOKUP(L85,t!$O$13:$P$19,2,0)</f>
        <v>914375</v>
      </c>
      <c r="M86" s="427"/>
      <c r="N86" s="422">
        <f ca="1">N84*N85-VLOOKUP(N85,IF(N79="기본세율",t!$M$2:$N$9,t!$O$2:$P$9),2,0)</f>
        <v>-975000</v>
      </c>
      <c r="O86" s="3"/>
      <c r="P86" s="3"/>
      <c r="Q86" s="217" t="s">
        <v>161</v>
      </c>
      <c r="R86" s="344">
        <f ca="1">R84*R85-VLOOKUP(R85,t!$M$22:$N$29,2,0)</f>
        <v>0</v>
      </c>
      <c r="S86" s="344">
        <f ca="1">S84*S85-VLOOKUP(S85,t!$M$22:$N$29,2,0)</f>
        <v>914375</v>
      </c>
      <c r="T86" s="344">
        <f ca="1">T84*T85-VLOOKUP(T85,t!$M$22:$N$29,2,0)</f>
        <v>1045000</v>
      </c>
      <c r="U86" s="427"/>
      <c r="V86" s="117">
        <f ca="1">V84*V85-VLOOKUP(V85,t!$O$13:$P$19,2,0)</f>
        <v>914375</v>
      </c>
      <c r="W86" s="3"/>
      <c r="X86" s="3"/>
      <c r="Y86" s="217" t="s">
        <v>161</v>
      </c>
      <c r="Z86" s="344">
        <f ca="1">Z84*Z85-VLOOKUP(Z85,t!$M$22:$N$29,2,0)</f>
        <v>0</v>
      </c>
      <c r="AA86" s="344">
        <f ca="1">AA84*AA85-VLOOKUP(AA85,t!$M$22:$N$29,2,0)</f>
        <v>1261531.2499999998</v>
      </c>
      <c r="AB86" s="344">
        <f ca="1">AB84*AB85-VLOOKUP(AB85,t!$M$22:$N$29,2,0)</f>
        <v>1441750</v>
      </c>
      <c r="AC86" s="427"/>
      <c r="AD86" s="344">
        <f ca="1">AD84*AD85-VLOOKUP(AD85,t!$M$22:$N$29,2,0)</f>
        <v>1045000</v>
      </c>
      <c r="AE86" s="3"/>
      <c r="AF86" s="3"/>
      <c r="AG86" s="217" t="s">
        <v>161</v>
      </c>
      <c r="AH86" s="344">
        <f ca="1">AH84*AH85-VLOOKUP(AH85,t!$M$22:$N$29,2,0)</f>
        <v>0</v>
      </c>
      <c r="AI86" s="344">
        <f ca="1">AI84*AI85-VLOOKUP(AI85,t!$M$22:$N$29,2,0)</f>
        <v>0</v>
      </c>
      <c r="AJ86" s="344">
        <f ca="1">AJ84*AJ85-VLOOKUP(AJ85,t!$M$22:$N$29,2,0)</f>
        <v>1472167.5</v>
      </c>
      <c r="AK86" s="427"/>
      <c r="AL86" s="344">
        <f ca="1">AL84*AL85-VLOOKUP(AL85,t!$M$22:$N$29,2,0)</f>
        <v>1441750</v>
      </c>
      <c r="AM86" s="3"/>
    </row>
    <row r="87" spans="1:39" ht="16.5" customHeight="1">
      <c r="A87" s="177" t="s">
        <v>162</v>
      </c>
      <c r="B87" s="427">
        <f ca="1">SUMPRODUCT($B$16:$E$16,B68:E68)
*(B84*60%*0.4%)
/(B80*0.6*0.4%-630000)</f>
        <v>0</v>
      </c>
      <c r="C87" s="78"/>
      <c r="D87" s="79"/>
      <c r="E87" s="431"/>
      <c r="F87" s="427">
        <f ca="1">G26
*(F84*60%*0.4%)
/(F80*0.6*0.4%-630000)</f>
        <v>-1407272.7272727273</v>
      </c>
      <c r="G87" s="3"/>
      <c r="H87" s="3"/>
      <c r="I87" s="217" t="s">
        <v>162</v>
      </c>
      <c r="J87" s="427">
        <f ca="1">SUMPRODUCT($J$16:$M$16,$J$68:$M$68)
*(J84*60%*0.4%)
/(J80*0.6*0.4%-630000)</f>
        <v>0</v>
      </c>
      <c r="K87" s="427">
        <f ca="1">SUMPRODUCT($J$16:$M$16,$J$68:$M$68)
*(K84*60%*0.4%)
/(K80*0.6*0.4%-630000)</f>
        <v>524822.58620689658</v>
      </c>
      <c r="L87" s="427">
        <f ca="1">SUMPRODUCT($J$16:$M$16,$J$68:$M$68)
*(L84*60%*0.4%)
/(L80*0.6*0.4%-630000)</f>
        <v>524822.58620689658</v>
      </c>
      <c r="M87" s="338"/>
      <c r="N87" s="429">
        <f ca="1">O26
*(N84*60%*0.4%)
/(N80*0.6*0.4%-630000)</f>
        <v>-664560</v>
      </c>
      <c r="O87" s="334"/>
      <c r="P87" s="3"/>
      <c r="Q87" s="217" t="s">
        <v>162</v>
      </c>
      <c r="R87" s="427">
        <f ca="1">SUMPRODUCT($R$16:$U$16,$R$68:$U$68)
*(R84*60%*0.4%)
/(R80*0.6*0.4%-630000)</f>
        <v>0</v>
      </c>
      <c r="S87" s="427">
        <f ca="1">SUMPRODUCT($R$16:$U$16,$R$68:$U$68)
*(S84*60%*0.4%)
/(S80*0.6*0.4%-630000)</f>
        <v>583365.51724137936</v>
      </c>
      <c r="T87" s="427">
        <f ca="1">SUMPRODUCT($R$16:$U$16,$R$68:$U$68)
*(T84*60%*0.4%)
/(T80*0.6*0.4%-630000)</f>
        <v>666703.44827586203</v>
      </c>
      <c r="U87" s="338"/>
      <c r="V87" s="427">
        <f ca="1">W26
*(V84*60%*0.4%)
/(V80*0.6*0.4%-630000)</f>
        <v>583365.51724137936</v>
      </c>
      <c r="W87" s="3"/>
      <c r="X87" s="3"/>
      <c r="Y87" s="217" t="s">
        <v>162</v>
      </c>
      <c r="Z87" s="427">
        <f ca="1">SUMPRODUCT($Z$16:$AC$16,$Z$68:$AC$68)
*(Z84*60%*0.4%)
/(Z80*0.6*0.4%-630000)</f>
        <v>0</v>
      </c>
      <c r="AA87" s="427">
        <f ca="1">SUMPRODUCT($Z$16:$AC$16,$Z$68:$AC$68)
*(AA84*60%*0.4%)
/(AA80*0.6*0.4%-630000)</f>
        <v>690763.65222166432</v>
      </c>
      <c r="AB87" s="427">
        <f ca="1">SUMPRODUCT($Z$16:$AC$16,$Z$68:$AC$68)
*(AB84*60%*0.4%)
/(AB80*0.6*0.4%-630000)</f>
        <v>789444.1739676164</v>
      </c>
      <c r="AC87" s="338"/>
      <c r="AD87" s="427">
        <f ca="1">AE26
*(AD84*60%*0.4%)
/(AD80*0.6*0.4%-630000)</f>
        <v>666703.44827586203</v>
      </c>
      <c r="AE87" s="3"/>
      <c r="AF87" s="3"/>
      <c r="AG87" s="217" t="s">
        <v>162</v>
      </c>
      <c r="AH87" s="427">
        <f ca="1">SUMPRODUCT($AH$16:$AK$16,$AH$68:$AK$68)
*(AH84*60%*0.4%)
/(AH80*0.6*0.4%-630000)</f>
        <v>0</v>
      </c>
      <c r="AI87" s="427">
        <f ca="1">SUMPRODUCT($AH$16:$AK$16,$AH$68:$AK$68)
*(AI84*60%*0.4%)
/(AI80*0.6*0.4%-630000)</f>
        <v>0</v>
      </c>
      <c r="AJ87" s="427">
        <f ca="1">SUMPRODUCT($AH$16:$AK$16,$AH$68:$AK$68)
*(AJ84*60%*0.4%)
/(AJ80*0.6*0.4%-630000)</f>
        <v>890100.08373045269</v>
      </c>
      <c r="AK87" s="338"/>
      <c r="AL87" s="427">
        <f ca="1">AM26
*(AL84*60%*0.4%)
/(AL80*0.6*0.4%-630000)</f>
        <v>874452.95343291073</v>
      </c>
      <c r="AM87" s="3"/>
    </row>
    <row r="88" spans="1:39" ht="16.5" customHeight="1">
      <c r="A88" s="177" t="s">
        <v>63</v>
      </c>
      <c r="B88" s="338">
        <f ca="1">B86-B87</f>
        <v>0</v>
      </c>
      <c r="C88" s="14"/>
      <c r="D88" s="3"/>
      <c r="E88" s="83"/>
      <c r="F88" s="430">
        <f ca="1">F86-F87</f>
        <v>-92727.272727272706</v>
      </c>
      <c r="G88" s="3"/>
      <c r="H88" s="3"/>
      <c r="I88" s="217" t="s">
        <v>63</v>
      </c>
      <c r="J88" s="117">
        <f t="shared" ref="J88:L88" ca="1" si="170">IF(J86-J87&lt;0,0,J86-J87)</f>
        <v>0</v>
      </c>
      <c r="K88" s="117">
        <f t="shared" ca="1" si="170"/>
        <v>389552.41379310342</v>
      </c>
      <c r="L88" s="117">
        <f t="shared" ca="1" si="170"/>
        <v>389552.41379310342</v>
      </c>
      <c r="M88" s="431"/>
      <c r="N88" s="430">
        <f ca="1">N86-N87</f>
        <v>-310440</v>
      </c>
      <c r="O88" s="3"/>
      <c r="P88" s="3"/>
      <c r="Q88" s="217" t="s">
        <v>63</v>
      </c>
      <c r="R88" s="117">
        <f t="shared" ref="R88:T88" ca="1" si="171">IF(R86-R87&lt;0,0,R86-R87)</f>
        <v>0</v>
      </c>
      <c r="S88" s="117">
        <f t="shared" ca="1" si="171"/>
        <v>331009.48275862064</v>
      </c>
      <c r="T88" s="117">
        <f t="shared" ca="1" si="171"/>
        <v>378296.55172413797</v>
      </c>
      <c r="U88" s="431"/>
      <c r="V88" s="430">
        <f ca="1">V86-V87</f>
        <v>331009.48275862064</v>
      </c>
      <c r="W88" s="3"/>
      <c r="X88" s="3"/>
      <c r="Y88" s="217" t="s">
        <v>63</v>
      </c>
      <c r="Z88" s="117">
        <f t="shared" ref="Z88:AB88" ca="1" si="172">IF(Z86-Z87&lt;0,0,Z86-Z87)</f>
        <v>0</v>
      </c>
      <c r="AA88" s="117">
        <f t="shared" ca="1" si="172"/>
        <v>570767.59777833545</v>
      </c>
      <c r="AB88" s="117">
        <f t="shared" ca="1" si="172"/>
        <v>652305.8260323836</v>
      </c>
      <c r="AC88" s="431"/>
      <c r="AD88" s="430">
        <f ca="1">AD86-AD87</f>
        <v>378296.55172413797</v>
      </c>
      <c r="AE88" s="3"/>
      <c r="AF88" s="3"/>
      <c r="AG88" s="217" t="s">
        <v>63</v>
      </c>
      <c r="AH88" s="117">
        <f t="shared" ref="AH88:AJ88" ca="1" si="173">IF(AH86-AH87&lt;0,0,AH86-AH87)</f>
        <v>0</v>
      </c>
      <c r="AI88" s="117">
        <f t="shared" ca="1" si="173"/>
        <v>0</v>
      </c>
      <c r="AJ88" s="117">
        <f t="shared" ca="1" si="173"/>
        <v>582067.41626954731</v>
      </c>
      <c r="AK88" s="431"/>
      <c r="AL88" s="430">
        <f ca="1">AL86-AL87</f>
        <v>567297.04656708927</v>
      </c>
      <c r="AM88" s="3"/>
    </row>
    <row r="89" spans="1:39" ht="16.5" customHeight="1">
      <c r="A89" s="177" t="s">
        <v>259</v>
      </c>
      <c r="B89" s="431">
        <f ca="1">B88*B77</f>
        <v>0</v>
      </c>
      <c r="C89" s="14"/>
      <c r="D89" s="3"/>
      <c r="E89" s="83"/>
      <c r="F89" s="432">
        <f ca="1">F88*F77</f>
        <v>0</v>
      </c>
      <c r="G89" s="3"/>
      <c r="H89" s="3"/>
      <c r="I89" s="229" t="s">
        <v>304</v>
      </c>
      <c r="J89" s="433">
        <f ca="1">MIN(8000000,J88*J77)</f>
        <v>0</v>
      </c>
      <c r="K89" s="433">
        <f t="shared" ref="K89" ca="1" si="174">MIN(8000000,K88*K77)</f>
        <v>0</v>
      </c>
      <c r="L89" s="433">
        <f t="shared" ref="L89" ca="1" si="175">MIN(8000000,L88*L77)</f>
        <v>0</v>
      </c>
      <c r="M89" s="427"/>
      <c r="N89" s="432">
        <f ca="1">N88*N77</f>
        <v>0</v>
      </c>
      <c r="O89" s="3"/>
      <c r="P89" s="3"/>
      <c r="Q89" s="229" t="s">
        <v>304</v>
      </c>
      <c r="R89" s="434">
        <f ca="1">MIN(6000000,R88*R77)</f>
        <v>0</v>
      </c>
      <c r="S89" s="434">
        <f ca="1">MIN(6000000,S88*S77)</f>
        <v>0</v>
      </c>
      <c r="T89" s="434">
        <f ca="1">MIN(6000000,T88*T77)</f>
        <v>0</v>
      </c>
      <c r="U89" s="427"/>
      <c r="V89" s="434">
        <f ca="1">MIN(6000000,V88*V77)</f>
        <v>0</v>
      </c>
      <c r="W89" s="3"/>
      <c r="X89" s="3"/>
      <c r="Y89" s="229" t="s">
        <v>304</v>
      </c>
      <c r="Z89" s="433">
        <f ca="1">MIN(8000000,Z88*Z77)</f>
        <v>0</v>
      </c>
      <c r="AA89" s="433">
        <f t="shared" ref="AA89" ca="1" si="176">MIN(8000000,AA88*AA77)</f>
        <v>0</v>
      </c>
      <c r="AB89" s="433">
        <f t="shared" ref="AB89" ca="1" si="177">MIN(8000000,AB88*AB77)</f>
        <v>0</v>
      </c>
      <c r="AC89" s="427"/>
      <c r="AD89" s="432">
        <f ca="1">AD88*AD77</f>
        <v>0</v>
      </c>
      <c r="AE89" s="3"/>
      <c r="AF89" s="3"/>
      <c r="AG89" s="229" t="s">
        <v>304</v>
      </c>
      <c r="AH89" s="433">
        <f ca="1">MIN(8000000,AH88*AH77)</f>
        <v>0</v>
      </c>
      <c r="AI89" s="433">
        <f t="shared" ref="AI89" ca="1" si="178">MIN(8000000,AI88*AI77)</f>
        <v>0</v>
      </c>
      <c r="AJ89" s="433">
        <f t="shared" ref="AJ89" ca="1" si="179">MIN(8000000,AJ88*AJ77)</f>
        <v>0</v>
      </c>
      <c r="AK89" s="427"/>
      <c r="AL89" s="432">
        <f ca="1">AL88*AL77</f>
        <v>0</v>
      </c>
      <c r="AM89" s="3"/>
    </row>
    <row r="90" spans="1:39" ht="16.5" customHeight="1" thickBot="1">
      <c r="A90" s="177" t="s">
        <v>260</v>
      </c>
      <c r="B90" s="427">
        <f ca="1">B88-B89</f>
        <v>0</v>
      </c>
      <c r="D90" s="3"/>
      <c r="E90" s="83"/>
      <c r="F90" s="436">
        <f ca="1">F88-F89</f>
        <v>-92727.272727272706</v>
      </c>
      <c r="G90" s="3"/>
      <c r="H90" s="3"/>
      <c r="I90" s="229" t="s">
        <v>305</v>
      </c>
      <c r="J90" s="228">
        <f ca="1">J88-J89</f>
        <v>0</v>
      </c>
      <c r="K90" s="228">
        <f t="shared" ref="K90" ca="1" si="180">K88-K89</f>
        <v>389552.41379310342</v>
      </c>
      <c r="L90" s="228">
        <f t="shared" ref="L90" ca="1" si="181">L88-L89</f>
        <v>389552.41379310342</v>
      </c>
      <c r="M90" s="338"/>
      <c r="N90" s="436">
        <f ca="1">N88-N89</f>
        <v>-310440</v>
      </c>
      <c r="O90" s="3"/>
      <c r="P90" s="3"/>
      <c r="Q90" s="229" t="s">
        <v>305</v>
      </c>
      <c r="R90" s="228">
        <f ca="1">R88-R89</f>
        <v>0</v>
      </c>
      <c r="S90" s="228">
        <f t="shared" ref="S90" ca="1" si="182">S88-S89</f>
        <v>331009.48275862064</v>
      </c>
      <c r="T90" s="228">
        <f t="shared" ref="T90" ca="1" si="183">T88-T89</f>
        <v>378296.55172413797</v>
      </c>
      <c r="U90" s="338"/>
      <c r="V90" s="436">
        <f ca="1">V88-V89</f>
        <v>331009.48275862064</v>
      </c>
      <c r="W90" s="3"/>
      <c r="X90" s="3"/>
      <c r="Y90" s="229" t="s">
        <v>305</v>
      </c>
      <c r="Z90" s="228">
        <f ca="1">Z88-Z89</f>
        <v>0</v>
      </c>
      <c r="AA90" s="228">
        <f t="shared" ref="AA90" ca="1" si="184">AA88-AA89</f>
        <v>570767.59777833545</v>
      </c>
      <c r="AB90" s="228">
        <f t="shared" ref="AB90" ca="1" si="185">AB88-AB89</f>
        <v>652305.8260323836</v>
      </c>
      <c r="AC90" s="338"/>
      <c r="AD90" s="436">
        <f ca="1">AD88-AD89</f>
        <v>378296.55172413797</v>
      </c>
      <c r="AE90" s="3"/>
      <c r="AF90" s="3"/>
      <c r="AG90" s="229" t="s">
        <v>305</v>
      </c>
      <c r="AH90" s="228">
        <f ca="1">AH88-AH89</f>
        <v>0</v>
      </c>
      <c r="AI90" s="228">
        <f t="shared" ref="AI90" ca="1" si="186">AI88-AI89</f>
        <v>0</v>
      </c>
      <c r="AJ90" s="228">
        <f t="shared" ref="AJ90" ca="1" si="187">AJ88-AJ89</f>
        <v>582067.41626954731</v>
      </c>
      <c r="AK90" s="338"/>
      <c r="AL90" s="436">
        <f ca="1">AL88-AL89</f>
        <v>567297.04656708927</v>
      </c>
      <c r="AM90" s="3"/>
    </row>
    <row r="91" spans="1:39" ht="16.5" customHeight="1" thickBot="1">
      <c r="A91" s="177" t="s">
        <v>163</v>
      </c>
      <c r="B91" s="338">
        <f ca="1">MAX(SUMPRODUCT(B16:E16,B68:E68)+B90-$G$28,0)</f>
        <v>0</v>
      </c>
      <c r="C91" s="14"/>
      <c r="D91" s="14"/>
      <c r="E91" s="3"/>
      <c r="F91" s="3"/>
      <c r="G91" s="3"/>
      <c r="H91" s="3"/>
      <c r="I91" s="345" t="s">
        <v>163</v>
      </c>
      <c r="J91" s="338">
        <f ca="1">MAX(SUMPRODUCT($J$16:$M$16,$J$68:$M$68)+J90-$O$28,0)</f>
        <v>0</v>
      </c>
      <c r="K91" s="338">
        <f ca="1">MAX(SUMPRODUCT($J$16:$M$16,$J$68:$M$68)+K90-$O$28,0)</f>
        <v>24782.413793103304</v>
      </c>
      <c r="L91" s="338">
        <f ca="1">MAX(SUMPRODUCT($J$16:$M$16,$J$68:$M$68)+L90-$O$28,0)</f>
        <v>24782.413793103304</v>
      </c>
      <c r="M91" s="338"/>
      <c r="N91" s="3"/>
      <c r="O91" s="3"/>
      <c r="P91" s="3"/>
      <c r="Q91" s="224" t="s">
        <v>163</v>
      </c>
      <c r="R91" s="338">
        <f ca="1">MAX(SUMPRODUCT($R$16:$U$16,$R$68:$U$68)+R90-$W$28,0)</f>
        <v>0</v>
      </c>
      <c r="S91" s="338">
        <f ca="1">MAX(SUMPRODUCT($R$16:$U$16,$R$68:$U$68)+S90-$W$28,0)</f>
        <v>0</v>
      </c>
      <c r="T91" s="338">
        <f ca="1">MAX(SUMPRODUCT($R$16:$U$16,$R$68:$U$68)+T90-$W$28,0)</f>
        <v>0</v>
      </c>
      <c r="U91" s="338"/>
      <c r="V91" s="3"/>
      <c r="W91" s="3"/>
      <c r="X91" s="3"/>
      <c r="Y91" s="224" t="s">
        <v>163</v>
      </c>
      <c r="Z91" s="338">
        <f ca="1">MAX(SUMPRODUCT($Z$16:$AC$16,$Z$68:$AC$68)+Z90-$AE$28,0)</f>
        <v>0</v>
      </c>
      <c r="AA91" s="338">
        <f ca="1">MAX(SUMPRODUCT($Z$16:$AC$16,$Z$68:$AC$68)+AA90-$AE$28,0)</f>
        <v>0</v>
      </c>
      <c r="AB91" s="338">
        <f ca="1">MAX(SUMPRODUCT($Z$16:$AC$16,$Z$68:$AC$68)+AB90-$AE$28,0)</f>
        <v>0</v>
      </c>
      <c r="AC91" s="338"/>
      <c r="AD91" s="3"/>
      <c r="AE91" s="3"/>
      <c r="AF91" s="3"/>
      <c r="AG91" s="224" t="s">
        <v>163</v>
      </c>
      <c r="AH91" s="338">
        <f ca="1">MAX(SUMPRODUCT($AH$16:$AK$16,$AH$68:$AK$68)+AH90-$AM$28,0)</f>
        <v>0</v>
      </c>
      <c r="AI91" s="338">
        <f ca="1">MAX(SUMPRODUCT($AH$16:$AK$16,$AH$68:$AK$68)+AI90-$AM$28,0)</f>
        <v>0</v>
      </c>
      <c r="AJ91" s="338">
        <f ca="1">MAX(SUMPRODUCT($AH$16:$AK$16,$AH$68:$AK$68)+AJ90-$AM$28,0)</f>
        <v>0</v>
      </c>
      <c r="AK91" s="338"/>
      <c r="AL91" s="3"/>
      <c r="AM91" s="3"/>
    </row>
    <row r="92" spans="1:39" ht="16.5" customHeight="1" thickBot="1">
      <c r="A92" s="187" t="s">
        <v>165</v>
      </c>
      <c r="B92" s="339">
        <f ca="1">B90-B91</f>
        <v>0</v>
      </c>
      <c r="C92" s="14"/>
      <c r="D92" s="3"/>
      <c r="E92" s="3"/>
      <c r="F92" s="3"/>
      <c r="G92" s="3"/>
      <c r="H92" s="3"/>
      <c r="I92" s="221" t="s">
        <v>165</v>
      </c>
      <c r="J92" s="222">
        <f ca="1">J90-J91</f>
        <v>0</v>
      </c>
      <c r="K92" s="222">
        <f t="shared" ref="K92" ca="1" si="188">K90-K91</f>
        <v>364770.00000000012</v>
      </c>
      <c r="L92" s="223">
        <f t="shared" ref="L92" ca="1" si="189">L90-L91</f>
        <v>364770.00000000012</v>
      </c>
      <c r="M92" s="14"/>
      <c r="N92" s="3"/>
      <c r="O92" s="3"/>
      <c r="P92" s="3"/>
      <c r="Q92" s="221" t="s">
        <v>165</v>
      </c>
      <c r="R92" s="222">
        <f ca="1">R90-R91</f>
        <v>0</v>
      </c>
      <c r="S92" s="222">
        <f t="shared" ref="S92" ca="1" si="190">S90-S91</f>
        <v>331009.48275862064</v>
      </c>
      <c r="T92" s="223">
        <f t="shared" ref="T92" ca="1" si="191">T90-T91</f>
        <v>378296.55172413797</v>
      </c>
      <c r="U92" s="14"/>
      <c r="V92" s="3"/>
      <c r="W92" s="3"/>
      <c r="X92" s="3"/>
      <c r="Y92" s="221" t="s">
        <v>165</v>
      </c>
      <c r="Z92" s="222">
        <f ca="1">Z90-Z91</f>
        <v>0</v>
      </c>
      <c r="AA92" s="222">
        <f t="shared" ref="AA92" ca="1" si="192">AA90-AA91</f>
        <v>570767.59777833545</v>
      </c>
      <c r="AB92" s="223">
        <f t="shared" ref="AB92" ca="1" si="193">AB90-AB91</f>
        <v>652305.8260323836</v>
      </c>
      <c r="AC92" s="14"/>
      <c r="AD92" s="3"/>
      <c r="AE92" s="3"/>
      <c r="AF92" s="3"/>
      <c r="AG92" s="221" t="s">
        <v>165</v>
      </c>
      <c r="AH92" s="222">
        <f ca="1">AH90-AH91</f>
        <v>0</v>
      </c>
      <c r="AI92" s="222">
        <f t="shared" ref="AI92" ca="1" si="194">AI90-AI91</f>
        <v>0</v>
      </c>
      <c r="AJ92" s="223">
        <f t="shared" ref="AJ92" ca="1" si="195">AJ90-AJ91</f>
        <v>582067.41626954731</v>
      </c>
      <c r="AK92" s="14"/>
      <c r="AL92" s="3"/>
      <c r="AM92" s="3"/>
    </row>
    <row r="93" spans="1:39" ht="16.5" customHeight="1" thickBot="1">
      <c r="A93" s="177" t="s">
        <v>53</v>
      </c>
      <c r="B93" s="14">
        <f ca="1">B92*0.2</f>
        <v>0</v>
      </c>
      <c r="C93" s="3"/>
      <c r="D93" s="3"/>
      <c r="E93" s="3"/>
      <c r="F93" s="3"/>
      <c r="G93" s="3"/>
      <c r="H93" s="3"/>
      <c r="I93" s="224" t="s">
        <v>53</v>
      </c>
      <c r="J93" s="225">
        <f t="shared" ref="J93:L93" ca="1" si="196">J92*0.2</f>
        <v>0</v>
      </c>
      <c r="K93" s="225">
        <f t="shared" ca="1" si="196"/>
        <v>72954.000000000029</v>
      </c>
      <c r="L93" s="225">
        <f t="shared" ca="1" si="196"/>
        <v>72954.000000000029</v>
      </c>
      <c r="M93" s="438"/>
      <c r="N93" s="3"/>
      <c r="O93" s="3"/>
      <c r="P93" s="3"/>
      <c r="Q93" s="224" t="s">
        <v>53</v>
      </c>
      <c r="R93" s="225">
        <f t="shared" ref="R93:T93" ca="1" si="197">R92*0.2</f>
        <v>0</v>
      </c>
      <c r="S93" s="225">
        <f t="shared" ca="1" si="197"/>
        <v>66201.89655172413</v>
      </c>
      <c r="T93" s="225">
        <f t="shared" ca="1" si="197"/>
        <v>75659.310344827594</v>
      </c>
      <c r="U93" s="438"/>
      <c r="V93" s="3"/>
      <c r="W93" s="3"/>
      <c r="X93" s="3"/>
      <c r="Y93" s="224" t="s">
        <v>53</v>
      </c>
      <c r="Z93" s="225">
        <f t="shared" ref="Z93:AB93" ca="1" si="198">Z92*0.2</f>
        <v>0</v>
      </c>
      <c r="AA93" s="225">
        <f t="shared" ca="1" si="198"/>
        <v>114153.5195556671</v>
      </c>
      <c r="AB93" s="225">
        <f t="shared" ca="1" si="198"/>
        <v>130461.16520647673</v>
      </c>
      <c r="AC93" s="438"/>
      <c r="AD93" s="3"/>
      <c r="AE93" s="3"/>
      <c r="AF93" s="3"/>
      <c r="AG93" s="224" t="s">
        <v>53</v>
      </c>
      <c r="AH93" s="225">
        <f t="shared" ref="AH93:AJ93" ca="1" si="199">AH92*0.2</f>
        <v>0</v>
      </c>
      <c r="AI93" s="225">
        <f t="shared" ca="1" si="199"/>
        <v>0</v>
      </c>
      <c r="AJ93" s="225">
        <f t="shared" ca="1" si="199"/>
        <v>116413.48325390946</v>
      </c>
      <c r="AK93" s="438"/>
      <c r="AL93" s="3"/>
      <c r="AM93" s="3"/>
    </row>
    <row r="94" spans="1:39" ht="16.5" customHeight="1" thickBot="1">
      <c r="A94" s="187" t="s">
        <v>166</v>
      </c>
      <c r="B94" s="127">
        <f ca="1">SUM(B92:B93)</f>
        <v>0</v>
      </c>
      <c r="C94" s="3"/>
      <c r="D94" s="3"/>
      <c r="E94" s="3"/>
      <c r="F94" s="3"/>
      <c r="G94" s="3"/>
      <c r="H94" s="3"/>
      <c r="I94" s="221" t="s">
        <v>166</v>
      </c>
      <c r="J94" s="222">
        <f t="shared" ref="J94:L94" ca="1" si="200">SUM(J92:J93)</f>
        <v>0</v>
      </c>
      <c r="K94" s="222">
        <f t="shared" ca="1" si="200"/>
        <v>437724.00000000012</v>
      </c>
      <c r="L94" s="222">
        <f t="shared" ca="1" si="200"/>
        <v>437724.00000000012</v>
      </c>
      <c r="M94" s="3"/>
      <c r="N94" s="3"/>
      <c r="O94" s="3"/>
      <c r="P94" s="3"/>
      <c r="Q94" s="221" t="s">
        <v>166</v>
      </c>
      <c r="R94" s="222">
        <f t="shared" ref="R94:T94" ca="1" si="201">SUM(R92:R93)</f>
        <v>0</v>
      </c>
      <c r="S94" s="222">
        <f t="shared" ca="1" si="201"/>
        <v>397211.37931034475</v>
      </c>
      <c r="T94" s="222">
        <f t="shared" ca="1" si="201"/>
        <v>453955.86206896557</v>
      </c>
      <c r="U94" s="3"/>
      <c r="V94" s="3"/>
      <c r="W94" s="3"/>
      <c r="X94" s="3"/>
      <c r="Y94" s="221" t="s">
        <v>166</v>
      </c>
      <c r="Z94" s="222">
        <f t="shared" ref="Z94:AB94" ca="1" si="202">SUM(Z92:Z93)</f>
        <v>0</v>
      </c>
      <c r="AA94" s="222">
        <f t="shared" ca="1" si="202"/>
        <v>684921.11733400251</v>
      </c>
      <c r="AB94" s="222">
        <f t="shared" ca="1" si="202"/>
        <v>782766.9912388603</v>
      </c>
      <c r="AC94" s="3"/>
      <c r="AD94" s="3"/>
      <c r="AE94" s="3"/>
      <c r="AF94" s="3"/>
      <c r="AG94" s="221" t="s">
        <v>166</v>
      </c>
      <c r="AH94" s="222">
        <f t="shared" ref="AH94:AJ94" ca="1" si="203">SUM(AH92:AH93)</f>
        <v>0</v>
      </c>
      <c r="AI94" s="222">
        <f t="shared" ca="1" si="203"/>
        <v>0</v>
      </c>
      <c r="AJ94" s="222">
        <f t="shared" ca="1" si="203"/>
        <v>698480.89952345681</v>
      </c>
      <c r="AK94" s="3"/>
      <c r="AL94" s="3"/>
      <c r="AM94" s="3"/>
    </row>
    <row r="95" spans="1:39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J95" s="3"/>
      <c r="AK95" s="3"/>
      <c r="AL95" s="3"/>
      <c r="AM95" s="3"/>
    </row>
    <row r="96" spans="1:39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J96" s="3"/>
      <c r="AK96" s="3"/>
      <c r="AL96" s="3"/>
      <c r="AM96" s="3"/>
    </row>
    <row r="97" spans="1:39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J97" s="3"/>
      <c r="AK97" s="3"/>
      <c r="AL97" s="3"/>
      <c r="AM97" s="3"/>
    </row>
    <row r="98" spans="1:39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J98" s="3"/>
      <c r="AK98" s="3"/>
      <c r="AL98" s="3"/>
      <c r="AM98" s="3"/>
    </row>
    <row r="99" spans="1:3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141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J99" s="3"/>
      <c r="AK99" s="3"/>
      <c r="AL99" s="3"/>
      <c r="AM99" s="3"/>
    </row>
    <row r="100" spans="1:39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J100" s="3"/>
      <c r="AK100" s="3"/>
      <c r="AL100" s="3"/>
      <c r="AM100" s="3"/>
    </row>
    <row r="101" spans="1:39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J101" s="3"/>
      <c r="AK101" s="3"/>
      <c r="AL101" s="3"/>
      <c r="AM101" s="3"/>
    </row>
    <row r="102" spans="1:39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J102" s="3"/>
      <c r="AK102" s="3"/>
      <c r="AL102" s="3"/>
      <c r="AM102" s="3"/>
    </row>
    <row r="103" spans="1:39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J103" s="3"/>
      <c r="AK103" s="3"/>
      <c r="AL103" s="3"/>
      <c r="AM103" s="3"/>
    </row>
    <row r="104" spans="1:39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J104" s="3"/>
      <c r="AK104" s="3"/>
      <c r="AL104" s="3"/>
      <c r="AM104" s="3"/>
    </row>
    <row r="105" spans="1:39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J105" s="3"/>
      <c r="AK105" s="3"/>
      <c r="AL105" s="3"/>
      <c r="AM105" s="3"/>
    </row>
    <row r="106" spans="1:39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J106" s="3"/>
      <c r="AK106" s="3"/>
      <c r="AL106" s="3"/>
      <c r="AM106" s="3"/>
    </row>
    <row r="107" spans="1:39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J107" s="3"/>
      <c r="AK107" s="3"/>
      <c r="AL107" s="3"/>
      <c r="AM107" s="3"/>
    </row>
    <row r="108" spans="1:39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J108" s="3"/>
      <c r="AK108" s="3"/>
      <c r="AL108" s="3"/>
      <c r="AM108" s="3"/>
    </row>
    <row r="109" spans="1:3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J109" s="3"/>
      <c r="AK109" s="3"/>
      <c r="AL109" s="3"/>
      <c r="AM109" s="3"/>
    </row>
    <row r="110" spans="1:39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J110" s="3"/>
      <c r="AK110" s="3"/>
      <c r="AL110" s="3"/>
      <c r="AM110" s="3"/>
    </row>
    <row r="111" spans="1:39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J111" s="3"/>
      <c r="AK111" s="3"/>
      <c r="AL111" s="3"/>
      <c r="AM111" s="3"/>
    </row>
    <row r="112" spans="1:39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J112" s="3"/>
      <c r="AK112" s="3"/>
      <c r="AL112" s="3"/>
      <c r="AM112" s="3"/>
    </row>
    <row r="113" spans="1:39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J113" s="3"/>
      <c r="AK113" s="3"/>
      <c r="AL113" s="3"/>
      <c r="AM113" s="3"/>
    </row>
    <row r="114" spans="1:39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J114" s="3"/>
      <c r="AK114" s="3"/>
      <c r="AL114" s="3"/>
      <c r="AM114" s="3"/>
    </row>
    <row r="115" spans="1:39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J115" s="3"/>
      <c r="AK115" s="3"/>
      <c r="AL115" s="3"/>
      <c r="AM115" s="3"/>
    </row>
    <row r="116" spans="1:39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J116" s="3"/>
      <c r="AK116" s="3"/>
      <c r="AL116" s="3"/>
      <c r="AM116" s="3"/>
    </row>
    <row r="117" spans="1:39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J117" s="3"/>
      <c r="AK117" s="3"/>
      <c r="AL117" s="3"/>
      <c r="AM117" s="3"/>
    </row>
    <row r="118" spans="1:39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J118" s="3"/>
      <c r="AK118" s="3"/>
      <c r="AL118" s="3"/>
      <c r="AM118" s="3"/>
    </row>
    <row r="119" spans="1:3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J119" s="3"/>
      <c r="AK119" s="3"/>
      <c r="AL119" s="3"/>
      <c r="AM119" s="3"/>
    </row>
    <row r="120" spans="1:39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J120" s="3"/>
      <c r="AK120" s="3"/>
      <c r="AL120" s="3"/>
      <c r="AM120" s="3"/>
    </row>
    <row r="121" spans="1:39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J121" s="3"/>
      <c r="AK121" s="3"/>
      <c r="AL121" s="3"/>
      <c r="AM121" s="3"/>
    </row>
    <row r="122" spans="1:39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J122" s="3"/>
      <c r="AK122" s="3"/>
      <c r="AL122" s="3"/>
      <c r="AM122" s="3"/>
    </row>
    <row r="123" spans="1:39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J123" s="3"/>
      <c r="AK123" s="3"/>
      <c r="AL123" s="3"/>
      <c r="AM123" s="3"/>
    </row>
    <row r="124" spans="1:39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J124" s="3"/>
      <c r="AK124" s="3"/>
      <c r="AL124" s="3"/>
      <c r="AM124" s="3"/>
    </row>
    <row r="125" spans="1:39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J125" s="3"/>
      <c r="AK125" s="3"/>
      <c r="AL125" s="3"/>
      <c r="AM125" s="3"/>
    </row>
    <row r="126" spans="1:39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J126" s="3"/>
      <c r="AK126" s="3"/>
      <c r="AL126" s="3"/>
      <c r="AM126" s="3"/>
    </row>
    <row r="127" spans="1:39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J127" s="3"/>
      <c r="AK127" s="3"/>
      <c r="AL127" s="3"/>
      <c r="AM127" s="3"/>
    </row>
    <row r="128" spans="1:39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J128" s="3"/>
      <c r="AK128" s="3"/>
      <c r="AL128" s="3"/>
      <c r="AM128" s="3"/>
    </row>
    <row r="129" spans="1:3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J129" s="3"/>
      <c r="AK129" s="3"/>
      <c r="AL129" s="3"/>
      <c r="AM129" s="3"/>
    </row>
    <row r="130" spans="1:39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J130" s="3"/>
      <c r="AK130" s="3"/>
      <c r="AL130" s="3"/>
      <c r="AM130" s="3"/>
    </row>
    <row r="131" spans="1:39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J131" s="3"/>
      <c r="AK131" s="3"/>
      <c r="AL131" s="3"/>
      <c r="AM131" s="3"/>
    </row>
    <row r="132" spans="1:39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J132" s="3"/>
      <c r="AK132" s="3"/>
      <c r="AL132" s="3"/>
      <c r="AM132" s="3"/>
    </row>
    <row r="133" spans="1:39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J133" s="3"/>
      <c r="AK133" s="3"/>
      <c r="AL133" s="3"/>
      <c r="AM133" s="3"/>
    </row>
    <row r="134" spans="1:39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J134" s="3"/>
      <c r="AK134" s="3"/>
      <c r="AL134" s="3"/>
      <c r="AM134" s="3"/>
    </row>
    <row r="135" spans="1:39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J135" s="3"/>
      <c r="AK135" s="3"/>
      <c r="AL135" s="3"/>
      <c r="AM135" s="3"/>
    </row>
    <row r="136" spans="1:39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J136" s="3"/>
      <c r="AK136" s="3"/>
      <c r="AL136" s="3"/>
      <c r="AM136" s="3"/>
    </row>
    <row r="137" spans="1:39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J137" s="3"/>
      <c r="AK137" s="3"/>
      <c r="AL137" s="3"/>
      <c r="AM137" s="3"/>
    </row>
    <row r="138" spans="1:39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J138" s="3"/>
      <c r="AK138" s="3"/>
      <c r="AL138" s="3"/>
      <c r="AM138" s="3"/>
    </row>
    <row r="139" spans="1: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J139" s="3"/>
      <c r="AK139" s="3"/>
      <c r="AL139" s="3"/>
      <c r="AM139" s="3"/>
    </row>
    <row r="140" spans="1:39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J140" s="3"/>
      <c r="AK140" s="3"/>
      <c r="AL140" s="3"/>
      <c r="AM140" s="3"/>
    </row>
    <row r="141" spans="1:39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J141" s="3"/>
      <c r="AK141" s="3"/>
      <c r="AL141" s="3"/>
      <c r="AM141" s="3"/>
    </row>
    <row r="142" spans="1:39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J142" s="3"/>
      <c r="AK142" s="3"/>
      <c r="AL142" s="3"/>
      <c r="AM142" s="3"/>
    </row>
    <row r="143" spans="1:39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J143" s="3"/>
      <c r="AK143" s="3"/>
      <c r="AL143" s="3"/>
      <c r="AM143" s="3"/>
    </row>
    <row r="144" spans="1:39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J144" s="3"/>
      <c r="AK144" s="3"/>
      <c r="AL144" s="3"/>
      <c r="AM144" s="3"/>
    </row>
    <row r="145" spans="1:39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J145" s="3"/>
      <c r="AK145" s="3"/>
      <c r="AL145" s="3"/>
      <c r="AM145" s="3"/>
    </row>
    <row r="146" spans="1:39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J146" s="3"/>
      <c r="AK146" s="3"/>
      <c r="AL146" s="3"/>
      <c r="AM146" s="3"/>
    </row>
    <row r="147" spans="1:39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J147" s="3"/>
      <c r="AK147" s="3"/>
      <c r="AL147" s="3"/>
      <c r="AM147" s="3"/>
    </row>
    <row r="148" spans="1:39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J148" s="3"/>
      <c r="AK148" s="3"/>
      <c r="AL148" s="3"/>
      <c r="AM148" s="3"/>
    </row>
    <row r="149" spans="1:3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J149" s="3"/>
      <c r="AK149" s="3"/>
      <c r="AL149" s="3"/>
      <c r="AM149" s="3"/>
    </row>
    <row r="150" spans="1:39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J150" s="3"/>
      <c r="AK150" s="3"/>
      <c r="AL150" s="3"/>
      <c r="AM150" s="3"/>
    </row>
    <row r="151" spans="1:39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J151" s="3"/>
      <c r="AK151" s="3"/>
      <c r="AL151" s="3"/>
      <c r="AM151" s="3"/>
    </row>
    <row r="152" spans="1:39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J152" s="3"/>
      <c r="AK152" s="3"/>
      <c r="AL152" s="3"/>
      <c r="AM152" s="3"/>
    </row>
    <row r="153" spans="1:39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J153" s="3"/>
      <c r="AK153" s="3"/>
      <c r="AL153" s="3"/>
      <c r="AM153" s="3"/>
    </row>
    <row r="154" spans="1:39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J154" s="3"/>
      <c r="AK154" s="3"/>
      <c r="AL154" s="3"/>
      <c r="AM154" s="3"/>
    </row>
    <row r="155" spans="1:39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J155" s="3"/>
      <c r="AK155" s="3"/>
      <c r="AL155" s="3"/>
      <c r="AM155" s="3"/>
    </row>
    <row r="156" spans="1:39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J156" s="3"/>
      <c r="AK156" s="3"/>
      <c r="AL156" s="3"/>
      <c r="AM156" s="3"/>
    </row>
    <row r="157" spans="1:39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J157" s="3"/>
      <c r="AK157" s="3"/>
      <c r="AL157" s="3"/>
      <c r="AM157" s="3"/>
    </row>
    <row r="158" spans="1:39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J158" s="3"/>
      <c r="AK158" s="3"/>
      <c r="AL158" s="3"/>
      <c r="AM158" s="3"/>
    </row>
    <row r="159" spans="1:3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J159" s="3"/>
      <c r="AK159" s="3"/>
      <c r="AL159" s="3"/>
      <c r="AM159" s="3"/>
    </row>
    <row r="160" spans="1:39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J160" s="3"/>
      <c r="AK160" s="3"/>
      <c r="AL160" s="3"/>
      <c r="AM160" s="3"/>
    </row>
    <row r="161" spans="1:4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J161" s="3"/>
      <c r="AK161" s="3"/>
      <c r="AL161" s="3"/>
      <c r="AM161" s="3"/>
    </row>
    <row r="162" spans="1:41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J162" s="3"/>
      <c r="AK162" s="3"/>
      <c r="AL162" s="3"/>
      <c r="AM162" s="3"/>
    </row>
    <row r="163" spans="1:41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J163" s="3"/>
      <c r="AK163" s="3"/>
      <c r="AL163" s="3"/>
      <c r="AM163" s="3"/>
    </row>
    <row r="164" spans="1:41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J164" s="3"/>
      <c r="AK164" s="3"/>
      <c r="AL164" s="3"/>
      <c r="AM164" s="3"/>
    </row>
    <row r="165" spans="1:41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J165" s="3"/>
      <c r="AK165" s="3"/>
      <c r="AL165" s="3"/>
      <c r="AN165" s="3"/>
      <c r="AO165" s="3"/>
    </row>
    <row r="166" spans="1:41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J166" s="3"/>
      <c r="AK166" s="3"/>
      <c r="AL166" s="3"/>
      <c r="AN166" s="3"/>
      <c r="AO166" s="3"/>
    </row>
    <row r="167" spans="1:41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J167" s="3"/>
      <c r="AK167" s="3"/>
      <c r="AL167" s="3"/>
      <c r="AN167" s="3"/>
      <c r="AO167" s="3"/>
    </row>
    <row r="168" spans="1:41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J168" s="3"/>
      <c r="AK168" s="3"/>
      <c r="AL168" s="3"/>
      <c r="AN168" s="3"/>
      <c r="AO168" s="3"/>
    </row>
    <row r="169" spans="1:41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J169" s="3"/>
      <c r="AK169" s="3"/>
      <c r="AL169" s="3"/>
      <c r="AN169" s="3"/>
      <c r="AO169" s="3"/>
    </row>
    <row r="170" spans="1:41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J170" s="3"/>
      <c r="AK170" s="3"/>
      <c r="AL170" s="3"/>
      <c r="AN170" s="3"/>
      <c r="AO170" s="3"/>
    </row>
    <row r="171" spans="1:4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J171" s="3"/>
      <c r="AK171" s="3"/>
      <c r="AL171" s="3"/>
      <c r="AN171" s="3"/>
      <c r="AO171" s="3"/>
    </row>
    <row r="172" spans="1:41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J172" s="3"/>
      <c r="AK172" s="3"/>
      <c r="AL172" s="3"/>
      <c r="AN172" s="3"/>
      <c r="AO172" s="3"/>
    </row>
    <row r="173" spans="1:41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J173" s="3"/>
      <c r="AK173" s="3"/>
      <c r="AL173" s="3"/>
      <c r="AN173" s="3"/>
      <c r="AO173" s="3"/>
    </row>
    <row r="174" spans="1:41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J174" s="3"/>
      <c r="AK174" s="3"/>
      <c r="AL174" s="3"/>
      <c r="AN174" s="3"/>
      <c r="AO174" s="3"/>
    </row>
    <row r="175" spans="1:41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J175" s="3"/>
      <c r="AK175" s="3"/>
      <c r="AL175" s="3"/>
      <c r="AN175" s="3"/>
      <c r="AO175" s="3"/>
    </row>
    <row r="176" spans="1:41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J176" s="3"/>
      <c r="AK176" s="3"/>
      <c r="AL176" s="3"/>
      <c r="AN176" s="3"/>
      <c r="AO176" s="3"/>
    </row>
    <row r="177" spans="1:41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J177" s="3"/>
      <c r="AK177" s="3"/>
      <c r="AL177" s="3"/>
      <c r="AN177" s="3"/>
      <c r="AO177" s="3"/>
    </row>
    <row r="178" spans="1:41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J178" s="3"/>
      <c r="AK178" s="3"/>
      <c r="AL178" s="3"/>
      <c r="AN178" s="3"/>
      <c r="AO178" s="3"/>
    </row>
    <row r="179" spans="1:41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J179" s="3"/>
      <c r="AK179" s="3"/>
      <c r="AL179" s="3"/>
      <c r="AN179" s="3"/>
      <c r="AO179" s="3"/>
    </row>
    <row r="180" spans="1:41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J180" s="3"/>
      <c r="AK180" s="3"/>
      <c r="AL180" s="3"/>
      <c r="AN180" s="3"/>
      <c r="AO180" s="3"/>
    </row>
    <row r="181" spans="1:4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J181" s="3"/>
      <c r="AK181" s="3"/>
      <c r="AL181" s="3"/>
      <c r="AN181" s="3"/>
      <c r="AO181" s="3"/>
    </row>
    <row r="182" spans="1:41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J182" s="3"/>
      <c r="AK182" s="3"/>
      <c r="AL182" s="3"/>
      <c r="AN182" s="3"/>
      <c r="AO182" s="3"/>
    </row>
    <row r="183" spans="1:41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J183" s="3"/>
      <c r="AK183" s="3"/>
      <c r="AL183" s="3"/>
      <c r="AN183" s="3"/>
      <c r="AO183" s="3"/>
    </row>
    <row r="184" spans="1:41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J184" s="3"/>
      <c r="AK184" s="3"/>
      <c r="AL184" s="3"/>
      <c r="AN184" s="3"/>
      <c r="AO184" s="3"/>
    </row>
    <row r="185" spans="1:41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J185" s="3"/>
      <c r="AK185" s="3"/>
      <c r="AL185" s="3"/>
      <c r="AN185" s="3"/>
      <c r="AO185" s="3"/>
    </row>
    <row r="186" spans="1:41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J186" s="3"/>
      <c r="AK186" s="3"/>
      <c r="AL186" s="3"/>
      <c r="AN186" s="3"/>
      <c r="AO186" s="3"/>
    </row>
    <row r="187" spans="1:41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J187" s="3"/>
      <c r="AK187" s="3"/>
      <c r="AL187" s="3"/>
      <c r="AN187" s="3"/>
      <c r="AO187" s="3"/>
    </row>
    <row r="188" spans="1:41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J188" s="3"/>
      <c r="AK188" s="3"/>
      <c r="AL188" s="3"/>
      <c r="AN188" s="3"/>
      <c r="AO188" s="3"/>
    </row>
    <row r="189" spans="1:41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J189" s="3"/>
      <c r="AK189" s="3"/>
      <c r="AL189" s="3"/>
      <c r="AN189" s="3"/>
      <c r="AO189" s="3"/>
    </row>
    <row r="190" spans="1:41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J190" s="3"/>
      <c r="AK190" s="3"/>
      <c r="AL190" s="3"/>
      <c r="AN190" s="3"/>
      <c r="AO190" s="3"/>
    </row>
    <row r="191" spans="1:4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J191" s="3"/>
      <c r="AK191" s="3"/>
      <c r="AL191" s="3"/>
      <c r="AN191" s="3"/>
      <c r="AO191" s="3"/>
    </row>
    <row r="192" spans="1:41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J192" s="3"/>
      <c r="AK192" s="3"/>
      <c r="AL192" s="3"/>
      <c r="AN192" s="3"/>
      <c r="AO192" s="3"/>
    </row>
    <row r="193" spans="1:41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J193" s="3"/>
      <c r="AK193" s="3"/>
      <c r="AL193" s="3"/>
      <c r="AN193" s="3"/>
      <c r="AO193" s="3"/>
    </row>
    <row r="194" spans="1:41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J194" s="3"/>
      <c r="AK194" s="3"/>
      <c r="AL194" s="3"/>
      <c r="AN194" s="3"/>
      <c r="AO194" s="3"/>
    </row>
    <row r="195" spans="1:41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J195" s="3"/>
      <c r="AK195" s="3"/>
      <c r="AL195" s="3"/>
      <c r="AN195" s="3"/>
      <c r="AO195" s="3"/>
    </row>
    <row r="196" spans="1:41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J196" s="3"/>
      <c r="AK196" s="3"/>
      <c r="AL196" s="3"/>
      <c r="AN196" s="3"/>
      <c r="AO196" s="3"/>
    </row>
    <row r="197" spans="1:41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J197" s="3"/>
      <c r="AK197" s="3"/>
      <c r="AL197" s="3"/>
      <c r="AN197" s="3"/>
      <c r="AO197" s="3"/>
    </row>
    <row r="198" spans="1:41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J198" s="3"/>
      <c r="AK198" s="3"/>
      <c r="AL198" s="3"/>
      <c r="AN198" s="3"/>
      <c r="AO198" s="3"/>
    </row>
    <row r="199" spans="1:41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J199" s="3"/>
      <c r="AK199" s="3"/>
      <c r="AL199" s="3"/>
      <c r="AN199" s="3"/>
      <c r="AO199" s="3"/>
    </row>
    <row r="200" spans="1:41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J200" s="3"/>
      <c r="AK200" s="3"/>
      <c r="AL200" s="3"/>
      <c r="AN200" s="3"/>
      <c r="AO200" s="3"/>
    </row>
    <row r="201" spans="1:4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N201" s="3"/>
      <c r="AO201" s="3"/>
    </row>
    <row r="202" spans="1:41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N202" s="3"/>
      <c r="AO202" s="3"/>
    </row>
    <row r="203" spans="1:41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N203" s="3"/>
      <c r="AO203" s="3"/>
    </row>
    <row r="204" spans="1:41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N204" s="3"/>
      <c r="AO204" s="3"/>
    </row>
    <row r="205" spans="1:41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N205" s="3"/>
      <c r="AO205" s="3"/>
    </row>
    <row r="206" spans="1:41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N206" s="3"/>
      <c r="AO206" s="3"/>
    </row>
    <row r="207" spans="1:41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N207" s="3"/>
      <c r="AO207" s="3"/>
    </row>
    <row r="208" spans="1:41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N208" s="3"/>
      <c r="AO208" s="3"/>
    </row>
    <row r="209" spans="1:41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N209" s="3"/>
      <c r="AO209" s="3"/>
    </row>
    <row r="210" spans="1:41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N210" s="3"/>
      <c r="AO210" s="3"/>
    </row>
    <row r="211" spans="1:4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N211" s="3"/>
      <c r="AO211" s="3"/>
    </row>
    <row r="212" spans="1:41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N212" s="3"/>
      <c r="AO212" s="3"/>
    </row>
    <row r="213" spans="1:41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N213" s="3"/>
      <c r="AO213" s="3"/>
    </row>
    <row r="214" spans="1:41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N214" s="3"/>
      <c r="AO214" s="3"/>
    </row>
    <row r="215" spans="1:41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N215" s="3"/>
      <c r="AO215" s="3"/>
    </row>
    <row r="216" spans="1:41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N216" s="3"/>
      <c r="AO216" s="3"/>
    </row>
    <row r="217" spans="1:41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N217" s="3"/>
      <c r="AO217" s="3"/>
    </row>
    <row r="218" spans="1:41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N218" s="3"/>
      <c r="AO218" s="3"/>
    </row>
    <row r="219" spans="1:41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N219" s="3"/>
      <c r="AO219" s="3"/>
    </row>
    <row r="220" spans="1:41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N220" s="3"/>
      <c r="AO220" s="3"/>
    </row>
    <row r="221" spans="1:4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N221" s="3"/>
      <c r="AO221" s="3"/>
    </row>
    <row r="222" spans="1:41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N222" s="3"/>
      <c r="AO222" s="3"/>
    </row>
    <row r="223" spans="1:41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N223" s="3"/>
      <c r="AO223" s="3"/>
    </row>
    <row r="224" spans="1:41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N224" s="3"/>
      <c r="AO224" s="3"/>
    </row>
    <row r="225" spans="1:41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N225" s="3"/>
      <c r="AO225" s="3"/>
    </row>
    <row r="226" spans="1:41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N226" s="3"/>
      <c r="AO226" s="3"/>
    </row>
    <row r="227" spans="1:41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N227" s="3"/>
      <c r="AO227" s="3"/>
    </row>
    <row r="228" spans="1:41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N228" s="3"/>
      <c r="AO228" s="3"/>
    </row>
    <row r="229" spans="1:41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N229" s="3"/>
      <c r="AO229" s="3"/>
    </row>
    <row r="230" spans="1:41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N230" s="3"/>
      <c r="AO230" s="3"/>
    </row>
    <row r="231" spans="1:4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N231" s="3"/>
      <c r="AO231" s="3"/>
    </row>
    <row r="232" spans="1:41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N232" s="3"/>
      <c r="AO232" s="3"/>
    </row>
    <row r="233" spans="1:41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N233" s="3"/>
      <c r="AO233" s="3"/>
    </row>
    <row r="234" spans="1:41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N234" s="3"/>
      <c r="AO234" s="3"/>
    </row>
    <row r="235" spans="1:41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N235" s="3"/>
      <c r="AO235" s="3"/>
    </row>
    <row r="236" spans="1:41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N236" s="3"/>
      <c r="AO236" s="3"/>
    </row>
    <row r="237" spans="1:41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N237" s="3"/>
      <c r="AO237" s="3"/>
    </row>
    <row r="238" spans="1:41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N238" s="3"/>
      <c r="AO238" s="3"/>
    </row>
    <row r="239" spans="1:41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N239" s="3"/>
      <c r="AO239" s="3"/>
    </row>
    <row r="240" spans="1:41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N240" s="3"/>
      <c r="AO240" s="3"/>
    </row>
    <row r="241" spans="1: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N241" s="3"/>
      <c r="AO241" s="3"/>
    </row>
    <row r="242" spans="1:41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N242" s="3"/>
      <c r="AO242" s="3"/>
    </row>
    <row r="243" spans="1:41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N243" s="3"/>
      <c r="AO243" s="3"/>
    </row>
    <row r="244" spans="1:41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N244" s="3"/>
      <c r="AO244" s="3"/>
    </row>
    <row r="245" spans="1:41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N245" s="3"/>
      <c r="AO245" s="3"/>
    </row>
    <row r="246" spans="1:41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N246" s="3"/>
      <c r="AO246" s="3"/>
    </row>
    <row r="247" spans="1:41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N247" s="3"/>
      <c r="AO247" s="3"/>
    </row>
    <row r="248" spans="1:41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N248" s="3"/>
      <c r="AO248" s="3"/>
    </row>
    <row r="249" spans="1:41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N249" s="3"/>
      <c r="AO249" s="3"/>
    </row>
    <row r="250" spans="1:41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N250" s="3"/>
      <c r="AO250" s="3"/>
    </row>
    <row r="251" spans="1:4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N251" s="3"/>
      <c r="AO251" s="3"/>
    </row>
    <row r="252" spans="1:41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N252" s="3"/>
      <c r="AO252" s="3"/>
    </row>
    <row r="253" spans="1:41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N253" s="3"/>
      <c r="AO253" s="3"/>
    </row>
    <row r="254" spans="1:41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N254" s="3"/>
      <c r="AO254" s="3"/>
    </row>
    <row r="255" spans="1:41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N255" s="3"/>
      <c r="AO255" s="3"/>
    </row>
    <row r="256" spans="1:41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N256" s="3"/>
      <c r="AO256" s="3"/>
    </row>
    <row r="257" spans="1:41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N257" s="3"/>
      <c r="AO257" s="3"/>
    </row>
    <row r="258" spans="1:41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N258" s="3"/>
      <c r="AO258" s="3"/>
    </row>
    <row r="259" spans="1:41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N259" s="3"/>
      <c r="AO259" s="3"/>
    </row>
    <row r="260" spans="1:41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N260" s="3"/>
      <c r="AO260" s="3"/>
    </row>
    <row r="261" spans="1:4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N261" s="3"/>
      <c r="AO261" s="3"/>
    </row>
    <row r="262" spans="1:41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N262" s="3"/>
      <c r="AO262" s="3"/>
    </row>
    <row r="263" spans="1:41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N263" s="3"/>
      <c r="AO263" s="3"/>
    </row>
    <row r="264" spans="1:41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N264" s="3"/>
      <c r="AO264" s="3"/>
    </row>
    <row r="265" spans="1:41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N265" s="3"/>
      <c r="AO265" s="3"/>
    </row>
    <row r="266" spans="1:41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N266" s="3"/>
      <c r="AO266" s="3"/>
    </row>
    <row r="267" spans="1:41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N267" s="3"/>
      <c r="AO267" s="3"/>
    </row>
    <row r="268" spans="1:41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N268" s="3"/>
      <c r="AO268" s="3"/>
    </row>
    <row r="269" spans="1:41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N269" s="3"/>
      <c r="AO269" s="3"/>
    </row>
    <row r="270" spans="1:41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N270" s="3"/>
      <c r="AO270" s="3"/>
    </row>
    <row r="271" spans="1:4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N271" s="3"/>
      <c r="AO271" s="3"/>
    </row>
    <row r="272" spans="1:41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N272" s="3"/>
      <c r="AO272" s="3"/>
    </row>
    <row r="273" spans="1:41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N273" s="3"/>
      <c r="AO273" s="3"/>
    </row>
    <row r="274" spans="1:41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N274" s="3"/>
      <c r="AO274" s="3"/>
    </row>
    <row r="275" spans="1:41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N275" s="3"/>
      <c r="AO275" s="3"/>
    </row>
    <row r="276" spans="1:41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N276" s="3"/>
      <c r="AO276" s="3"/>
    </row>
    <row r="277" spans="1:41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N277" s="3"/>
      <c r="AO277" s="3"/>
    </row>
    <row r="278" spans="1:41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N278" s="3"/>
      <c r="AO278" s="3"/>
    </row>
    <row r="279" spans="1:41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N279" s="3"/>
      <c r="AO279" s="3"/>
    </row>
    <row r="280" spans="1:41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N280" s="3"/>
      <c r="AO280" s="3"/>
    </row>
    <row r="281" spans="1:4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N281" s="3"/>
      <c r="AO281" s="3"/>
    </row>
    <row r="282" spans="1:41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N282" s="3"/>
      <c r="AO282" s="3"/>
    </row>
    <row r="283" spans="1:41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N283" s="3"/>
      <c r="AO283" s="3"/>
    </row>
    <row r="284" spans="1:41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N284" s="3"/>
      <c r="AO284" s="3"/>
    </row>
    <row r="285" spans="1:41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N285" s="3"/>
      <c r="AO285" s="3"/>
    </row>
    <row r="286" spans="1:41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N286" s="3"/>
      <c r="AO286" s="3"/>
    </row>
    <row r="287" spans="1:41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N287" s="3"/>
      <c r="AO287" s="3"/>
    </row>
    <row r="288" spans="1:41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N288" s="3"/>
      <c r="AO288" s="3"/>
    </row>
    <row r="289" spans="1:41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N289" s="3"/>
      <c r="AO289" s="3"/>
    </row>
    <row r="290" spans="1:41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N290" s="3"/>
      <c r="AO290" s="3"/>
    </row>
    <row r="291" spans="1:4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N291" s="3"/>
      <c r="AO291" s="3"/>
    </row>
    <row r="292" spans="1:41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N292" s="3"/>
      <c r="AO292" s="3"/>
    </row>
    <row r="293" spans="1:41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N293" s="3"/>
      <c r="AO293" s="3"/>
    </row>
    <row r="294" spans="1:41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N294" s="3"/>
      <c r="AO294" s="3"/>
    </row>
    <row r="295" spans="1:41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N295" s="3"/>
      <c r="AO295" s="3"/>
    </row>
    <row r="296" spans="1:41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N296" s="3"/>
      <c r="AO296" s="3"/>
    </row>
    <row r="297" spans="1:41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N297" s="3"/>
      <c r="AO297" s="3"/>
    </row>
    <row r="298" spans="1:41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N298" s="3"/>
      <c r="AO298" s="3"/>
    </row>
    <row r="299" spans="1:41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N299" s="3"/>
      <c r="AO299" s="3"/>
    </row>
    <row r="300" spans="1:41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N300" s="3"/>
      <c r="AO300" s="3"/>
    </row>
    <row r="301" spans="1:4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N301" s="3"/>
      <c r="AO301" s="3"/>
    </row>
    <row r="302" spans="1:41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N302" s="3"/>
      <c r="AO302" s="3"/>
    </row>
    <row r="303" spans="1:41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N303" s="3"/>
      <c r="AO303" s="3"/>
    </row>
    <row r="304" spans="1:41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N304" s="3"/>
      <c r="AO304" s="3"/>
    </row>
    <row r="305" spans="1:41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N305" s="3"/>
      <c r="AO305" s="3"/>
    </row>
    <row r="306" spans="1:41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N306" s="3"/>
      <c r="AO306" s="3"/>
    </row>
    <row r="307" spans="1:41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N307" s="3"/>
      <c r="AO307" s="3"/>
    </row>
    <row r="308" spans="1:41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N308" s="3"/>
      <c r="AO308" s="3"/>
    </row>
    <row r="309" spans="1:41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N309" s="3"/>
      <c r="AO309" s="3"/>
    </row>
    <row r="310" spans="1:41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N310" s="3"/>
      <c r="AO310" s="3"/>
    </row>
    <row r="311" spans="1:4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N311" s="3"/>
      <c r="AO311" s="3"/>
    </row>
    <row r="312" spans="1:41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N312" s="3"/>
      <c r="AO312" s="3"/>
    </row>
    <row r="313" spans="1:41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N313" s="3"/>
      <c r="AO313" s="3"/>
    </row>
    <row r="314" spans="1:41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N314" s="3"/>
      <c r="AO314" s="3"/>
    </row>
    <row r="315" spans="1:41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N315" s="3"/>
      <c r="AO315" s="3"/>
    </row>
    <row r="316" spans="1:41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N316" s="3"/>
      <c r="AO316" s="3"/>
    </row>
    <row r="317" spans="1:41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N317" s="3"/>
      <c r="AO317" s="3"/>
    </row>
    <row r="318" spans="1:41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N318" s="3"/>
      <c r="AO318" s="3"/>
    </row>
    <row r="319" spans="1:41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N319" s="3"/>
      <c r="AO319" s="3"/>
    </row>
    <row r="320" spans="1:41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N320" s="3"/>
      <c r="AO320" s="3"/>
    </row>
    <row r="321" spans="1:4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N321" s="3"/>
      <c r="AO321" s="3"/>
    </row>
    <row r="322" spans="1:41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N322" s="3"/>
      <c r="AO322" s="3"/>
    </row>
    <row r="323" spans="1:41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N323" s="3"/>
      <c r="AO323" s="3"/>
    </row>
    <row r="324" spans="1:41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N324" s="3"/>
      <c r="AO324" s="3"/>
    </row>
    <row r="325" spans="1:41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N325" s="3"/>
      <c r="AO325" s="3"/>
    </row>
    <row r="326" spans="1:41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N326" s="3"/>
      <c r="AO326" s="3"/>
    </row>
    <row r="327" spans="1:41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N327" s="3"/>
      <c r="AO327" s="3"/>
    </row>
    <row r="328" spans="1:41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N328" s="3"/>
      <c r="AO328" s="3"/>
    </row>
    <row r="329" spans="1:41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N329" s="3"/>
      <c r="AO329" s="3"/>
    </row>
    <row r="330" spans="1:41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N330" s="3"/>
      <c r="AO330" s="3"/>
    </row>
    <row r="331" spans="1:4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N331" s="3"/>
      <c r="AO331" s="3"/>
    </row>
    <row r="332" spans="1:41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N332" s="3"/>
      <c r="AO332" s="3"/>
    </row>
    <row r="333" spans="1:41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N333" s="3"/>
      <c r="AO333" s="3"/>
    </row>
    <row r="334" spans="1:41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N334" s="3"/>
      <c r="AO334" s="3"/>
    </row>
    <row r="335" spans="1:41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N335" s="3"/>
      <c r="AO335" s="3"/>
    </row>
    <row r="336" spans="1:41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N336" s="3"/>
      <c r="AO336" s="3"/>
    </row>
    <row r="337" spans="1:41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N337" s="3"/>
      <c r="AO337" s="3"/>
    </row>
    <row r="338" spans="1:41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N338" s="3"/>
      <c r="AO338" s="3"/>
    </row>
    <row r="339" spans="1:41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N339" s="3"/>
      <c r="AO339" s="3"/>
    </row>
    <row r="340" spans="1:41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N340" s="3"/>
      <c r="AO340" s="3"/>
    </row>
    <row r="341" spans="1: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N341" s="3"/>
      <c r="AO341" s="3"/>
    </row>
    <row r="342" spans="1:41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N342" s="3"/>
      <c r="AO342" s="3"/>
    </row>
    <row r="343" spans="1:41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N343" s="3"/>
      <c r="AO343" s="3"/>
    </row>
    <row r="344" spans="1:41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N344" s="3"/>
      <c r="AO344" s="3"/>
    </row>
    <row r="345" spans="1:41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N345" s="3"/>
      <c r="AO345" s="3"/>
    </row>
    <row r="346" spans="1:41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N346" s="3"/>
      <c r="AO346" s="3"/>
    </row>
    <row r="347" spans="1:41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N347" s="3"/>
      <c r="AO347" s="3"/>
    </row>
    <row r="348" spans="1:41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N348" s="3"/>
      <c r="AO348" s="3"/>
    </row>
    <row r="349" spans="1:41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N349" s="3"/>
      <c r="AO349" s="3"/>
    </row>
    <row r="350" spans="1:41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N350" s="3"/>
      <c r="AO350" s="3"/>
    </row>
    <row r="351" spans="1:4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N351" s="3"/>
      <c r="AO351" s="3"/>
    </row>
    <row r="352" spans="1:41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N352" s="3"/>
      <c r="AO352" s="3"/>
    </row>
    <row r="353" spans="1:41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N353" s="3"/>
      <c r="AO353" s="3"/>
    </row>
    <row r="354" spans="1:41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N354" s="3"/>
      <c r="AO354" s="3"/>
    </row>
    <row r="355" spans="1:41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N355" s="3"/>
      <c r="AO355" s="3"/>
    </row>
    <row r="356" spans="1:41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N356" s="3"/>
      <c r="AO356" s="3"/>
    </row>
    <row r="357" spans="1:41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N357" s="3"/>
      <c r="AO357" s="3"/>
    </row>
    <row r="358" spans="1:41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N358" s="3"/>
      <c r="AO358" s="3"/>
    </row>
    <row r="359" spans="1:41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N359" s="3"/>
      <c r="AO359" s="3"/>
    </row>
    <row r="360" spans="1:41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N360" s="3"/>
      <c r="AO360" s="3"/>
    </row>
    <row r="361" spans="1:4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N361" s="3"/>
      <c r="AO361" s="3"/>
    </row>
    <row r="362" spans="1:41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N362" s="3"/>
      <c r="AO362" s="3"/>
    </row>
    <row r="363" spans="1:41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N363" s="3"/>
      <c r="AO363" s="3"/>
    </row>
    <row r="364" spans="1:41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N364" s="3"/>
      <c r="AO364" s="3"/>
    </row>
    <row r="365" spans="1:41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N365" s="3"/>
      <c r="AO365" s="3"/>
    </row>
    <row r="366" spans="1:41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N366" s="3"/>
      <c r="AO366" s="3"/>
    </row>
    <row r="367" spans="1:41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N367" s="3"/>
      <c r="AO367" s="3"/>
    </row>
    <row r="368" spans="1:41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N368" s="3"/>
      <c r="AO368" s="3"/>
    </row>
    <row r="369" spans="1:41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N369" s="3"/>
      <c r="AO369" s="3"/>
    </row>
    <row r="370" spans="1:41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N370" s="3"/>
      <c r="AO370" s="3"/>
    </row>
    <row r="371" spans="1:4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N371" s="3"/>
      <c r="AO371" s="3"/>
    </row>
    <row r="372" spans="1:41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N372" s="3"/>
      <c r="AO372" s="3"/>
    </row>
    <row r="373" spans="1:41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N373" s="3"/>
      <c r="AO373" s="3"/>
    </row>
    <row r="374" spans="1:41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N374" s="3"/>
      <c r="AO374" s="3"/>
    </row>
    <row r="375" spans="1:41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N375" s="3"/>
      <c r="AO375" s="3"/>
    </row>
    <row r="376" spans="1:41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N376" s="3"/>
      <c r="AO376" s="3"/>
    </row>
    <row r="377" spans="1:41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N377" s="3"/>
      <c r="AO377" s="3"/>
    </row>
    <row r="378" spans="1:41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N378" s="3"/>
      <c r="AO378" s="3"/>
    </row>
    <row r="379" spans="1:41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N379" s="3"/>
      <c r="AO379" s="3"/>
    </row>
    <row r="380" spans="1:41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N380" s="3"/>
      <c r="AO380" s="3"/>
    </row>
    <row r="381" spans="1:4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N381" s="3"/>
      <c r="AO381" s="3"/>
    </row>
    <row r="382" spans="1:41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N382" s="3"/>
      <c r="AO382" s="3"/>
    </row>
    <row r="383" spans="1:41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N383" s="3"/>
      <c r="AO383" s="3"/>
    </row>
    <row r="384" spans="1:41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N384" s="3"/>
      <c r="AO384" s="3"/>
    </row>
    <row r="385" spans="1:41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N385" s="3"/>
      <c r="AO385" s="3"/>
    </row>
    <row r="386" spans="1:41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N386" s="3"/>
      <c r="AO386" s="3"/>
    </row>
    <row r="387" spans="1:41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N387" s="3"/>
      <c r="AO387" s="3"/>
    </row>
    <row r="388" spans="1:41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N388" s="3"/>
      <c r="AO388" s="3"/>
    </row>
    <row r="389" spans="1:41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N389" s="3"/>
      <c r="AO389" s="3"/>
    </row>
    <row r="390" spans="1:41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N390" s="3"/>
      <c r="AO390" s="3"/>
    </row>
    <row r="391" spans="1:4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N391" s="3"/>
      <c r="AO391" s="3"/>
    </row>
    <row r="392" spans="1:41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N392" s="3"/>
      <c r="AO392" s="3"/>
    </row>
    <row r="393" spans="1:41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N393" s="3"/>
      <c r="AO393" s="3"/>
    </row>
    <row r="394" spans="1:41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N394" s="3"/>
      <c r="AO394" s="3"/>
    </row>
    <row r="395" spans="1:41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N395" s="3"/>
      <c r="AO395" s="3"/>
    </row>
    <row r="396" spans="1:41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N396" s="3"/>
      <c r="AO396" s="3"/>
    </row>
    <row r="397" spans="1:41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N397" s="3"/>
      <c r="AO397" s="3"/>
    </row>
    <row r="398" spans="1:41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N398" s="3"/>
      <c r="AO398" s="3"/>
    </row>
    <row r="399" spans="1:41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N399" s="3"/>
      <c r="AO399" s="3"/>
    </row>
    <row r="400" spans="1:41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N400" s="3"/>
      <c r="AO400" s="3"/>
    </row>
    <row r="401" spans="1:4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N401" s="3"/>
      <c r="AO401" s="3"/>
    </row>
    <row r="402" spans="1:41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N402" s="3"/>
      <c r="AO402" s="3"/>
    </row>
    <row r="403" spans="1:41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N403" s="3"/>
      <c r="AO403" s="3"/>
    </row>
    <row r="404" spans="1:41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N404" s="3"/>
      <c r="AO404" s="3"/>
    </row>
    <row r="405" spans="1:41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N405" s="3"/>
      <c r="AO405" s="3"/>
    </row>
    <row r="406" spans="1:41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N406" s="3"/>
      <c r="AO406" s="3"/>
    </row>
    <row r="407" spans="1:41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N407" s="3"/>
      <c r="AO407" s="3"/>
    </row>
    <row r="408" spans="1:41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N408" s="3"/>
      <c r="AO408" s="3"/>
    </row>
    <row r="409" spans="1:41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N409" s="3"/>
      <c r="AO409" s="3"/>
    </row>
    <row r="410" spans="1:41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N410" s="3"/>
      <c r="AO410" s="3"/>
    </row>
    <row r="411" spans="1:4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N411" s="3"/>
      <c r="AO411" s="3"/>
    </row>
    <row r="412" spans="1:41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N412" s="3"/>
      <c r="AO412" s="3"/>
    </row>
    <row r="413" spans="1:41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N413" s="3"/>
      <c r="AO413" s="3"/>
    </row>
    <row r="414" spans="1:41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N414" s="3"/>
      <c r="AO414" s="3"/>
    </row>
    <row r="415" spans="1:41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N415" s="3"/>
      <c r="AO415" s="3"/>
    </row>
    <row r="416" spans="1:41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N416" s="3"/>
      <c r="AO416" s="3"/>
    </row>
    <row r="417" spans="1:41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N417" s="3"/>
      <c r="AO417" s="3"/>
    </row>
    <row r="418" spans="1:41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N418" s="3"/>
      <c r="AO418" s="3"/>
    </row>
    <row r="419" spans="1:41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N419" s="3"/>
      <c r="AO419" s="3"/>
    </row>
    <row r="420" spans="1:41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N420" s="3"/>
      <c r="AO420" s="3"/>
    </row>
    <row r="421" spans="1:4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N421" s="3"/>
      <c r="AO421" s="3"/>
    </row>
    <row r="422" spans="1:41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N422" s="3"/>
      <c r="AO422" s="3"/>
    </row>
    <row r="423" spans="1:41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N423" s="3"/>
      <c r="AO423" s="3"/>
    </row>
    <row r="424" spans="1:41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N424" s="3"/>
      <c r="AO424" s="3"/>
    </row>
    <row r="425" spans="1:41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N425" s="3"/>
      <c r="AO425" s="3"/>
    </row>
    <row r="426" spans="1:41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N426" s="3"/>
      <c r="AO426" s="3"/>
    </row>
    <row r="427" spans="1:41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N427" s="3"/>
      <c r="AO427" s="3"/>
    </row>
    <row r="428" spans="1:41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N428" s="3"/>
      <c r="AO428" s="3"/>
    </row>
    <row r="429" spans="1:41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N429" s="3"/>
      <c r="AO429" s="3"/>
    </row>
    <row r="430" spans="1:41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N430" s="3"/>
      <c r="AO430" s="3"/>
    </row>
    <row r="431" spans="1:4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N431" s="3"/>
      <c r="AO431" s="3"/>
    </row>
    <row r="432" spans="1:41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N432" s="3"/>
      <c r="AO432" s="3"/>
    </row>
    <row r="433" spans="1:41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N433" s="3"/>
      <c r="AO433" s="3"/>
    </row>
    <row r="434" spans="1:41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N434" s="3"/>
      <c r="AO434" s="3"/>
    </row>
    <row r="435" spans="1:41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N435" s="3"/>
      <c r="AO435" s="3"/>
    </row>
    <row r="436" spans="1:41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N436" s="3"/>
      <c r="AO436" s="3"/>
    </row>
    <row r="437" spans="1:41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N437" s="3"/>
      <c r="AO437" s="3"/>
    </row>
    <row r="438" spans="1:41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N438" s="3"/>
      <c r="AO438" s="3"/>
    </row>
    <row r="439" spans="1:41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N439" s="3"/>
      <c r="AO439" s="3"/>
    </row>
    <row r="440" spans="1:41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N440" s="3"/>
      <c r="AO440" s="3"/>
    </row>
    <row r="441" spans="1: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N441" s="3"/>
      <c r="AO441" s="3"/>
    </row>
    <row r="442" spans="1:41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N442" s="3"/>
      <c r="AO442" s="3"/>
    </row>
    <row r="443" spans="1:41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N443" s="3"/>
      <c r="AO443" s="3"/>
    </row>
    <row r="444" spans="1:41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N444" s="3"/>
      <c r="AO444" s="3"/>
    </row>
    <row r="445" spans="1:41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N445" s="3"/>
      <c r="AO445" s="3"/>
    </row>
    <row r="446" spans="1:41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N446" s="3"/>
      <c r="AO446" s="3"/>
    </row>
    <row r="447" spans="1:41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N447" s="3"/>
      <c r="AO447" s="3"/>
    </row>
    <row r="448" spans="1:41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N448" s="3"/>
      <c r="AO448" s="3"/>
    </row>
    <row r="449" spans="1:41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N449" s="3"/>
      <c r="AO449" s="3"/>
    </row>
    <row r="450" spans="1:41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N450" s="3"/>
      <c r="AO450" s="3"/>
    </row>
    <row r="451" spans="1:4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N451" s="3"/>
      <c r="AO451" s="3"/>
    </row>
    <row r="452" spans="1:41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N452" s="3"/>
      <c r="AO452" s="3"/>
    </row>
    <row r="453" spans="1:41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N453" s="3"/>
      <c r="AO453" s="3"/>
    </row>
    <row r="454" spans="1:41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N454" s="3"/>
      <c r="AO454" s="3"/>
    </row>
    <row r="455" spans="1:41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N455" s="3"/>
      <c r="AO455" s="3"/>
    </row>
    <row r="456" spans="1:41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N456" s="3"/>
      <c r="AO456" s="3"/>
    </row>
    <row r="457" spans="1:41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N457" s="3"/>
      <c r="AO457" s="3"/>
    </row>
    <row r="458" spans="1:41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N458" s="3"/>
      <c r="AO458" s="3"/>
    </row>
    <row r="459" spans="1:41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N459" s="3"/>
      <c r="AO459" s="3"/>
    </row>
    <row r="460" spans="1:41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N460" s="3"/>
      <c r="AO460" s="3"/>
    </row>
    <row r="461" spans="1:4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N461" s="3"/>
      <c r="AO461" s="3"/>
    </row>
    <row r="462" spans="1:41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N462" s="3"/>
      <c r="AO462" s="3"/>
    </row>
    <row r="463" spans="1:41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N463" s="3"/>
      <c r="AO463" s="3"/>
    </row>
    <row r="464" spans="1:41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N464" s="3"/>
      <c r="AO464" s="3"/>
    </row>
    <row r="465" spans="1:41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N465" s="3"/>
      <c r="AO465" s="3"/>
    </row>
    <row r="466" spans="1:41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N466" s="3"/>
      <c r="AO466" s="3"/>
    </row>
    <row r="467" spans="1:41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N467" s="3"/>
      <c r="AO467" s="3"/>
    </row>
    <row r="468" spans="1:41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N468" s="3"/>
      <c r="AO468" s="3"/>
    </row>
    <row r="469" spans="1:41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N469" s="3"/>
      <c r="AO469" s="3"/>
    </row>
    <row r="470" spans="1:41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N470" s="3"/>
      <c r="AO470" s="3"/>
    </row>
    <row r="471" spans="1:4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N471" s="3"/>
      <c r="AO471" s="3"/>
    </row>
    <row r="472" spans="1:41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N472" s="3"/>
      <c r="AO472" s="3"/>
    </row>
    <row r="473" spans="1:41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N473" s="3"/>
      <c r="AO473" s="3"/>
    </row>
    <row r="474" spans="1:41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N474" s="3"/>
      <c r="AO474" s="3"/>
    </row>
    <row r="475" spans="1:41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N475" s="3"/>
      <c r="AO475" s="3"/>
    </row>
    <row r="476" spans="1:41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N476" s="3"/>
      <c r="AO476" s="3"/>
    </row>
    <row r="477" spans="1:41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N477" s="3"/>
      <c r="AO477" s="3"/>
    </row>
    <row r="478" spans="1:41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N478" s="3"/>
      <c r="AO478" s="3"/>
    </row>
    <row r="479" spans="1:41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N479" s="3"/>
      <c r="AO479" s="3"/>
    </row>
    <row r="480" spans="1:41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N480" s="3"/>
      <c r="AO480" s="3"/>
    </row>
    <row r="481" spans="1:4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N481" s="3"/>
      <c r="AO481" s="3"/>
    </row>
    <row r="482" spans="1:41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N482" s="3"/>
      <c r="AO482" s="3"/>
    </row>
    <row r="483" spans="1:41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N483" s="3"/>
      <c r="AO483" s="3"/>
    </row>
    <row r="484" spans="1:41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N484" s="3"/>
      <c r="AO484" s="3"/>
    </row>
    <row r="485" spans="1:41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N485" s="3"/>
      <c r="AO485" s="3"/>
    </row>
    <row r="486" spans="1:41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N486" s="3"/>
      <c r="AO486" s="3"/>
    </row>
    <row r="487" spans="1:41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N487" s="3"/>
      <c r="AO487" s="3"/>
    </row>
    <row r="488" spans="1:41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N488" s="3"/>
      <c r="AO488" s="3"/>
    </row>
    <row r="489" spans="1:41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N489" s="3"/>
      <c r="AO489" s="3"/>
    </row>
    <row r="490" spans="1:41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N490" s="3"/>
      <c r="AO490" s="3"/>
    </row>
    <row r="491" spans="1:4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N491" s="3"/>
      <c r="AO491" s="3"/>
    </row>
    <row r="492" spans="1:41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N492" s="3"/>
      <c r="AO492" s="3"/>
    </row>
    <row r="493" spans="1:41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N493" s="3"/>
      <c r="AO493" s="3"/>
    </row>
    <row r="494" spans="1:41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N494" s="3"/>
      <c r="AO494" s="3"/>
    </row>
    <row r="495" spans="1:41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N495" s="3"/>
      <c r="AO495" s="3"/>
    </row>
    <row r="496" spans="1:41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N496" s="3"/>
      <c r="AO496" s="3"/>
    </row>
    <row r="497" spans="1:41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N497" s="3"/>
      <c r="AO497" s="3"/>
    </row>
    <row r="498" spans="1:41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N498" s="3"/>
      <c r="AO498" s="3"/>
    </row>
    <row r="499" spans="1:41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N499" s="3"/>
      <c r="AO499" s="3"/>
    </row>
    <row r="500" spans="1:41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N500" s="3"/>
      <c r="AO500" s="3"/>
    </row>
    <row r="501" spans="1:4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N501" s="3"/>
      <c r="AO501" s="3"/>
    </row>
    <row r="502" spans="1:41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N502" s="3"/>
      <c r="AO502" s="3"/>
    </row>
    <row r="503" spans="1:41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N503" s="3"/>
      <c r="AO503" s="3"/>
    </row>
    <row r="504" spans="1:41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N504" s="3"/>
      <c r="AO504" s="3"/>
    </row>
    <row r="505" spans="1:41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N505" s="3"/>
      <c r="AO505" s="3"/>
    </row>
    <row r="506" spans="1:41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N506" s="3"/>
      <c r="AO506" s="3"/>
    </row>
    <row r="507" spans="1:41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N507" s="3"/>
      <c r="AO507" s="3"/>
    </row>
    <row r="508" spans="1:41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N508" s="3"/>
      <c r="AO508" s="3"/>
    </row>
    <row r="509" spans="1:41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N509" s="3"/>
      <c r="AO509" s="3"/>
    </row>
    <row r="510" spans="1:41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N510" s="3"/>
      <c r="AO510" s="3"/>
    </row>
    <row r="511" spans="1:4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N511" s="3"/>
      <c r="AO511" s="3"/>
    </row>
    <row r="512" spans="1:41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N512" s="3"/>
      <c r="AO512" s="3"/>
    </row>
    <row r="513" spans="1:41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N513" s="3"/>
      <c r="AO513" s="3"/>
    </row>
    <row r="514" spans="1:41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N514" s="3"/>
      <c r="AO514" s="3"/>
    </row>
    <row r="515" spans="1:41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N515" s="3"/>
      <c r="AO515" s="3"/>
    </row>
    <row r="516" spans="1:41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N516" s="3"/>
      <c r="AO516" s="3"/>
    </row>
    <row r="517" spans="1:41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N517" s="3"/>
      <c r="AO517" s="3"/>
    </row>
    <row r="518" spans="1:41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N518" s="3"/>
      <c r="AO518" s="3"/>
    </row>
    <row r="519" spans="1:41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N519" s="3"/>
      <c r="AO519" s="3"/>
    </row>
    <row r="520" spans="1:41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N520" s="3"/>
      <c r="AO520" s="3"/>
    </row>
    <row r="521" spans="1:4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N521" s="3"/>
      <c r="AO521" s="3"/>
    </row>
    <row r="522" spans="1:41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N522" s="3"/>
      <c r="AO522" s="3"/>
    </row>
    <row r="523" spans="1:41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N523" s="3"/>
      <c r="AO523" s="3"/>
    </row>
    <row r="524" spans="1:41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N524" s="3"/>
      <c r="AO524" s="3"/>
    </row>
    <row r="525" spans="1:41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N525" s="3"/>
      <c r="AO525" s="3"/>
    </row>
    <row r="526" spans="1:41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N526" s="3"/>
      <c r="AO526" s="3"/>
    </row>
    <row r="527" spans="1:41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N527" s="3"/>
      <c r="AO527" s="3"/>
    </row>
    <row r="528" spans="1:41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N528" s="3"/>
      <c r="AO528" s="3"/>
    </row>
    <row r="529" spans="1:41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N529" s="3"/>
      <c r="AO529" s="3"/>
    </row>
    <row r="530" spans="1:41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N530" s="3"/>
      <c r="AO530" s="3"/>
    </row>
    <row r="531" spans="1:4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N531" s="3"/>
      <c r="AO531" s="3"/>
    </row>
    <row r="532" spans="1:41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N532" s="3"/>
      <c r="AO532" s="3"/>
    </row>
    <row r="533" spans="1:41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N533" s="3"/>
      <c r="AO533" s="3"/>
    </row>
    <row r="534" spans="1:41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N534" s="3"/>
      <c r="AO534" s="3"/>
    </row>
    <row r="535" spans="1:41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N535" s="3"/>
      <c r="AO535" s="3"/>
    </row>
    <row r="536" spans="1:41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N536" s="3"/>
      <c r="AO536" s="3"/>
    </row>
    <row r="537" spans="1:41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N537" s="3"/>
      <c r="AO537" s="3"/>
    </row>
    <row r="538" spans="1:41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N538" s="3"/>
      <c r="AO538" s="3"/>
    </row>
    <row r="539" spans="1:41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N539" s="3"/>
      <c r="AO539" s="3"/>
    </row>
    <row r="540" spans="1:41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N540" s="3"/>
      <c r="AO540" s="3"/>
    </row>
    <row r="541" spans="1: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N541" s="3"/>
      <c r="AO541" s="3"/>
    </row>
    <row r="542" spans="1:41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N542" s="3"/>
      <c r="AO542" s="3"/>
    </row>
    <row r="543" spans="1:41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N543" s="3"/>
      <c r="AO543" s="3"/>
    </row>
    <row r="544" spans="1:41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N544" s="3"/>
      <c r="AO544" s="3"/>
    </row>
    <row r="545" spans="1:41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N545" s="3"/>
      <c r="AO545" s="3"/>
    </row>
    <row r="546" spans="1:41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N546" s="3"/>
      <c r="AO546" s="3"/>
    </row>
    <row r="547" spans="1:41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N547" s="3"/>
      <c r="AO547" s="3"/>
    </row>
    <row r="548" spans="1:41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N548" s="3"/>
      <c r="AO548" s="3"/>
    </row>
    <row r="549" spans="1:41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N549" s="3"/>
      <c r="AO549" s="3"/>
    </row>
    <row r="550" spans="1:41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N550" s="3"/>
      <c r="AO550" s="3"/>
    </row>
    <row r="551" spans="1:4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N551" s="3"/>
      <c r="AO551" s="3"/>
    </row>
    <row r="552" spans="1:41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N552" s="3"/>
      <c r="AO552" s="3"/>
    </row>
    <row r="553" spans="1:41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N553" s="3"/>
      <c r="AO553" s="3"/>
    </row>
    <row r="554" spans="1:41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N554" s="3"/>
      <c r="AO554" s="3"/>
    </row>
    <row r="555" spans="1:41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N555" s="3"/>
      <c r="AO555" s="3"/>
    </row>
    <row r="556" spans="1:41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N556" s="3"/>
      <c r="AO556" s="3"/>
    </row>
    <row r="557" spans="1:41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N557" s="3"/>
      <c r="AO557" s="3"/>
    </row>
    <row r="558" spans="1:41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N558" s="3"/>
      <c r="AO558" s="3"/>
    </row>
    <row r="559" spans="1:41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N559" s="3"/>
      <c r="AO559" s="3"/>
    </row>
    <row r="560" spans="1:41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N560" s="3"/>
      <c r="AO560" s="3"/>
    </row>
    <row r="561" spans="1:4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N561" s="3"/>
      <c r="AO561" s="3"/>
    </row>
    <row r="562" spans="1:41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N562" s="3"/>
      <c r="AO562" s="3"/>
    </row>
    <row r="563" spans="1:41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N563" s="3"/>
      <c r="AO563" s="3"/>
    </row>
    <row r="564" spans="1:41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N564" s="3"/>
      <c r="AO564" s="3"/>
    </row>
    <row r="565" spans="1:41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N565" s="3"/>
      <c r="AO565" s="3"/>
    </row>
    <row r="566" spans="1:41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N566" s="3"/>
      <c r="AO566" s="3"/>
    </row>
    <row r="567" spans="1:41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N567" s="3"/>
      <c r="AO567" s="3"/>
    </row>
    <row r="568" spans="1:41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N568" s="3"/>
      <c r="AO568" s="3"/>
    </row>
    <row r="569" spans="1:41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N569" s="3"/>
      <c r="AO569" s="3"/>
    </row>
    <row r="570" spans="1:41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N570" s="3"/>
      <c r="AO570" s="3"/>
    </row>
    <row r="571" spans="1:4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N571" s="3"/>
      <c r="AO571" s="3"/>
    </row>
    <row r="572" spans="1:41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N572" s="3"/>
      <c r="AO572" s="3"/>
    </row>
    <row r="573" spans="1:41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N573" s="3"/>
      <c r="AO573" s="3"/>
    </row>
    <row r="574" spans="1:41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N574" s="3"/>
      <c r="AO574" s="3"/>
    </row>
    <row r="575" spans="1:41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N575" s="3"/>
      <c r="AO575" s="3"/>
    </row>
    <row r="576" spans="1:41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N576" s="3"/>
      <c r="AO576" s="3"/>
    </row>
    <row r="577" spans="1:41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N577" s="3"/>
      <c r="AO577" s="3"/>
    </row>
    <row r="578" spans="1:41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N578" s="3"/>
      <c r="AO578" s="3"/>
    </row>
    <row r="579" spans="1:41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N579" s="3"/>
      <c r="AO579" s="3"/>
    </row>
    <row r="580" spans="1:41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N580" s="3"/>
      <c r="AO580" s="3"/>
    </row>
    <row r="581" spans="1:4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N581" s="3"/>
      <c r="AO581" s="3"/>
    </row>
    <row r="582" spans="1:41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N582" s="3"/>
      <c r="AO582" s="3"/>
    </row>
    <row r="583" spans="1:41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N583" s="3"/>
      <c r="AO583" s="3"/>
    </row>
    <row r="584" spans="1:41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N584" s="3"/>
      <c r="AO584" s="3"/>
    </row>
    <row r="585" spans="1:41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N585" s="3"/>
      <c r="AO585" s="3"/>
    </row>
    <row r="586" spans="1:41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N586" s="3"/>
      <c r="AO586" s="3"/>
    </row>
    <row r="587" spans="1:41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N587" s="3"/>
      <c r="AO587" s="3"/>
    </row>
    <row r="588" spans="1:41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N588" s="3"/>
      <c r="AO588" s="3"/>
    </row>
    <row r="589" spans="1:41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N589" s="3"/>
      <c r="AO589" s="3"/>
    </row>
    <row r="590" spans="1:41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N590" s="3"/>
      <c r="AO590" s="3"/>
    </row>
    <row r="591" spans="1:4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N591" s="3"/>
      <c r="AO591" s="3"/>
    </row>
    <row r="592" spans="1:41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N592" s="3"/>
      <c r="AO592" s="3"/>
    </row>
    <row r="593" spans="1:41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N593" s="3"/>
      <c r="AO593" s="3"/>
    </row>
    <row r="594" spans="1:41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N594" s="3"/>
      <c r="AO594" s="3"/>
    </row>
    <row r="595" spans="1:41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N595" s="3"/>
      <c r="AO595" s="3"/>
    </row>
    <row r="596" spans="1:41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N596" s="3"/>
      <c r="AO596" s="3"/>
    </row>
    <row r="597" spans="1:41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N597" s="3"/>
      <c r="AO597" s="3"/>
    </row>
    <row r="598" spans="1:41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N598" s="3"/>
      <c r="AO598" s="3"/>
    </row>
    <row r="599" spans="1:41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N599" s="3"/>
      <c r="AO599" s="3"/>
    </row>
    <row r="600" spans="1:41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N600" s="3"/>
      <c r="AO600" s="3"/>
    </row>
    <row r="601" spans="1:4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N601" s="3"/>
      <c r="AO601" s="3"/>
    </row>
    <row r="602" spans="1:41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N602" s="3"/>
      <c r="AO602" s="3"/>
    </row>
    <row r="603" spans="1:41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N603" s="3"/>
      <c r="AO603" s="3"/>
    </row>
    <row r="604" spans="1:41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N604" s="3"/>
      <c r="AO604" s="3"/>
    </row>
    <row r="605" spans="1:41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N605" s="3"/>
      <c r="AO605" s="3"/>
    </row>
    <row r="606" spans="1:41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N606" s="3"/>
      <c r="AO606" s="3"/>
    </row>
    <row r="607" spans="1:41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N607" s="3"/>
      <c r="AO607" s="3"/>
    </row>
    <row r="608" spans="1:41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N608" s="3"/>
      <c r="AO608" s="3"/>
    </row>
    <row r="609" spans="1:41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N609" s="3"/>
      <c r="AO609" s="3"/>
    </row>
    <row r="610" spans="1:41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N610" s="3"/>
      <c r="AO610" s="3"/>
    </row>
    <row r="611" spans="1:4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N611" s="3"/>
      <c r="AO611" s="3"/>
    </row>
    <row r="612" spans="1:41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N612" s="3"/>
      <c r="AO612" s="3"/>
    </row>
    <row r="613" spans="1:41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N613" s="3"/>
      <c r="AO613" s="3"/>
    </row>
    <row r="614" spans="1:41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N614" s="3"/>
      <c r="AO614" s="3"/>
    </row>
    <row r="615" spans="1:41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N615" s="3"/>
      <c r="AO615" s="3"/>
    </row>
    <row r="616" spans="1:41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N616" s="3"/>
      <c r="AO616" s="3"/>
    </row>
    <row r="617" spans="1:41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N617" s="3"/>
      <c r="AO617" s="3"/>
    </row>
    <row r="618" spans="1:41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N618" s="3"/>
      <c r="AO618" s="3"/>
    </row>
    <row r="619" spans="1:41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N619" s="3"/>
      <c r="AO619" s="3"/>
    </row>
    <row r="620" spans="1:41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N620" s="3"/>
      <c r="AO620" s="3"/>
    </row>
    <row r="621" spans="1:4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N621" s="3"/>
      <c r="AO621" s="3"/>
    </row>
    <row r="622" spans="1:41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N622" s="3"/>
      <c r="AO622" s="3"/>
    </row>
    <row r="623" spans="1:41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N623" s="3"/>
      <c r="AO623" s="3"/>
    </row>
    <row r="624" spans="1:41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N624" s="3"/>
      <c r="AO624" s="3"/>
    </row>
    <row r="625" spans="1:41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N625" s="3"/>
      <c r="AO625" s="3"/>
    </row>
    <row r="626" spans="1:41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N626" s="3"/>
      <c r="AO626" s="3"/>
    </row>
    <row r="627" spans="1:41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N627" s="3"/>
      <c r="AO627" s="3"/>
    </row>
    <row r="628" spans="1:41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N628" s="3"/>
      <c r="AO628" s="3"/>
    </row>
    <row r="629" spans="1:41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N629" s="3"/>
      <c r="AO629" s="3"/>
    </row>
    <row r="630" spans="1:41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N630" s="3"/>
      <c r="AO630" s="3"/>
    </row>
    <row r="631" spans="1:4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N631" s="3"/>
      <c r="AO631" s="3"/>
    </row>
    <row r="632" spans="1:41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N632" s="3"/>
      <c r="AO632" s="3"/>
    </row>
    <row r="633" spans="1:41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N633" s="3"/>
      <c r="AO633" s="3"/>
    </row>
    <row r="634" spans="1:41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N634" s="3"/>
      <c r="AO634" s="3"/>
    </row>
    <row r="635" spans="1:41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N635" s="3"/>
      <c r="AO635" s="3"/>
    </row>
    <row r="636" spans="1:41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N636" s="3"/>
      <c r="AO636" s="3"/>
    </row>
    <row r="637" spans="1:41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N637" s="3"/>
      <c r="AO637" s="3"/>
    </row>
    <row r="638" spans="1:41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N638" s="3"/>
      <c r="AO638" s="3"/>
    </row>
    <row r="639" spans="1:41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N639" s="3"/>
      <c r="AO639" s="3"/>
    </row>
    <row r="640" spans="1:41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N640" s="3"/>
      <c r="AO640" s="3"/>
    </row>
    <row r="641" spans="1: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N641" s="3"/>
      <c r="AO641" s="3"/>
    </row>
    <row r="642" spans="1:41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N642" s="3"/>
      <c r="AO642" s="3"/>
    </row>
    <row r="643" spans="1:41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N643" s="3"/>
      <c r="AO643" s="3"/>
    </row>
    <row r="644" spans="1:41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N644" s="3"/>
      <c r="AO644" s="3"/>
    </row>
    <row r="645" spans="1:41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N645" s="3"/>
      <c r="AO645" s="3"/>
    </row>
    <row r="646" spans="1:41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N646" s="3"/>
      <c r="AO646" s="3"/>
    </row>
    <row r="647" spans="1:41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N647" s="3"/>
      <c r="AO647" s="3"/>
    </row>
    <row r="648" spans="1:41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N648" s="3"/>
      <c r="AO648" s="3"/>
    </row>
    <row r="649" spans="1:41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N649" s="3"/>
      <c r="AO649" s="3"/>
    </row>
    <row r="650" spans="1:41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N650" s="3"/>
      <c r="AO650" s="3"/>
    </row>
    <row r="651" spans="1:4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N651" s="3"/>
      <c r="AO651" s="3"/>
    </row>
    <row r="652" spans="1:41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N652" s="3"/>
      <c r="AO652" s="3"/>
    </row>
    <row r="653" spans="1:41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N653" s="3"/>
      <c r="AO653" s="3"/>
    </row>
    <row r="654" spans="1:41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N654" s="3"/>
      <c r="AO654" s="3"/>
    </row>
    <row r="655" spans="1:41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N655" s="3"/>
      <c r="AO655" s="3"/>
    </row>
    <row r="656" spans="1:41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N656" s="3"/>
      <c r="AO656" s="3"/>
    </row>
    <row r="657" spans="1:41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N657" s="3"/>
      <c r="AO657" s="3"/>
    </row>
    <row r="658" spans="1:41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N658" s="3"/>
      <c r="AO658" s="3"/>
    </row>
    <row r="659" spans="1:41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N659" s="3"/>
      <c r="AO659" s="3"/>
    </row>
    <row r="660" spans="1:41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N660" s="3"/>
      <c r="AO660" s="3"/>
    </row>
    <row r="661" spans="1:4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N661" s="3"/>
      <c r="AO661" s="3"/>
    </row>
    <row r="662" spans="1:41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N662" s="3"/>
      <c r="AO662" s="3"/>
    </row>
    <row r="663" spans="1:41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N663" s="3"/>
      <c r="AO663" s="3"/>
    </row>
    <row r="664" spans="1:41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N664" s="3"/>
      <c r="AO664" s="3"/>
    </row>
    <row r="665" spans="1:41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N665" s="3"/>
      <c r="AO665" s="3"/>
    </row>
    <row r="666" spans="1:41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N666" s="3"/>
      <c r="AO666" s="3"/>
    </row>
    <row r="667" spans="1:41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N667" s="3"/>
      <c r="AO667" s="3"/>
    </row>
    <row r="668" spans="1:41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N668" s="3"/>
      <c r="AO668" s="3"/>
    </row>
    <row r="669" spans="1:41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N669" s="3"/>
      <c r="AO669" s="3"/>
    </row>
    <row r="670" spans="1:41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N670" s="3"/>
      <c r="AO670" s="3"/>
    </row>
    <row r="671" spans="1:4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N671" s="3"/>
      <c r="AO671" s="3"/>
    </row>
    <row r="672" spans="1:41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N672" s="3"/>
      <c r="AO672" s="3"/>
    </row>
    <row r="673" spans="1:41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N673" s="3"/>
      <c r="AO673" s="3"/>
    </row>
    <row r="674" spans="1:41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N674" s="3"/>
      <c r="AO674" s="3"/>
    </row>
    <row r="675" spans="1:41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N675" s="3"/>
      <c r="AO675" s="3"/>
    </row>
    <row r="676" spans="1:41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N676" s="3"/>
      <c r="AO676" s="3"/>
    </row>
    <row r="677" spans="1:41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N677" s="3"/>
      <c r="AO677" s="3"/>
    </row>
    <row r="678" spans="1:41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N678" s="3"/>
      <c r="AO678" s="3"/>
    </row>
    <row r="679" spans="1:41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N679" s="3"/>
      <c r="AO679" s="3"/>
    </row>
    <row r="680" spans="1:41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N680" s="3"/>
      <c r="AO680" s="3"/>
    </row>
    <row r="681" spans="1:4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N681" s="3"/>
      <c r="AO681" s="3"/>
    </row>
    <row r="682" spans="1:41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N682" s="3"/>
      <c r="AO682" s="3"/>
    </row>
    <row r="683" spans="1:41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N683" s="3"/>
      <c r="AO683" s="3"/>
    </row>
    <row r="684" spans="1:41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N684" s="3"/>
      <c r="AO684" s="3"/>
    </row>
    <row r="685" spans="1:41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N685" s="3"/>
      <c r="AO685" s="3"/>
    </row>
    <row r="686" spans="1:41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N686" s="3"/>
      <c r="AO686" s="3"/>
    </row>
    <row r="687" spans="1:41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N687" s="3"/>
      <c r="AO687" s="3"/>
    </row>
    <row r="688" spans="1:41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N688" s="3"/>
      <c r="AO688" s="3"/>
    </row>
    <row r="689" spans="1:41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N689" s="3"/>
      <c r="AO689" s="3"/>
    </row>
    <row r="690" spans="1:41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N690" s="3"/>
      <c r="AO690" s="3"/>
    </row>
    <row r="691" spans="1:4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N691" s="3"/>
      <c r="AO691" s="3"/>
    </row>
    <row r="692" spans="1:41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N692" s="3"/>
      <c r="AO692" s="3"/>
    </row>
    <row r="693" spans="1:41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N693" s="3"/>
      <c r="AO693" s="3"/>
    </row>
    <row r="694" spans="1:41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N694" s="3"/>
      <c r="AO694" s="3"/>
    </row>
    <row r="695" spans="1:41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N695" s="3"/>
      <c r="AO695" s="3"/>
    </row>
    <row r="696" spans="1:41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N696" s="3"/>
      <c r="AO696" s="3"/>
    </row>
    <row r="697" spans="1:41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N697" s="3"/>
      <c r="AO697" s="3"/>
    </row>
    <row r="698" spans="1:41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N698" s="3"/>
      <c r="AO698" s="3"/>
    </row>
    <row r="699" spans="1:41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N699" s="3"/>
      <c r="AO699" s="3"/>
    </row>
    <row r="700" spans="1:41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N700" s="3"/>
      <c r="AO700" s="3"/>
    </row>
    <row r="701" spans="1:4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N701" s="3"/>
      <c r="AO701" s="3"/>
    </row>
    <row r="702" spans="1:41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N702" s="3"/>
      <c r="AO702" s="3"/>
    </row>
    <row r="703" spans="1:41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N703" s="3"/>
      <c r="AO703" s="3"/>
    </row>
    <row r="704" spans="1:41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N704" s="3"/>
      <c r="AO704" s="3"/>
    </row>
    <row r="705" spans="1:41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N705" s="3"/>
      <c r="AO705" s="3"/>
    </row>
    <row r="706" spans="1:41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N706" s="3"/>
      <c r="AO706" s="3"/>
    </row>
    <row r="707" spans="1:41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N707" s="3"/>
      <c r="AO707" s="3"/>
    </row>
    <row r="708" spans="1:41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N708" s="3"/>
      <c r="AO708" s="3"/>
    </row>
    <row r="709" spans="1:41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N709" s="3"/>
      <c r="AO709" s="3"/>
    </row>
    <row r="710" spans="1:41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N710" s="3"/>
      <c r="AO710" s="3"/>
    </row>
    <row r="711" spans="1:4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N711" s="3"/>
      <c r="AO711" s="3"/>
    </row>
    <row r="712" spans="1:41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N712" s="3"/>
      <c r="AO712" s="3"/>
    </row>
    <row r="713" spans="1:41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N713" s="3"/>
      <c r="AO713" s="3"/>
    </row>
    <row r="714" spans="1:41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N714" s="3"/>
      <c r="AO714" s="3"/>
    </row>
    <row r="715" spans="1:41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N715" s="3"/>
      <c r="AO715" s="3"/>
    </row>
    <row r="716" spans="1:41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N716" s="3"/>
      <c r="AO716" s="3"/>
    </row>
    <row r="717" spans="1:41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N717" s="3"/>
      <c r="AO717" s="3"/>
    </row>
    <row r="718" spans="1:41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N718" s="3"/>
      <c r="AO718" s="3"/>
    </row>
    <row r="719" spans="1:41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N719" s="3"/>
      <c r="AO719" s="3"/>
    </row>
    <row r="720" spans="1:41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N720" s="3"/>
      <c r="AO720" s="3"/>
    </row>
    <row r="721" spans="1:4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N721" s="3"/>
      <c r="AO721" s="3"/>
    </row>
    <row r="722" spans="1:41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N722" s="3"/>
      <c r="AO722" s="3"/>
    </row>
    <row r="723" spans="1:41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N723" s="3"/>
      <c r="AO723" s="3"/>
    </row>
    <row r="724" spans="1:41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N724" s="3"/>
      <c r="AO724" s="3"/>
    </row>
    <row r="725" spans="1:41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N725" s="3"/>
      <c r="AO725" s="3"/>
    </row>
    <row r="726" spans="1:41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N726" s="3"/>
      <c r="AO726" s="3"/>
    </row>
    <row r="727" spans="1:41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N727" s="3"/>
      <c r="AO727" s="3"/>
    </row>
    <row r="728" spans="1:41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N728" s="3"/>
      <c r="AO728" s="3"/>
    </row>
    <row r="729" spans="1:41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N729" s="3"/>
      <c r="AO729" s="3"/>
    </row>
    <row r="730" spans="1:41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N730" s="3"/>
      <c r="AO730" s="3"/>
    </row>
    <row r="731" spans="1:4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N731" s="3"/>
      <c r="AO731" s="3"/>
    </row>
    <row r="732" spans="1:41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N732" s="3"/>
      <c r="AO732" s="3"/>
    </row>
    <row r="733" spans="1:41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N733" s="3"/>
      <c r="AO733" s="3"/>
    </row>
    <row r="734" spans="1:41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N734" s="3"/>
      <c r="AO734" s="3"/>
    </row>
    <row r="735" spans="1:41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N735" s="3"/>
      <c r="AO735" s="3"/>
    </row>
    <row r="736" spans="1:41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N736" s="3"/>
      <c r="AO736" s="3"/>
    </row>
    <row r="737" spans="1:41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N737" s="3"/>
      <c r="AO737" s="3"/>
    </row>
    <row r="738" spans="1:41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N738" s="3"/>
      <c r="AO738" s="3"/>
    </row>
    <row r="739" spans="1:41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N739" s="3"/>
      <c r="AO739" s="3"/>
    </row>
    <row r="740" spans="1:41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N740" s="3"/>
      <c r="AO740" s="3"/>
    </row>
    <row r="741" spans="1: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N741" s="3"/>
      <c r="AO741" s="3"/>
    </row>
    <row r="742" spans="1:41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N742" s="3"/>
      <c r="AO742" s="3"/>
    </row>
    <row r="743" spans="1:41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N743" s="3"/>
      <c r="AO743" s="3"/>
    </row>
    <row r="744" spans="1:41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N744" s="3"/>
      <c r="AO744" s="3"/>
    </row>
    <row r="745" spans="1:41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N745" s="3"/>
      <c r="AO745" s="3"/>
    </row>
    <row r="746" spans="1:41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N746" s="3"/>
      <c r="AO746" s="3"/>
    </row>
    <row r="747" spans="1:41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N747" s="3"/>
      <c r="AO747" s="3"/>
    </row>
    <row r="748" spans="1:41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N748" s="3"/>
      <c r="AO748" s="3"/>
    </row>
    <row r="749" spans="1:41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N749" s="3"/>
      <c r="AO749" s="3"/>
    </row>
    <row r="750" spans="1:41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N750" s="3"/>
      <c r="AO750" s="3"/>
    </row>
    <row r="751" spans="1:4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N751" s="3"/>
      <c r="AO751" s="3"/>
    </row>
    <row r="752" spans="1:41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N752" s="3"/>
      <c r="AO752" s="3"/>
    </row>
    <row r="753" spans="1:41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N753" s="3"/>
      <c r="AO753" s="3"/>
    </row>
    <row r="754" spans="1:41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N754" s="3"/>
      <c r="AO754" s="3"/>
    </row>
    <row r="755" spans="1:41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N755" s="3"/>
      <c r="AO755" s="3"/>
    </row>
    <row r="756" spans="1:41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N756" s="3"/>
      <c r="AO756" s="3"/>
    </row>
    <row r="757" spans="1:41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N757" s="3"/>
      <c r="AO757" s="3"/>
    </row>
    <row r="758" spans="1:41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N758" s="3"/>
      <c r="AO758" s="3"/>
    </row>
    <row r="759" spans="1:41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N759" s="3"/>
      <c r="AO759" s="3"/>
    </row>
    <row r="760" spans="1:41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N760" s="3"/>
      <c r="AO760" s="3"/>
    </row>
    <row r="761" spans="1:4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N761" s="3"/>
      <c r="AO761" s="3"/>
    </row>
    <row r="762" spans="1:41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N762" s="3"/>
      <c r="AO762" s="3"/>
    </row>
    <row r="763" spans="1:41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N763" s="3"/>
      <c r="AO763" s="3"/>
    </row>
    <row r="764" spans="1:41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N764" s="3"/>
      <c r="AO764" s="3"/>
    </row>
    <row r="765" spans="1:41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N765" s="3"/>
      <c r="AO765" s="3"/>
    </row>
    <row r="766" spans="1:41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N766" s="3"/>
      <c r="AO766" s="3"/>
    </row>
    <row r="767" spans="1:41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N767" s="3"/>
      <c r="AO767" s="3"/>
    </row>
    <row r="768" spans="1:41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N768" s="3"/>
      <c r="AO768" s="3"/>
    </row>
    <row r="769" spans="1:41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N769" s="3"/>
      <c r="AO769" s="3"/>
    </row>
    <row r="770" spans="1:41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N770" s="3"/>
      <c r="AO770" s="3"/>
    </row>
    <row r="771" spans="1:4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N771" s="3"/>
      <c r="AO771" s="3"/>
    </row>
    <row r="772" spans="1:41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N772" s="3"/>
      <c r="AO772" s="3"/>
    </row>
    <row r="773" spans="1:41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N773" s="3"/>
      <c r="AO773" s="3"/>
    </row>
    <row r="774" spans="1:41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N774" s="3"/>
      <c r="AO774" s="3"/>
    </row>
    <row r="775" spans="1:41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N775" s="3"/>
      <c r="AO775" s="3"/>
    </row>
    <row r="776" spans="1:41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N776" s="3"/>
      <c r="AO776" s="3"/>
    </row>
    <row r="777" spans="1:41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N777" s="3"/>
      <c r="AO777" s="3"/>
    </row>
    <row r="778" spans="1:41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N778" s="3"/>
      <c r="AO778" s="3"/>
    </row>
    <row r="779" spans="1:41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N779" s="3"/>
      <c r="AO779" s="3"/>
    </row>
    <row r="780" spans="1:41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N780" s="3"/>
      <c r="AO780" s="3"/>
    </row>
    <row r="781" spans="1:4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N781" s="3"/>
      <c r="AO781" s="3"/>
    </row>
    <row r="782" spans="1:41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N782" s="3"/>
      <c r="AO782" s="3"/>
    </row>
    <row r="783" spans="1:41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N783" s="3"/>
      <c r="AO783" s="3"/>
    </row>
    <row r="784" spans="1:41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N784" s="3"/>
      <c r="AO784" s="3"/>
    </row>
    <row r="785" spans="1:41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N785" s="3"/>
      <c r="AO785" s="3"/>
    </row>
    <row r="786" spans="1:41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N786" s="3"/>
      <c r="AO786" s="3"/>
    </row>
    <row r="787" spans="1:41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N787" s="3"/>
      <c r="AO787" s="3"/>
    </row>
    <row r="788" spans="1:41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N788" s="3"/>
      <c r="AO788" s="3"/>
    </row>
    <row r="789" spans="1:41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N789" s="3"/>
      <c r="AO789" s="3"/>
    </row>
    <row r="790" spans="1:41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N790" s="3"/>
      <c r="AO790" s="3"/>
    </row>
    <row r="791" spans="1:4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N791" s="3"/>
      <c r="AO791" s="3"/>
    </row>
    <row r="792" spans="1:41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N792" s="3"/>
      <c r="AO792" s="3"/>
    </row>
    <row r="793" spans="1:41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N793" s="3"/>
      <c r="AO793" s="3"/>
    </row>
    <row r="794" spans="1:41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N794" s="3"/>
      <c r="AO794" s="3"/>
    </row>
    <row r="795" spans="1:41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N795" s="3"/>
      <c r="AO795" s="3"/>
    </row>
    <row r="796" spans="1:41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N796" s="3"/>
      <c r="AO796" s="3"/>
    </row>
    <row r="797" spans="1:41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N797" s="3"/>
      <c r="AO797" s="3"/>
    </row>
    <row r="798" spans="1:41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N798" s="3"/>
      <c r="AO798" s="3"/>
    </row>
    <row r="799" spans="1:41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N799" s="3"/>
      <c r="AO799" s="3"/>
    </row>
    <row r="800" spans="1:41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N800" s="3"/>
      <c r="AO800" s="3"/>
    </row>
    <row r="801" spans="1:4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N801" s="3"/>
      <c r="AO801" s="3"/>
    </row>
    <row r="802" spans="1:41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N802" s="3"/>
      <c r="AO802" s="3"/>
    </row>
    <row r="803" spans="1:41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N803" s="3"/>
      <c r="AO803" s="3"/>
    </row>
    <row r="804" spans="1:41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N804" s="3"/>
      <c r="AO804" s="3"/>
    </row>
    <row r="805" spans="1:41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N805" s="3"/>
      <c r="AO805" s="3"/>
    </row>
    <row r="806" spans="1:41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N806" s="3"/>
      <c r="AO806" s="3"/>
    </row>
    <row r="807" spans="1:41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N807" s="3"/>
      <c r="AO807" s="3"/>
    </row>
    <row r="808" spans="1:41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N808" s="3"/>
      <c r="AO808" s="3"/>
    </row>
    <row r="809" spans="1:41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N809" s="3"/>
      <c r="AO809" s="3"/>
    </row>
    <row r="810" spans="1:41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N810" s="3"/>
      <c r="AO810" s="3"/>
    </row>
    <row r="811" spans="1:4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N811" s="3"/>
      <c r="AO811" s="3"/>
    </row>
    <row r="812" spans="1:41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N812" s="3"/>
      <c r="AO812" s="3"/>
    </row>
    <row r="813" spans="1:41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N813" s="3"/>
      <c r="AO813" s="3"/>
    </row>
    <row r="814" spans="1:41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N814" s="3"/>
      <c r="AO814" s="3"/>
    </row>
    <row r="815" spans="1:41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N815" s="3"/>
      <c r="AO815" s="3"/>
    </row>
    <row r="816" spans="1:41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N816" s="3"/>
      <c r="AO816" s="3"/>
    </row>
    <row r="817" spans="1:41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N817" s="3"/>
      <c r="AO817" s="3"/>
    </row>
    <row r="818" spans="1:41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N818" s="3"/>
      <c r="AO818" s="3"/>
    </row>
    <row r="819" spans="1:41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N819" s="3"/>
      <c r="AO819" s="3"/>
    </row>
    <row r="820" spans="1:41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N820" s="3"/>
      <c r="AO820" s="3"/>
    </row>
    <row r="821" spans="1:4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N821" s="3"/>
      <c r="AO821" s="3"/>
    </row>
    <row r="822" spans="1:41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N822" s="3"/>
      <c r="AO822" s="3"/>
    </row>
    <row r="823" spans="1:41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N823" s="3"/>
      <c r="AO823" s="3"/>
    </row>
    <row r="824" spans="1:41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N824" s="3"/>
      <c r="AO824" s="3"/>
    </row>
    <row r="825" spans="1:41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N825" s="3"/>
      <c r="AO825" s="3"/>
    </row>
    <row r="826" spans="1:41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N826" s="3"/>
      <c r="AO826" s="3"/>
    </row>
    <row r="827" spans="1:41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N827" s="3"/>
      <c r="AO827" s="3"/>
    </row>
    <row r="828" spans="1:41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N828" s="3"/>
      <c r="AO828" s="3"/>
    </row>
    <row r="829" spans="1:41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N829" s="3"/>
      <c r="AO829" s="3"/>
    </row>
    <row r="830" spans="1:41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N830" s="3"/>
      <c r="AO830" s="3"/>
    </row>
    <row r="831" spans="1:4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N831" s="3"/>
      <c r="AO831" s="3"/>
    </row>
    <row r="832" spans="1:41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N832" s="3"/>
      <c r="AO832" s="3"/>
    </row>
    <row r="833" spans="1:41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N833" s="3"/>
      <c r="AO833" s="3"/>
    </row>
    <row r="834" spans="1:41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N834" s="3"/>
      <c r="AO834" s="3"/>
    </row>
    <row r="835" spans="1:41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N835" s="3"/>
      <c r="AO835" s="3"/>
    </row>
    <row r="836" spans="1:41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N836" s="3"/>
      <c r="AO836" s="3"/>
    </row>
    <row r="837" spans="1:41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N837" s="3"/>
      <c r="AO837" s="3"/>
    </row>
    <row r="838" spans="1:41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N838" s="3"/>
      <c r="AO838" s="3"/>
    </row>
    <row r="839" spans="1:41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N839" s="3"/>
      <c r="AO839" s="3"/>
    </row>
    <row r="840" spans="1:41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N840" s="3"/>
      <c r="AO840" s="3"/>
    </row>
    <row r="841" spans="1: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N841" s="3"/>
      <c r="AO841" s="3"/>
    </row>
    <row r="842" spans="1:41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N842" s="3"/>
      <c r="AO842" s="3"/>
    </row>
    <row r="843" spans="1:41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N843" s="3"/>
      <c r="AO843" s="3"/>
    </row>
    <row r="844" spans="1:41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N844" s="3"/>
      <c r="AO844" s="3"/>
    </row>
    <row r="845" spans="1:41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N845" s="3"/>
      <c r="AO845" s="3"/>
    </row>
    <row r="846" spans="1:41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N846" s="3"/>
      <c r="AO846" s="3"/>
    </row>
    <row r="847" spans="1:41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N847" s="3"/>
      <c r="AO847" s="3"/>
    </row>
    <row r="848" spans="1:41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N848" s="3"/>
      <c r="AO848" s="3"/>
    </row>
    <row r="849" spans="1:41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N849" s="3"/>
      <c r="AO849" s="3"/>
    </row>
    <row r="850" spans="1:41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N850" s="3"/>
      <c r="AO850" s="3"/>
    </row>
    <row r="851" spans="1:4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N851" s="3"/>
      <c r="AO851" s="3"/>
    </row>
    <row r="852" spans="1:41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N852" s="3"/>
      <c r="AO852" s="3"/>
    </row>
    <row r="853" spans="1:41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N853" s="3"/>
      <c r="AO853" s="3"/>
    </row>
    <row r="854" spans="1:41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N854" s="3"/>
      <c r="AO854" s="3"/>
    </row>
    <row r="855" spans="1:41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N855" s="3"/>
      <c r="AO855" s="3"/>
    </row>
    <row r="856" spans="1:41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N856" s="3"/>
      <c r="AO856" s="3"/>
    </row>
    <row r="857" spans="1:41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N857" s="3"/>
      <c r="AO857" s="3"/>
    </row>
    <row r="858" spans="1:41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N858" s="3"/>
      <c r="AO858" s="3"/>
    </row>
    <row r="859" spans="1:41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N859" s="3"/>
      <c r="AO859" s="3"/>
    </row>
    <row r="860" spans="1:41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N860" s="3"/>
      <c r="AO860" s="3"/>
    </row>
    <row r="861" spans="1:4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N861" s="3"/>
      <c r="AO861" s="3"/>
    </row>
    <row r="862" spans="1:41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N862" s="3"/>
      <c r="AO862" s="3"/>
    </row>
    <row r="863" spans="1:41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N863" s="3"/>
      <c r="AO863" s="3"/>
    </row>
    <row r="864" spans="1:41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N864" s="3"/>
      <c r="AO864" s="3"/>
    </row>
    <row r="865" spans="1:41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N865" s="3"/>
      <c r="AO865" s="3"/>
    </row>
    <row r="866" spans="1:41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N866" s="3"/>
      <c r="AO866" s="3"/>
    </row>
    <row r="867" spans="1:41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N867" s="3"/>
      <c r="AO867" s="3"/>
    </row>
    <row r="868" spans="1:41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N868" s="3"/>
      <c r="AO868" s="3"/>
    </row>
    <row r="869" spans="1:41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N869" s="3"/>
      <c r="AO869" s="3"/>
    </row>
    <row r="870" spans="1:41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N870" s="3"/>
      <c r="AO870" s="3"/>
    </row>
    <row r="871" spans="1:4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N871" s="3"/>
      <c r="AO871" s="3"/>
    </row>
    <row r="872" spans="1:41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N872" s="3"/>
      <c r="AO872" s="3"/>
    </row>
    <row r="873" spans="1:41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N873" s="3"/>
      <c r="AO873" s="3"/>
    </row>
    <row r="874" spans="1:41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N874" s="3"/>
      <c r="AO874" s="3"/>
    </row>
    <row r="875" spans="1:41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N875" s="3"/>
      <c r="AO875" s="3"/>
    </row>
    <row r="876" spans="1:41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N876" s="3"/>
      <c r="AO876" s="3"/>
    </row>
    <row r="877" spans="1:41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N877" s="3"/>
      <c r="AO877" s="3"/>
    </row>
    <row r="878" spans="1:41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N878" s="3"/>
      <c r="AO878" s="3"/>
    </row>
    <row r="879" spans="1:41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N879" s="3"/>
      <c r="AO879" s="3"/>
    </row>
    <row r="880" spans="1:41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N880" s="3"/>
      <c r="AO880" s="3"/>
    </row>
    <row r="881" spans="1:4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N881" s="3"/>
      <c r="AO881" s="3"/>
    </row>
    <row r="882" spans="1:41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N882" s="3"/>
      <c r="AO882" s="3"/>
    </row>
    <row r="883" spans="1:41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N883" s="3"/>
      <c r="AO883" s="3"/>
    </row>
    <row r="884" spans="1:41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N884" s="3"/>
      <c r="AO884" s="3"/>
    </row>
    <row r="885" spans="1:41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N885" s="3"/>
      <c r="AO885" s="3"/>
    </row>
    <row r="886" spans="1:41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N886" s="3"/>
      <c r="AO886" s="3"/>
    </row>
    <row r="887" spans="1:41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N887" s="3"/>
      <c r="AO887" s="3"/>
    </row>
    <row r="888" spans="1:41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N888" s="3"/>
      <c r="AO888" s="3"/>
    </row>
    <row r="889" spans="1:41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N889" s="3"/>
      <c r="AO889" s="3"/>
    </row>
    <row r="890" spans="1:41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N890" s="3"/>
      <c r="AO890" s="3"/>
    </row>
    <row r="891" spans="1:4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N891" s="3"/>
      <c r="AO891" s="3"/>
    </row>
    <row r="892" spans="1:41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N892" s="3"/>
      <c r="AO892" s="3"/>
    </row>
    <row r="893" spans="1:41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N893" s="3"/>
      <c r="AO893" s="3"/>
    </row>
    <row r="894" spans="1:41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N894" s="3"/>
      <c r="AO894" s="3"/>
    </row>
    <row r="895" spans="1:41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N895" s="3"/>
      <c r="AO895" s="3"/>
    </row>
    <row r="896" spans="1:41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N896" s="3"/>
      <c r="AO896" s="3"/>
    </row>
    <row r="897" spans="1:41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N897" s="3"/>
      <c r="AO897" s="3"/>
    </row>
    <row r="898" spans="1:41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N898" s="3"/>
      <c r="AO898" s="3"/>
    </row>
    <row r="899" spans="1:41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N899" s="3"/>
      <c r="AO899" s="3"/>
    </row>
    <row r="900" spans="1:41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N900" s="3"/>
      <c r="AO900" s="3"/>
    </row>
    <row r="901" spans="1:4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N901" s="3"/>
      <c r="AO901" s="3"/>
    </row>
    <row r="902" spans="1:41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N902" s="3"/>
      <c r="AO902" s="3"/>
    </row>
    <row r="903" spans="1:41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N903" s="3"/>
      <c r="AO903" s="3"/>
    </row>
    <row r="904" spans="1:41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N904" s="3"/>
      <c r="AO904" s="3"/>
    </row>
    <row r="905" spans="1:41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N905" s="3"/>
      <c r="AO905" s="3"/>
    </row>
    <row r="906" spans="1:41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N906" s="3"/>
      <c r="AO906" s="3"/>
    </row>
    <row r="907" spans="1:41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N907" s="3"/>
      <c r="AO907" s="3"/>
    </row>
    <row r="908" spans="1:41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N908" s="3"/>
      <c r="AO908" s="3"/>
    </row>
    <row r="909" spans="1:41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N909" s="3"/>
      <c r="AO909" s="3"/>
    </row>
    <row r="910" spans="1:41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N910" s="3"/>
      <c r="AO910" s="3"/>
    </row>
    <row r="911" spans="1:4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N911" s="3"/>
      <c r="AO911" s="3"/>
    </row>
    <row r="912" spans="1:41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N912" s="3"/>
      <c r="AO912" s="3"/>
    </row>
    <row r="913" spans="1:41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N913" s="3"/>
      <c r="AO913" s="3"/>
    </row>
    <row r="914" spans="1:41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N914" s="3"/>
      <c r="AO914" s="3"/>
    </row>
    <row r="915" spans="1:41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N915" s="3"/>
      <c r="AO915" s="3"/>
    </row>
    <row r="916" spans="1:41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N916" s="3"/>
      <c r="AO916" s="3"/>
    </row>
    <row r="917" spans="1:41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N917" s="3"/>
      <c r="AO917" s="3"/>
    </row>
    <row r="918" spans="1:41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N918" s="3"/>
      <c r="AO918" s="3"/>
    </row>
    <row r="919" spans="1:41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N919" s="3"/>
      <c r="AO919" s="3"/>
    </row>
    <row r="920" spans="1:41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N920" s="3"/>
      <c r="AO920" s="3"/>
    </row>
    <row r="921" spans="1:4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N921" s="3"/>
      <c r="AO921" s="3"/>
    </row>
    <row r="922" spans="1:41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N922" s="3"/>
      <c r="AO922" s="3"/>
    </row>
    <row r="923" spans="1:41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N923" s="3"/>
      <c r="AO923" s="3"/>
    </row>
    <row r="924" spans="1:41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N924" s="3"/>
      <c r="AO924" s="3"/>
    </row>
    <row r="925" spans="1:41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N925" s="3"/>
      <c r="AO925" s="3"/>
    </row>
    <row r="926" spans="1:41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N926" s="3"/>
      <c r="AO926" s="3"/>
    </row>
    <row r="927" spans="1:41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N927" s="3"/>
      <c r="AO927" s="3"/>
    </row>
    <row r="928" spans="1:41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N928" s="3"/>
      <c r="AO928" s="3"/>
    </row>
    <row r="929" spans="1:41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N929" s="3"/>
      <c r="AO929" s="3"/>
    </row>
    <row r="930" spans="1:41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N930" s="3"/>
      <c r="AO930" s="3"/>
    </row>
    <row r="931" spans="1:4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N931" s="3"/>
      <c r="AO931" s="3"/>
    </row>
    <row r="932" spans="1:41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N932" s="3"/>
      <c r="AO932" s="3"/>
    </row>
    <row r="933" spans="1:41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N933" s="3"/>
      <c r="AO933" s="3"/>
    </row>
    <row r="934" spans="1:41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N934" s="3"/>
      <c r="AO934" s="3"/>
    </row>
    <row r="935" spans="1:41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N935" s="3"/>
      <c r="AO935" s="3"/>
    </row>
    <row r="936" spans="1:41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N936" s="3"/>
      <c r="AO936" s="3"/>
    </row>
    <row r="937" spans="1:41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N937" s="3"/>
      <c r="AO937" s="3"/>
    </row>
    <row r="938" spans="1:41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N938" s="3"/>
      <c r="AO938" s="3"/>
    </row>
    <row r="939" spans="1:41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N939" s="3"/>
      <c r="AO939" s="3"/>
    </row>
    <row r="940" spans="1:41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N940" s="3"/>
      <c r="AO940" s="3"/>
    </row>
    <row r="941" spans="1: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N941" s="3"/>
      <c r="AO941" s="3"/>
    </row>
    <row r="942" spans="1:41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N942" s="3"/>
      <c r="AO942" s="3"/>
    </row>
    <row r="943" spans="1:41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N943" s="3"/>
      <c r="AO943" s="3"/>
    </row>
    <row r="944" spans="1:41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N944" s="3"/>
      <c r="AO944" s="3"/>
    </row>
    <row r="945" spans="1:41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N945" s="3"/>
      <c r="AO945" s="3"/>
    </row>
    <row r="946" spans="1:41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N946" s="3"/>
      <c r="AO946" s="3"/>
    </row>
    <row r="947" spans="1:41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N947" s="3"/>
      <c r="AO947" s="3"/>
    </row>
    <row r="948" spans="1:41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N948" s="3"/>
      <c r="AO948" s="3"/>
    </row>
    <row r="949" spans="1:41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N949" s="3"/>
      <c r="AO949" s="3"/>
    </row>
    <row r="950" spans="1:41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N950" s="3"/>
      <c r="AO950" s="3"/>
    </row>
    <row r="951" spans="1:4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N951" s="3"/>
      <c r="AO951" s="3"/>
    </row>
    <row r="952" spans="1:41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N952" s="3"/>
      <c r="AO952" s="3"/>
    </row>
    <row r="953" spans="1:41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N953" s="3"/>
      <c r="AO953" s="3"/>
    </row>
    <row r="954" spans="1:41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N954" s="3"/>
      <c r="AO954" s="3"/>
    </row>
    <row r="955" spans="1:41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N955" s="3"/>
      <c r="AO955" s="3"/>
    </row>
    <row r="956" spans="1:41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N956" s="3"/>
      <c r="AO956" s="3"/>
    </row>
    <row r="957" spans="1:41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N957" s="3"/>
      <c r="AO957" s="3"/>
    </row>
    <row r="958" spans="1:41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N958" s="3"/>
      <c r="AO958" s="3"/>
    </row>
    <row r="959" spans="1:41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N959" s="3"/>
      <c r="AO959" s="3"/>
    </row>
    <row r="960" spans="1:41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N960" s="3"/>
      <c r="AO960" s="3"/>
    </row>
    <row r="961" spans="1:4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N961" s="3"/>
      <c r="AO961" s="3"/>
    </row>
    <row r="962" spans="1:41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N962" s="3"/>
      <c r="AO962" s="3"/>
    </row>
    <row r="963" spans="1:41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N963" s="3"/>
      <c r="AO963" s="3"/>
    </row>
    <row r="964" spans="1:41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N964" s="3"/>
      <c r="AO964" s="3"/>
    </row>
    <row r="965" spans="1:41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N965" s="3"/>
      <c r="AO965" s="3"/>
    </row>
    <row r="966" spans="1:41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N966" s="3"/>
      <c r="AO966" s="3"/>
    </row>
    <row r="967" spans="1:41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N967" s="3"/>
      <c r="AO967" s="3"/>
    </row>
    <row r="968" spans="1:41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N968" s="3"/>
      <c r="AO968" s="3"/>
    </row>
    <row r="969" spans="1:41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N969" s="3"/>
      <c r="AO969" s="3"/>
    </row>
    <row r="970" spans="1:41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N970" s="3"/>
      <c r="AO970" s="3"/>
    </row>
    <row r="971" spans="1:4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N971" s="3"/>
      <c r="AO971" s="3"/>
    </row>
    <row r="972" spans="1:41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N972" s="3"/>
      <c r="AO972" s="3"/>
    </row>
    <row r="973" spans="1:41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N973" s="3"/>
      <c r="AO973" s="3"/>
    </row>
    <row r="974" spans="1:41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N974" s="3"/>
      <c r="AO974" s="3"/>
    </row>
    <row r="975" spans="1:41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N975" s="3"/>
      <c r="AO975" s="3"/>
    </row>
    <row r="976" spans="1:41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N976" s="3"/>
      <c r="AO976" s="3"/>
    </row>
    <row r="977" spans="1:41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N977" s="3"/>
      <c r="AO977" s="3"/>
    </row>
    <row r="978" spans="1:41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S978" s="3"/>
      <c r="T978" s="3"/>
      <c r="U978" s="3"/>
      <c r="V978" s="3"/>
      <c r="W978" s="3"/>
      <c r="X978" s="3"/>
      <c r="Y978" s="3"/>
      <c r="Z978" s="3"/>
      <c r="AB978" s="3"/>
      <c r="AC978" s="3"/>
      <c r="AD978" s="3"/>
      <c r="AE978" s="3"/>
      <c r="AF978" s="3"/>
      <c r="AG978" s="3"/>
      <c r="AH978" s="3"/>
      <c r="AI978" s="3"/>
      <c r="AK978" s="3"/>
      <c r="AL978" s="3"/>
      <c r="AN978" s="3"/>
      <c r="AO978" s="3"/>
    </row>
    <row r="979" spans="1:41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S979" s="3"/>
      <c r="T979" s="3"/>
      <c r="U979" s="3"/>
      <c r="V979" s="3"/>
      <c r="W979" s="3"/>
      <c r="X979" s="3"/>
      <c r="Y979" s="3"/>
      <c r="Z979" s="3"/>
      <c r="AB979" s="3"/>
      <c r="AC979" s="3"/>
      <c r="AD979" s="3"/>
      <c r="AE979" s="3"/>
      <c r="AF979" s="3"/>
      <c r="AG979" s="3"/>
      <c r="AH979" s="3"/>
      <c r="AI979" s="3"/>
      <c r="AK979" s="3"/>
      <c r="AL979" s="3"/>
      <c r="AN979" s="3"/>
      <c r="AO979" s="3"/>
    </row>
    <row r="980" spans="1:41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S980" s="3"/>
      <c r="T980" s="3"/>
      <c r="U980" s="3"/>
      <c r="V980" s="3"/>
      <c r="W980" s="3"/>
      <c r="X980" s="3"/>
      <c r="Y980" s="3"/>
      <c r="Z980" s="3"/>
      <c r="AB980" s="3"/>
      <c r="AC980" s="3"/>
      <c r="AD980" s="3"/>
      <c r="AE980" s="3"/>
      <c r="AF980" s="3"/>
      <c r="AG980" s="3"/>
      <c r="AH980" s="3"/>
      <c r="AI980" s="3"/>
      <c r="AK980" s="3"/>
      <c r="AL980" s="3"/>
      <c r="AN980" s="3"/>
      <c r="AO980" s="3"/>
    </row>
    <row r="981" spans="1:4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S981" s="3"/>
      <c r="T981" s="3"/>
      <c r="U981" s="3"/>
      <c r="V981" s="3"/>
      <c r="W981" s="3"/>
      <c r="X981" s="3"/>
      <c r="Y981" s="3"/>
      <c r="Z981" s="3"/>
      <c r="AB981" s="3"/>
      <c r="AC981" s="3"/>
      <c r="AD981" s="3"/>
      <c r="AE981" s="3"/>
      <c r="AF981" s="3"/>
      <c r="AG981" s="3"/>
      <c r="AH981" s="3"/>
      <c r="AI981" s="3"/>
      <c r="AK981" s="3"/>
      <c r="AL981" s="3"/>
      <c r="AN981" s="3"/>
      <c r="AO981" s="3"/>
    </row>
    <row r="982" spans="1:41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S982" s="3"/>
      <c r="T982" s="3"/>
      <c r="U982" s="3"/>
      <c r="V982" s="3"/>
      <c r="W982" s="3"/>
      <c r="X982" s="3"/>
      <c r="Y982" s="3"/>
      <c r="Z982" s="3"/>
      <c r="AB982" s="3"/>
      <c r="AC982" s="3"/>
      <c r="AD982" s="3"/>
      <c r="AE982" s="3"/>
      <c r="AF982" s="3"/>
      <c r="AG982" s="3"/>
      <c r="AH982" s="3"/>
      <c r="AI982" s="3"/>
      <c r="AK982" s="3"/>
      <c r="AL982" s="3"/>
      <c r="AN982" s="3"/>
      <c r="AO982" s="3"/>
    </row>
    <row r="983" spans="1:41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S983" s="3"/>
      <c r="T983" s="3"/>
      <c r="U983" s="3"/>
      <c r="V983" s="3"/>
      <c r="W983" s="3"/>
      <c r="X983" s="3"/>
      <c r="Y983" s="3"/>
      <c r="Z983" s="3"/>
      <c r="AB983" s="3"/>
      <c r="AC983" s="3"/>
      <c r="AD983" s="3"/>
      <c r="AE983" s="3"/>
      <c r="AF983" s="3"/>
      <c r="AG983" s="3"/>
      <c r="AH983" s="3"/>
      <c r="AI983" s="3"/>
      <c r="AK983" s="3"/>
      <c r="AL983" s="3"/>
      <c r="AN983" s="3"/>
      <c r="AO983" s="3"/>
    </row>
    <row r="984" spans="1:41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S984" s="3"/>
      <c r="T984" s="3"/>
      <c r="U984" s="3"/>
      <c r="V984" s="3"/>
      <c r="W984" s="3"/>
      <c r="X984" s="3"/>
      <c r="Y984" s="3"/>
      <c r="Z984" s="3"/>
      <c r="AB984" s="3"/>
      <c r="AC984" s="3"/>
      <c r="AD984" s="3"/>
      <c r="AE984" s="3"/>
      <c r="AF984" s="3"/>
      <c r="AG984" s="3"/>
      <c r="AH984" s="3"/>
      <c r="AI984" s="3"/>
      <c r="AK984" s="3"/>
      <c r="AL984" s="3"/>
      <c r="AN984" s="3"/>
      <c r="AO984" s="3"/>
    </row>
    <row r="985" spans="1:41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S985" s="3"/>
      <c r="T985" s="3"/>
      <c r="U985" s="3"/>
      <c r="V985" s="3"/>
      <c r="W985" s="3"/>
      <c r="X985" s="3"/>
      <c r="Y985" s="3"/>
      <c r="Z985" s="3"/>
      <c r="AB985" s="3"/>
      <c r="AC985" s="3"/>
      <c r="AD985" s="3"/>
      <c r="AE985" s="3"/>
      <c r="AF985" s="3"/>
      <c r="AG985" s="3"/>
      <c r="AH985" s="3"/>
      <c r="AI985" s="3"/>
      <c r="AK985" s="3"/>
      <c r="AL985" s="3"/>
      <c r="AN985" s="3"/>
      <c r="AO985" s="3"/>
    </row>
    <row r="986" spans="1:41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S986" s="3"/>
      <c r="T986" s="3"/>
      <c r="U986" s="3"/>
      <c r="V986" s="3"/>
      <c r="W986" s="3"/>
      <c r="X986" s="3"/>
      <c r="Y986" s="3"/>
      <c r="Z986" s="3"/>
      <c r="AB986" s="3"/>
      <c r="AC986" s="3"/>
      <c r="AD986" s="3"/>
      <c r="AE986" s="3"/>
      <c r="AF986" s="3"/>
      <c r="AG986" s="3"/>
      <c r="AH986" s="3"/>
      <c r="AI986" s="3"/>
      <c r="AK986" s="3"/>
      <c r="AL986" s="3"/>
      <c r="AN986" s="3"/>
      <c r="AO986" s="3"/>
    </row>
  </sheetData>
  <phoneticPr fontId="16" type="noConversion"/>
  <conditionalFormatting sqref="B7:C7">
    <cfRule type="cellIs" dxfId="99" priority="1" operator="lessThan">
      <formula>1</formula>
    </cfRule>
    <cfRule type="cellIs" dxfId="98" priority="2" operator="lessThan">
      <formula>2</formula>
    </cfRule>
  </conditionalFormatting>
  <dataValidations count="6">
    <dataValidation type="list" allowBlank="1" showErrorMessage="1" sqref="G10 W10 AE10 O10 AM10" xr:uid="{556F170D-97C4-48CE-8EC0-96821A7C87D1}">
      <formula1>"1세대1주택,주택,건물,종합합산토지,별도합산토지"</formula1>
    </dataValidation>
    <dataValidation allowBlank="1" showErrorMessage="1" sqref="B4:C4" xr:uid="{AE85CBC3-F32C-41F2-BA41-5644A8E09E2C}"/>
    <dataValidation type="list" allowBlank="1" showInputMessage="1" showErrorMessage="1" sqref="B66:E66 B10:E10 B33:E33" xr:uid="{EBD54788-4586-4FD1-AFC9-65A1295DEE28}">
      <formula1>"1세대1주택,주택"</formula1>
    </dataValidation>
    <dataValidation type="list" allowBlank="1" showErrorMessage="1" sqref="AH10:AK10 R66:U66 AH33:AK33 J66:M66 J10:M10 Z10:AC10 Z66:AC66 R10:U10 R33:U33 Z33:AC33 J33:M33 AH66:AK66" xr:uid="{B41EA558-9678-4AFF-A339-53230E902C52}">
      <formula1>"1세대1주택,주택"</formula1>
    </dataValidation>
    <dataValidation type="list" allowBlank="1" showInputMessage="1" showErrorMessage="1" sqref="B6:C6" xr:uid="{B7E19001-4DA9-4950-B6A0-20AC9E5AD09E}">
      <formula1>"주택1,주택2,주택3,주택4,비거주"</formula1>
    </dataValidation>
    <dataValidation type="list" allowBlank="1" showErrorMessage="1" sqref="B5" xr:uid="{B36E1F9B-5593-4FB1-B8F0-B50314037577}">
      <formula1>"1세대1주택,해당없음"</formula1>
    </dataValidation>
  </dataValidations>
  <pageMargins left="0.25" right="0.25" top="0.75" bottom="0.75" header="0.3" footer="0.3"/>
  <pageSetup paperSize="9" scale="12" orientation="portrait" r:id="rId1"/>
  <headerFooter>
    <oddFooter>&amp;C&amp;P/</oddFooter>
  </headerFooter>
  <colBreaks count="2" manualBreakCount="2">
    <brk id="17" min="1" max="1" man="1"/>
    <brk id="8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C6E7-F8C7-4940-8661-6163F70E6AF5}">
  <sheetPr>
    <tabColor theme="9" tint="-0.249977111117893"/>
    <pageSetUpPr fitToPage="1"/>
  </sheetPr>
  <dimension ref="A1:AM62"/>
  <sheetViews>
    <sheetView zoomScaleNormal="100" workbookViewId="0">
      <selection activeCell="B18" sqref="B18"/>
    </sheetView>
    <sheetView workbookViewId="1"/>
  </sheetViews>
  <sheetFormatPr defaultColWidth="14.42578125" defaultRowHeight="15" customHeight="1"/>
  <cols>
    <col min="1" max="1" width="22" style="18" customWidth="1"/>
    <col min="2" max="2" width="19.42578125" style="18" bestFit="1" customWidth="1"/>
    <col min="3" max="5" width="19.42578125" style="18" customWidth="1"/>
    <col min="6" max="6" width="18.7109375" style="18" bestFit="1" customWidth="1"/>
    <col min="7" max="7" width="16.85546875" style="18" bestFit="1" customWidth="1"/>
    <col min="8" max="8" width="5" style="18" customWidth="1"/>
    <col min="9" max="9" width="31" style="18" bestFit="1" customWidth="1"/>
    <col min="10" max="13" width="17.85546875" style="18" customWidth="1"/>
    <col min="14" max="14" width="19.28515625" style="18" bestFit="1" customWidth="1"/>
    <col min="15" max="15" width="17.85546875" style="18" bestFit="1" customWidth="1"/>
    <col min="16" max="16" width="4.85546875" style="18" customWidth="1"/>
    <col min="17" max="17" width="31.140625" style="18" bestFit="1" customWidth="1"/>
    <col min="18" max="21" width="18.5703125" style="18" customWidth="1"/>
    <col min="22" max="23" width="18.5703125" style="18" bestFit="1" customWidth="1"/>
    <col min="24" max="24" width="4.85546875" style="18" customWidth="1"/>
    <col min="25" max="25" width="31.140625" style="18" bestFit="1" customWidth="1"/>
    <col min="26" max="29" width="18.5703125" style="18" customWidth="1"/>
    <col min="30" max="31" width="18.5703125" style="18" bestFit="1" customWidth="1"/>
    <col min="32" max="32" width="4.85546875" style="18" customWidth="1"/>
    <col min="33" max="33" width="31.140625" style="18" bestFit="1" customWidth="1"/>
    <col min="34" max="37" width="18.5703125" style="18" customWidth="1"/>
    <col min="38" max="39" width="18.5703125" style="18" bestFit="1" customWidth="1"/>
    <col min="40" max="16384" width="14.42578125" style="18"/>
  </cols>
  <sheetData>
    <row r="1" spans="1:39" ht="15" customHeight="1">
      <c r="A1" s="267"/>
      <c r="B1" s="360" t="s">
        <v>291</v>
      </c>
      <c r="C1" s="362"/>
      <c r="D1" s="362"/>
      <c r="E1" s="362"/>
      <c r="F1" s="363"/>
    </row>
    <row r="2" spans="1:39" ht="16.5" customHeight="1">
      <c r="A2" s="103" t="s">
        <v>293</v>
      </c>
      <c r="B2" s="103" t="str">
        <f>기초!$B$1</f>
        <v>홍길동</v>
      </c>
      <c r="C2" s="83"/>
      <c r="D2" s="83"/>
      <c r="E2" s="83"/>
      <c r="F2" s="83"/>
      <c r="G2" s="317"/>
      <c r="H2" s="3"/>
    </row>
    <row r="3" spans="1:39" ht="16.5" customHeight="1">
      <c r="A3" s="168" t="s">
        <v>209</v>
      </c>
      <c r="B3" s="103">
        <v>4</v>
      </c>
      <c r="C3" s="83"/>
      <c r="D3" s="83"/>
      <c r="E3" s="216">
        <v>2026</v>
      </c>
      <c r="H3" s="3"/>
      <c r="I3" s="318"/>
      <c r="J3" s="3"/>
      <c r="K3" s="121"/>
      <c r="L3" s="3"/>
      <c r="M3" s="349">
        <f>E3+1</f>
        <v>2027</v>
      </c>
      <c r="R3" s="3"/>
      <c r="S3" s="3"/>
      <c r="T3" s="3"/>
      <c r="U3" s="176">
        <f>M3+1</f>
        <v>2028</v>
      </c>
      <c r="Z3" s="3"/>
      <c r="AA3" s="3"/>
      <c r="AB3" s="3"/>
      <c r="AC3" s="176">
        <f>U3+1</f>
        <v>2029</v>
      </c>
      <c r="AH3" s="3"/>
      <c r="AI3" s="3"/>
      <c r="AJ3" s="3"/>
      <c r="AK3" s="364">
        <f>AC3+1</f>
        <v>2030</v>
      </c>
    </row>
    <row r="4" spans="1:39" ht="16.5" customHeight="1">
      <c r="A4" s="103" t="s">
        <v>324</v>
      </c>
      <c r="B4" s="361" t="str">
        <f>IF(AND(B5="1세대1주택",LEFT(B6,2)="주택"),"거주용1주택",IF(AND(B5="1세대1주택",B6="비거주"),"비거주1주택",IF(AND(B3&lt;=2,B7&lt;&gt;"조정대상지역"),"비거주1주택","3주택")))</f>
        <v>3주택</v>
      </c>
      <c r="C4" s="365"/>
      <c r="D4" s="365"/>
      <c r="E4" s="326" t="s">
        <v>94</v>
      </c>
      <c r="F4" s="218">
        <f>SUM(B20:G20)</f>
        <v>24722550</v>
      </c>
      <c r="H4" s="3"/>
      <c r="I4" s="318"/>
      <c r="J4" s="3"/>
      <c r="K4" s="3"/>
      <c r="L4" s="3"/>
      <c r="M4" s="326" t="s">
        <v>94</v>
      </c>
      <c r="N4" s="218">
        <f>SUM(J20:O20)</f>
        <v>31102582.5</v>
      </c>
      <c r="R4" s="3"/>
      <c r="S4" s="3"/>
      <c r="T4" s="3"/>
      <c r="U4" s="326" t="s">
        <v>94</v>
      </c>
      <c r="V4" s="218">
        <f>SUM(R20:W20)</f>
        <v>34087650</v>
      </c>
      <c r="Z4" s="3"/>
      <c r="AA4" s="3"/>
      <c r="AB4" s="3"/>
      <c r="AC4" s="326" t="s">
        <v>94</v>
      </c>
      <c r="AD4" s="218">
        <f>SUM(Z20:AE20)</f>
        <v>36221569.875</v>
      </c>
      <c r="AH4" s="3"/>
      <c r="AI4" s="3"/>
      <c r="AJ4" s="3"/>
      <c r="AK4" s="326" t="s">
        <v>94</v>
      </c>
      <c r="AL4" s="218">
        <f>SUM(AH20:AM20)</f>
        <v>41478376.274999991</v>
      </c>
    </row>
    <row r="5" spans="1:39" ht="16.5" customHeight="1" thickBot="1">
      <c r="A5" s="103" t="s">
        <v>321</v>
      </c>
      <c r="B5" s="358" t="s">
        <v>320</v>
      </c>
      <c r="C5" s="366"/>
      <c r="D5" s="366"/>
      <c r="E5" s="452" t="s">
        <v>166</v>
      </c>
      <c r="F5" s="453">
        <f>B61</f>
        <v>98761830.133729577</v>
      </c>
      <c r="H5" s="3"/>
      <c r="M5" s="452" t="s">
        <v>166</v>
      </c>
      <c r="N5" s="453">
        <f ca="1">HLOOKUP($B$4,$J$46:$L$61,16,0)</f>
        <v>172955126.81071162</v>
      </c>
      <c r="U5" s="452" t="s">
        <v>166</v>
      </c>
      <c r="V5" s="453">
        <f ca="1">HLOOKUP($B$4,$R$46:$T$61,16,0)</f>
        <v>211021749.90503752</v>
      </c>
      <c r="AC5" s="452" t="s">
        <v>166</v>
      </c>
      <c r="AD5" s="453">
        <f ca="1">HLOOKUP($B$4,$Z$46:$AB$61,16,0)</f>
        <v>263383352.30552188</v>
      </c>
      <c r="AK5" s="452" t="s">
        <v>166</v>
      </c>
      <c r="AL5" s="453">
        <f ca="1">HLOOKUP($B$4,$AH$46:$AJ$61,16,0)</f>
        <v>286583062.17183161</v>
      </c>
    </row>
    <row r="6" spans="1:39" ht="16.5" customHeight="1" thickTop="1">
      <c r="A6" s="103" t="s">
        <v>309</v>
      </c>
      <c r="B6" s="358" t="s">
        <v>8</v>
      </c>
      <c r="C6" s="367"/>
      <c r="D6" s="367"/>
      <c r="E6" s="451" t="s">
        <v>311</v>
      </c>
      <c r="F6" s="154">
        <f>F4+F5</f>
        <v>123484380.13372958</v>
      </c>
      <c r="H6" s="3"/>
      <c r="J6" s="3"/>
      <c r="K6" s="3"/>
      <c r="L6" s="3"/>
      <c r="M6" s="451" t="s">
        <v>314</v>
      </c>
      <c r="N6" s="154">
        <f ca="1">N4+N5</f>
        <v>204057709.31071162</v>
      </c>
      <c r="R6" s="3"/>
      <c r="S6" s="3"/>
      <c r="T6" s="3"/>
      <c r="U6" s="451" t="s">
        <v>314</v>
      </c>
      <c r="V6" s="154">
        <f ca="1">V4+V5</f>
        <v>245109399.90503752</v>
      </c>
      <c r="Z6" s="3"/>
      <c r="AA6" s="3"/>
      <c r="AB6" s="3"/>
      <c r="AC6" s="451" t="s">
        <v>314</v>
      </c>
      <c r="AD6" s="154">
        <f ca="1">AD4+AD5</f>
        <v>299604922.18052185</v>
      </c>
      <c r="AH6" s="3"/>
      <c r="AI6" s="3"/>
      <c r="AJ6" s="3"/>
      <c r="AK6" s="451" t="s">
        <v>314</v>
      </c>
      <c r="AL6" s="154">
        <f ca="1">AL4+AL5</f>
        <v>328061438.44683158</v>
      </c>
    </row>
    <row r="7" spans="1:39" ht="16.5" customHeight="1">
      <c r="A7" s="130" t="s">
        <v>219</v>
      </c>
      <c r="B7" s="116" t="str">
        <f>HLOOKUP(B$6,기초!$C$5:$I$16,MATCH($A7,기초!$A$5:$A$16,0),0)</f>
        <v>조정대상지역</v>
      </c>
      <c r="C7" s="123"/>
      <c r="D7" s="123"/>
      <c r="E7" s="123"/>
      <c r="H7" s="3"/>
      <c r="J7" s="3"/>
      <c r="K7" s="3"/>
      <c r="L7" s="3"/>
      <c r="M7" s="3"/>
      <c r="R7" s="3"/>
      <c r="S7" s="3"/>
      <c r="T7" s="3"/>
      <c r="U7" s="3"/>
      <c r="Z7" s="3"/>
      <c r="AA7" s="3"/>
      <c r="AB7" s="3"/>
      <c r="AC7" s="3"/>
      <c r="AH7" s="3"/>
      <c r="AI7" s="3"/>
      <c r="AJ7" s="3"/>
      <c r="AK7" s="3"/>
    </row>
    <row r="8" spans="1:39" ht="16.5" customHeight="1">
      <c r="F8" s="327"/>
      <c r="G8" s="91"/>
      <c r="H8" s="3"/>
      <c r="I8" s="41" t="s">
        <v>65</v>
      </c>
      <c r="J8" s="350">
        <v>0.15</v>
      </c>
      <c r="K8" s="350">
        <v>0.15</v>
      </c>
      <c r="L8" s="350">
        <v>0.15</v>
      </c>
      <c r="M8" s="350">
        <v>0.15</v>
      </c>
      <c r="N8" s="83"/>
      <c r="O8" s="368">
        <v>0</v>
      </c>
      <c r="Q8" s="18" t="s">
        <v>65</v>
      </c>
      <c r="R8" s="350">
        <v>0</v>
      </c>
      <c r="S8" s="350">
        <v>0</v>
      </c>
      <c r="T8" s="350">
        <v>0</v>
      </c>
      <c r="U8" s="350">
        <v>0</v>
      </c>
      <c r="V8" s="83"/>
      <c r="W8" s="42">
        <v>0</v>
      </c>
      <c r="Y8" s="18" t="s">
        <v>65</v>
      </c>
      <c r="Z8" s="350">
        <v>0.15</v>
      </c>
      <c r="AA8" s="350">
        <v>0.15</v>
      </c>
      <c r="AB8" s="350">
        <v>0.15</v>
      </c>
      <c r="AC8" s="350">
        <v>0.15</v>
      </c>
      <c r="AD8" s="83"/>
      <c r="AE8" s="42">
        <v>0.15</v>
      </c>
      <c r="AG8" s="18" t="s">
        <v>65</v>
      </c>
      <c r="AH8" s="350">
        <v>0.1</v>
      </c>
      <c r="AI8" s="350">
        <v>0.01</v>
      </c>
      <c r="AJ8" s="350">
        <v>0.03</v>
      </c>
      <c r="AK8" s="350">
        <v>0.05</v>
      </c>
      <c r="AL8" s="83"/>
      <c r="AM8" s="42">
        <v>0.15</v>
      </c>
    </row>
    <row r="9" spans="1:39" ht="16.5" customHeight="1">
      <c r="A9" s="349">
        <v>2026</v>
      </c>
      <c r="B9" s="351" t="s">
        <v>8</v>
      </c>
      <c r="C9" s="351" t="s">
        <v>9</v>
      </c>
      <c r="D9" s="351" t="s">
        <v>11</v>
      </c>
      <c r="E9" s="351" t="s">
        <v>12</v>
      </c>
      <c r="F9" s="171" t="s">
        <v>68</v>
      </c>
      <c r="G9" s="83" t="s">
        <v>13</v>
      </c>
      <c r="H9" s="3"/>
      <c r="I9" s="349">
        <f>A9+1</f>
        <v>2027</v>
      </c>
      <c r="J9" s="351" t="s">
        <v>8</v>
      </c>
      <c r="K9" s="351" t="s">
        <v>9</v>
      </c>
      <c r="L9" s="351" t="s">
        <v>11</v>
      </c>
      <c r="M9" s="351" t="s">
        <v>12</v>
      </c>
      <c r="N9" s="171" t="s">
        <v>68</v>
      </c>
      <c r="O9" s="83" t="s">
        <v>13</v>
      </c>
      <c r="Q9" s="176">
        <f>I9+1</f>
        <v>2028</v>
      </c>
      <c r="R9" s="351" t="s">
        <v>8</v>
      </c>
      <c r="S9" s="351" t="s">
        <v>9</v>
      </c>
      <c r="T9" s="351" t="s">
        <v>11</v>
      </c>
      <c r="U9" s="351" t="s">
        <v>12</v>
      </c>
      <c r="V9" s="171" t="s">
        <v>68</v>
      </c>
      <c r="W9" s="83" t="s">
        <v>13</v>
      </c>
      <c r="Y9" s="176">
        <f>Q9+1</f>
        <v>2029</v>
      </c>
      <c r="Z9" s="351" t="s">
        <v>8</v>
      </c>
      <c r="AA9" s="351" t="s">
        <v>9</v>
      </c>
      <c r="AB9" s="351" t="s">
        <v>11</v>
      </c>
      <c r="AC9" s="351" t="s">
        <v>12</v>
      </c>
      <c r="AD9" s="171" t="s">
        <v>68</v>
      </c>
      <c r="AE9" s="83" t="s">
        <v>13</v>
      </c>
      <c r="AG9" s="176">
        <f>Y9+1</f>
        <v>2030</v>
      </c>
      <c r="AH9" s="351" t="s">
        <v>8</v>
      </c>
      <c r="AI9" s="351" t="s">
        <v>9</v>
      </c>
      <c r="AJ9" s="351" t="s">
        <v>11</v>
      </c>
      <c r="AK9" s="351" t="s">
        <v>12</v>
      </c>
      <c r="AL9" s="171" t="s">
        <v>68</v>
      </c>
      <c r="AM9" s="83" t="s">
        <v>13</v>
      </c>
    </row>
    <row r="10" spans="1:39" ht="16.5" customHeight="1">
      <c r="A10" s="3"/>
      <c r="B10" s="352" t="str">
        <f>IF(OR($B$5="1세대1주택"),"1세대1주택","주택")</f>
        <v>주택</v>
      </c>
      <c r="C10" s="352" t="str">
        <f>IF(OR($B$5="1세대1주택"),"1세대1주택","주택")</f>
        <v>주택</v>
      </c>
      <c r="D10" s="352" t="str">
        <f t="shared" ref="D10:E10" si="0">IF(OR($B$5="1세대1주택"),"1세대1주택","주택")</f>
        <v>주택</v>
      </c>
      <c r="E10" s="352" t="str">
        <f t="shared" si="0"/>
        <v>주택</v>
      </c>
      <c r="F10" s="103" t="s">
        <v>254</v>
      </c>
      <c r="G10" s="170" t="s">
        <v>72</v>
      </c>
      <c r="H10" s="3"/>
      <c r="I10" s="83"/>
      <c r="J10" s="352" t="str">
        <f>B$10</f>
        <v>주택</v>
      </c>
      <c r="K10" s="352" t="str">
        <f t="shared" ref="K10:M10" si="1">C$10</f>
        <v>주택</v>
      </c>
      <c r="L10" s="352" t="str">
        <f t="shared" si="1"/>
        <v>주택</v>
      </c>
      <c r="M10" s="352" t="str">
        <f t="shared" si="1"/>
        <v>주택</v>
      </c>
      <c r="N10" s="103" t="s">
        <v>254</v>
      </c>
      <c r="O10" s="170" t="s">
        <v>72</v>
      </c>
      <c r="Q10" s="83"/>
      <c r="R10" s="352" t="str">
        <f>J$10</f>
        <v>주택</v>
      </c>
      <c r="S10" s="352" t="str">
        <f t="shared" ref="S10:U10" si="2">K$10</f>
        <v>주택</v>
      </c>
      <c r="T10" s="352" t="str">
        <f t="shared" si="2"/>
        <v>주택</v>
      </c>
      <c r="U10" s="352" t="str">
        <f t="shared" si="2"/>
        <v>주택</v>
      </c>
      <c r="V10" s="103" t="s">
        <v>254</v>
      </c>
      <c r="W10" s="280" t="s">
        <v>72</v>
      </c>
      <c r="Y10" s="83"/>
      <c r="Z10" s="352" t="str">
        <f>R$10</f>
        <v>주택</v>
      </c>
      <c r="AA10" s="352" t="str">
        <f t="shared" ref="AA10:AC10" si="3">S$10</f>
        <v>주택</v>
      </c>
      <c r="AB10" s="352" t="str">
        <f t="shared" si="3"/>
        <v>주택</v>
      </c>
      <c r="AC10" s="352" t="str">
        <f t="shared" si="3"/>
        <v>주택</v>
      </c>
      <c r="AD10" s="103" t="s">
        <v>254</v>
      </c>
      <c r="AE10" s="280" t="s">
        <v>72</v>
      </c>
      <c r="AG10" s="83"/>
      <c r="AH10" s="352" t="str">
        <f>Z$10</f>
        <v>주택</v>
      </c>
      <c r="AI10" s="352" t="str">
        <f t="shared" ref="AI10:AK10" si="4">AA$10</f>
        <v>주택</v>
      </c>
      <c r="AJ10" s="352" t="str">
        <f t="shared" si="4"/>
        <v>주택</v>
      </c>
      <c r="AK10" s="352" t="str">
        <f t="shared" si="4"/>
        <v>주택</v>
      </c>
      <c r="AL10" s="103" t="s">
        <v>254</v>
      </c>
      <c r="AM10" s="280" t="s">
        <v>72</v>
      </c>
    </row>
    <row r="11" spans="1:39" s="199" customFormat="1" ht="16.5" customHeight="1">
      <c r="A11" s="178" t="s">
        <v>38</v>
      </c>
      <c r="B11" s="197">
        <f>HLOOKUP(B$9,기초!$C$5:$I$16,MATCH($A11,기초!$A$5:$A$16,0),0)</f>
        <v>3500000000</v>
      </c>
      <c r="C11" s="197">
        <f>HLOOKUP(C$9,기초!$C$5:$I$16,MATCH($A11,기초!$A$5:$A$16,0),0)</f>
        <v>1150000000</v>
      </c>
      <c r="D11" s="197">
        <f>HLOOKUP(D$9,기초!$C$5:$I$16,MATCH($A11,기초!$A$5:$A$16,0),0)</f>
        <v>1724999999.9999998</v>
      </c>
      <c r="E11" s="197">
        <f>HLOOKUP(E$9,기초!$C$5:$I$16,MATCH($A11,기초!$A$5:$A$16,0),0)</f>
        <v>2300000000</v>
      </c>
      <c r="F11" s="198">
        <f>SUM(B11:E11)</f>
        <v>8675000000</v>
      </c>
      <c r="G11" s="197">
        <f>HLOOKUP(G$9,[1]기초!$C$5:$I$16,MATCH($A11,[1]기초!$A$5:$A$16,0),0)</f>
        <v>0</v>
      </c>
      <c r="H11" s="121"/>
      <c r="I11" s="206" t="s">
        <v>74</v>
      </c>
      <c r="J11" s="348">
        <f>B11*(1+J8)</f>
        <v>4024999999.9999995</v>
      </c>
      <c r="K11" s="348">
        <f t="shared" ref="K11:M11" si="5">C11*(1+K8)</f>
        <v>1322500000</v>
      </c>
      <c r="L11" s="348">
        <f t="shared" si="5"/>
        <v>1983749999.9999995</v>
      </c>
      <c r="M11" s="348">
        <f t="shared" si="5"/>
        <v>2645000000</v>
      </c>
      <c r="N11" s="198">
        <f>SUM(J11:M11)</f>
        <v>9976250000</v>
      </c>
      <c r="O11" s="120">
        <f>G11*(1+O8)</f>
        <v>0</v>
      </c>
      <c r="Q11" s="281" t="s">
        <v>74</v>
      </c>
      <c r="R11" s="348">
        <f>J11*(1+R8)</f>
        <v>4024999999.9999995</v>
      </c>
      <c r="S11" s="348">
        <f t="shared" ref="S11:U11" si="6">K11*(1+S8)</f>
        <v>1322500000</v>
      </c>
      <c r="T11" s="348">
        <f t="shared" si="6"/>
        <v>1983749999.9999995</v>
      </c>
      <c r="U11" s="348">
        <f t="shared" si="6"/>
        <v>2645000000</v>
      </c>
      <c r="V11" s="198">
        <f>SUM(R11:U11)</f>
        <v>9976250000</v>
      </c>
      <c r="W11" s="282">
        <f>O11*(1+W8)</f>
        <v>0</v>
      </c>
      <c r="Y11" s="281" t="s">
        <v>74</v>
      </c>
      <c r="Z11" s="348">
        <f>R11*(1+Z8)</f>
        <v>4628749999.999999</v>
      </c>
      <c r="AA11" s="348">
        <f t="shared" ref="AA11:AC11" si="7">S11*(1+AA8)</f>
        <v>1520875000</v>
      </c>
      <c r="AB11" s="348">
        <f t="shared" si="7"/>
        <v>2281312499.999999</v>
      </c>
      <c r="AC11" s="348">
        <f t="shared" si="7"/>
        <v>3041750000</v>
      </c>
      <c r="AD11" s="198">
        <f>SUM(Z11:AC11)</f>
        <v>11472687499.999998</v>
      </c>
      <c r="AE11" s="282">
        <f>W11*(1+AE8)</f>
        <v>0</v>
      </c>
      <c r="AG11" s="281" t="s">
        <v>74</v>
      </c>
      <c r="AH11" s="348">
        <f>Z11*(1+AH8)</f>
        <v>5091624999.999999</v>
      </c>
      <c r="AI11" s="348">
        <f t="shared" ref="AI11:AK11" si="8">AA11*(1+AI8)</f>
        <v>1536083750</v>
      </c>
      <c r="AJ11" s="348">
        <f t="shared" si="8"/>
        <v>2349751874.999999</v>
      </c>
      <c r="AK11" s="348">
        <f t="shared" si="8"/>
        <v>3193837500</v>
      </c>
      <c r="AL11" s="198">
        <f>SUM(AH11:AK11)</f>
        <v>12171298124.999998</v>
      </c>
      <c r="AM11" s="282">
        <f>AE11*(1+AM8)</f>
        <v>0</v>
      </c>
    </row>
    <row r="12" spans="1:39" ht="16.5" customHeight="1">
      <c r="A12" s="179" t="s">
        <v>76</v>
      </c>
      <c r="B12" s="105">
        <f>IF(B$10="1세대1주택",
IF(B11&lt;=3*10^8,43%,
IF(B11&lt;=6*10^8,44%,
45%)),
VLOOKUP(B$10,t!$H$3:$I$9,2,0))</f>
        <v>0.6</v>
      </c>
      <c r="C12" s="105">
        <f>IF(C$10="1세대1주택",
IF(C11&lt;=3*10^8,43%,
IF(C11&lt;=6*10^8,44%,
45%)),
VLOOKUP(C$10,t!$H$3:$I$9,2,0))</f>
        <v>0.6</v>
      </c>
      <c r="D12" s="105">
        <f>IF(D$10="1세대1주택",
IF(D11&lt;=3*10^8,43%,
IF(D11&lt;=6*10^8,44%,
45%)),
VLOOKUP(D$10,t!$H$3:$I$9,2,0))</f>
        <v>0.6</v>
      </c>
      <c r="E12" s="105">
        <f>IF(E$10="1세대1주택",
IF(E11&lt;=3*10^8,43%,
IF(E11&lt;=6*10^8,44%,
45%)),
VLOOKUP(E$10,t!$H$3:$I$9,2,0))</f>
        <v>0.6</v>
      </c>
      <c r="F12" s="369">
        <f>IF(B10="1세대1주택",B12,60%)</f>
        <v>0.6</v>
      </c>
      <c r="G12" s="105">
        <f>IF(G10="1세대1주택",
IF(G11&lt;=3*10^8,43%,
IF(G11&lt;=6*10^8,44%,
45%)),
VLOOKUP(G10,t!$H$3:$I$9,2,0))</f>
        <v>0.7</v>
      </c>
      <c r="H12" s="3"/>
      <c r="I12" s="180" t="s">
        <v>76</v>
      </c>
      <c r="J12" s="188">
        <f>IF(J$10="1세대1주택",
IF(J11&lt;=3*10^8,43%,
IF(J11&lt;=6*10^8,44%,
45%)),
VLOOKUP(J$10,t!$H$3:$I$9,2,0))</f>
        <v>0.6</v>
      </c>
      <c r="K12" s="188">
        <f>IF(K$10="1세대1주택",
IF(K11&lt;=3*10^8,43%,
IF(K11&lt;=6*10^8,44%,
45%)),
VLOOKUP(K$10,t!$H$3:$I$9,2,0))</f>
        <v>0.6</v>
      </c>
      <c r="L12" s="188">
        <f>IF(L$10="1세대1주택",
IF(L11&lt;=3*10^8,43%,
IF(L11&lt;=6*10^8,44%,
45%)),
VLOOKUP(L$10,t!$H$3:$I$9,2,0))</f>
        <v>0.6</v>
      </c>
      <c r="M12" s="188">
        <f>IF(M$10="1세대1주택",
IF(M11&lt;=3*10^8,43%,
IF(M11&lt;=6*10^8,44%,
45%)),
VLOOKUP(M$10,t!$H$3:$I$9,2,0))</f>
        <v>0.6</v>
      </c>
      <c r="N12" s="369">
        <f>IF(J10="1세대1주택",J12,60%)</f>
        <v>0.6</v>
      </c>
      <c r="O12" s="105">
        <f>IF(O10="1세대1주택",
IF(O11&lt;=3*10^8,43%,
IF(O11&lt;=6*10^8,44%,
45%)),
VLOOKUP(O10,t!$H$3:$I$9,2,0))</f>
        <v>0.7</v>
      </c>
      <c r="Q12" s="283" t="s">
        <v>76</v>
      </c>
      <c r="R12" s="188">
        <f>IF(R$10="1세대1주택",
IF(R11&lt;=3*10^8,43%,
IF(R11&lt;=6*10^8,44%,
45%)),
VLOOKUP(R$10,t!$H$3:$I$9,2,0))</f>
        <v>0.6</v>
      </c>
      <c r="S12" s="188">
        <f>IF(S$10="1세대1주택",
IF(S11&lt;=3*10^8,43%,
IF(S11&lt;=6*10^8,44%,
45%)),
VLOOKUP(S$10,t!$H$3:$I$9,2,0))</f>
        <v>0.6</v>
      </c>
      <c r="T12" s="188">
        <f>IF(T$10="1세대1주택",
IF(T11&lt;=3*10^8,43%,
IF(T11&lt;=6*10^8,44%,
45%)),
VLOOKUP(T$10,t!$H$3:$I$9,2,0))</f>
        <v>0.6</v>
      </c>
      <c r="U12" s="188">
        <f>IF(U$10="1세대1주택",
IF(U11&lt;=3*10^8,43%,
IF(U11&lt;=6*10^8,44%,
45%)),
VLOOKUP(U$10,t!$H$3:$I$9,2,0))</f>
        <v>0.6</v>
      </c>
      <c r="V12" s="369">
        <f>IF(R10="1세대1주택",R12,60%)</f>
        <v>0.6</v>
      </c>
      <c r="W12" s="105">
        <f>IF(W10="1세대1주택",
IF(W11&lt;=3*10^8,43%,
IF(W11&lt;=6*10^8,44%,
45%)),
VLOOKUP(W10,t!$H$3:$I$9,2,0))</f>
        <v>0.7</v>
      </c>
      <c r="Y12" s="283" t="s">
        <v>76</v>
      </c>
      <c r="Z12" s="188">
        <f>IF(Z$10="1세대1주택",
IF(Z11&lt;=3*10^8,43%,
IF(Z11&lt;=6*10^8,44%,
45%)),
VLOOKUP(Z$10,t!$H$3:$I$9,2,0))</f>
        <v>0.6</v>
      </c>
      <c r="AA12" s="188">
        <f>IF(AA$10="1세대1주택",
IF(AA11&lt;=3*10^8,43%,
IF(AA11&lt;=6*10^8,44%,
45%)),
VLOOKUP(AA$10,t!$H$3:$I$9,2,0))</f>
        <v>0.6</v>
      </c>
      <c r="AB12" s="188">
        <f>IF(AB$10="1세대1주택",
IF(AB11&lt;=3*10^8,43%,
IF(AB11&lt;=6*10^8,44%,
45%)),
VLOOKUP(AB$10,t!$H$3:$I$9,2,0))</f>
        <v>0.6</v>
      </c>
      <c r="AC12" s="188">
        <f>IF(AC$10="1세대1주택",
IF(AC11&lt;=3*10^8,43%,
IF(AC11&lt;=6*10^8,44%,
45%)),
VLOOKUP(AC$10,t!$H$3:$I$9,2,0))</f>
        <v>0.6</v>
      </c>
      <c r="AD12" s="369">
        <f>IF(Z10="1세대1주택",Z12,60%)</f>
        <v>0.6</v>
      </c>
      <c r="AE12" s="105">
        <f>IF(AE10="1세대1주택",
IF(AE11&lt;=3*10^8,43%,
IF(AE11&lt;=6*10^8,44%,
45%)),
VLOOKUP(AE10,t!$H$3:$I$9,2,0))</f>
        <v>0.7</v>
      </c>
      <c r="AG12" s="283" t="s">
        <v>76</v>
      </c>
      <c r="AH12" s="188">
        <f>IF(AH$10="1세대1주택",
IF(AH11&lt;=3*10^8,43%,
IF(AH11&lt;=6*10^8,44%,
45%)),
VLOOKUP(AH$10,t!$H$3:$I$9,2,0))</f>
        <v>0.6</v>
      </c>
      <c r="AI12" s="188">
        <f>IF(AI$10="1세대1주택",
IF(AI11&lt;=3*10^8,43%,
IF(AI11&lt;=6*10^8,44%,
45%)),
VLOOKUP(AI$10,t!$H$3:$I$9,2,0))</f>
        <v>0.6</v>
      </c>
      <c r="AJ12" s="188">
        <f>IF(AJ$10="1세대1주택",
IF(AJ11&lt;=3*10^8,43%,
IF(AJ11&lt;=6*10^8,44%,
45%)),
VLOOKUP(AJ$10,t!$H$3:$I$9,2,0))</f>
        <v>0.6</v>
      </c>
      <c r="AK12" s="188">
        <f>IF(AK$10="1세대1주택",
IF(AK11&lt;=3*10^8,43%,
IF(AK11&lt;=6*10^8,44%,
45%)),
VLOOKUP(AK$10,t!$H$3:$I$9,2,0))</f>
        <v>0.6</v>
      </c>
      <c r="AL12" s="369">
        <f>IF(AH10="1세대1주택",AH12,60%)</f>
        <v>0.6</v>
      </c>
      <c r="AM12" s="105">
        <f>IF(AM10="1세대1주택",
IF(AM11&lt;=3*10^8,43%,
IF(AM11&lt;=6*10^8,44%,
45%)),
VLOOKUP(AM10,t!$H$3:$I$9,2,0))</f>
        <v>0.7</v>
      </c>
    </row>
    <row r="13" spans="1:39" ht="16.5" customHeight="1">
      <c r="A13" s="180" t="s">
        <v>84</v>
      </c>
      <c r="B13" s="154">
        <f>IF(RIGHT(B10,2)="주택",MIN(B11*B12,B23*B12+B11*B12*5%),B11*B12)</f>
        <v>2100000000</v>
      </c>
      <c r="C13" s="154">
        <f>IF(RIGHT(C10,2)="주택",MIN(C11*C12,C23*C12+C11*C12*5%),C11*C12)</f>
        <v>514500000</v>
      </c>
      <c r="D13" s="154">
        <f t="shared" ref="D13:E13" si="9">IF(RIGHT(D10,2)="주택",MIN(D11*D12,D23*D12+D11*D12*5%),D11*D12)</f>
        <v>771750000</v>
      </c>
      <c r="E13" s="154">
        <f t="shared" si="9"/>
        <v>1089000000</v>
      </c>
      <c r="F13" s="23">
        <f>F11*F12</f>
        <v>5205000000</v>
      </c>
      <c r="G13" s="61">
        <f>IF(RIGHT(G10,2)="주택",MIN(G11*G12,G24*G12+G11*G12*5%),G11*G12)</f>
        <v>0</v>
      </c>
      <c r="H13" s="3"/>
      <c r="I13" s="180" t="s">
        <v>86</v>
      </c>
      <c r="J13" s="189">
        <f>IF(RIGHT(J10,2)="주택",MIN(J11*J12,J23*J12+J11*J12*5%),J11*J12)</f>
        <v>2220750000</v>
      </c>
      <c r="K13" s="189">
        <f t="shared" ref="K13:M13" si="10">IF(RIGHT(K10,2)="주택",MIN(K11*K12,K23*K12+K11*K12*5%),K11*K12)</f>
        <v>729675000</v>
      </c>
      <c r="L13" s="189">
        <f t="shared" si="10"/>
        <v>1094512499.9999998</v>
      </c>
      <c r="M13" s="189">
        <f t="shared" si="10"/>
        <v>1459350000</v>
      </c>
      <c r="N13" s="23">
        <f>N11*N12</f>
        <v>5985750000</v>
      </c>
      <c r="O13" s="61">
        <f>IF(RIGHT(O10,2)="주택",MIN(O11*O12,O23*O12+O11*O12*5%),O11*O12)</f>
        <v>0</v>
      </c>
      <c r="Q13" s="283" t="s">
        <v>86</v>
      </c>
      <c r="R13" s="189">
        <f>IF(RIGHT(R10,2)="주택",MIN(R11*R12,R23*R12+R11*R12*5%),R11*R12)</f>
        <v>2414999999.9999995</v>
      </c>
      <c r="S13" s="189">
        <f t="shared" ref="S13:U13" si="11">IF(RIGHT(S10,2)="주택",MIN(S11*S12,S23*S12+S11*S12*5%),S11*S12)</f>
        <v>793500000</v>
      </c>
      <c r="T13" s="189">
        <f t="shared" si="11"/>
        <v>1190249999.9999998</v>
      </c>
      <c r="U13" s="189">
        <f t="shared" si="11"/>
        <v>1587000000</v>
      </c>
      <c r="V13" s="23">
        <f>V11*V12</f>
        <v>5985750000</v>
      </c>
      <c r="W13" s="61">
        <f>IF(RIGHT(W10,2)="주택",MIN(W11*W12,W23*W12+W11*W12*5%),W11*W12)</f>
        <v>0</v>
      </c>
      <c r="Y13" s="283" t="s">
        <v>86</v>
      </c>
      <c r="Z13" s="189">
        <f>IF(RIGHT(Z10,2)="주택",MIN(Z11*Z12,Z23*Z12+Z11*Z12*5%),Z11*Z12)</f>
        <v>2553862499.9999995</v>
      </c>
      <c r="AA13" s="189">
        <f t="shared" ref="AA13:AC13" si="12">IF(RIGHT(AA10,2)="주택",MIN(AA11*AA12,AA23*AA12+AA11*AA12*5%),AA11*AA12)</f>
        <v>839126250</v>
      </c>
      <c r="AB13" s="189">
        <f t="shared" si="12"/>
        <v>1258689374.9999998</v>
      </c>
      <c r="AC13" s="189">
        <f t="shared" si="12"/>
        <v>1678252500</v>
      </c>
      <c r="AD13" s="23">
        <f>AD11*AD12</f>
        <v>6883612499.999999</v>
      </c>
      <c r="AE13" s="61">
        <f>IF(RIGHT(AE10,2)="주택",MIN(AE11*AE12,AE23*AE12+AE11*AE12*5%),AE11*AE12)</f>
        <v>0</v>
      </c>
      <c r="AG13" s="283" t="s">
        <v>86</v>
      </c>
      <c r="AH13" s="189">
        <f>IF(RIGHT(AH10,2)="주택",MIN(AH11*AH12,AH23*AH12+AH11*AH12*5%),AH11*AH12)</f>
        <v>2929998749.9999995</v>
      </c>
      <c r="AI13" s="189">
        <f t="shared" ref="AI13:AK13" si="13">IF(RIGHT(AI10,2)="주택",MIN(AI11*AI12,AI23*AI12+AI11*AI12*5%),AI11*AI12)</f>
        <v>921650250</v>
      </c>
      <c r="AJ13" s="189">
        <f t="shared" si="13"/>
        <v>1409851124.9999993</v>
      </c>
      <c r="AK13" s="189">
        <f t="shared" si="13"/>
        <v>1916302500</v>
      </c>
      <c r="AL13" s="23">
        <f>AL11*AL12</f>
        <v>7302778874.999999</v>
      </c>
      <c r="AM13" s="61">
        <f>IF(RIGHT(AM10,2)="주택",MIN(AM11*AM12,AM23*AM12+AM11*AM12*5%),AM11*AM12)</f>
        <v>0</v>
      </c>
    </row>
    <row r="14" spans="1:39" ht="16.5" customHeight="1">
      <c r="A14" s="181" t="s">
        <v>88</v>
      </c>
      <c r="B14" s="115">
        <f t="array" ref="B14">IF(AND(B10="1세대1주택",B11&lt;=9*10^8),INDEX(t!$D$3:$D$6,MATCH(TRUE,B13&lt;=t!$A$3:$A$6,0)),INDEX(t!$B$3:$B$6,MATCH(TRUE,B13&lt;=t!$A$3:$A$6,0)))</f>
        <v>4.0000000000000001E-3</v>
      </c>
      <c r="C14" s="115">
        <f t="array" ref="C14">IF(AND(C10="1세대1주택",C11&lt;=9*10^8),INDEX(t!$D$3:$D$6,MATCH(TRUE,C13&lt;=t!$A$3:$A$6,0)),INDEX(t!$B$3:$B$6,MATCH(TRUE,C13&lt;=t!$A$3:$A$6,0)))</f>
        <v>4.0000000000000001E-3</v>
      </c>
      <c r="D14" s="115">
        <f t="array" ref="D14">IF(AND(D10="1세대1주택",D11&lt;=9*10^8),INDEX(t!$D$3:$D$6,MATCH(TRUE,D13&lt;=t!$A$3:$A$6,0)),INDEX(t!$B$3:$B$6,MATCH(TRUE,D13&lt;=t!$A$3:$A$6,0)))</f>
        <v>4.0000000000000001E-3</v>
      </c>
      <c r="E14" s="115">
        <f t="array" ref="E14">IF(AND(E10="1세대1주택",E11&lt;=9*10^8),INDEX(t!$D$3:$D$6,MATCH(TRUE,E13&lt;=t!$A$3:$A$6,0)),INDEX(t!$B$3:$B$6,MATCH(TRUE,E13&lt;=t!$A$3:$A$6,0)))</f>
        <v>4.0000000000000001E-3</v>
      </c>
      <c r="F14" s="13">
        <f t="array" ref="F14">INDEX(t!$B$3:$B$6,MATCH(TRUE,F13&lt;=t!$A$3:$A$6,0))</f>
        <v>4.0000000000000001E-3</v>
      </c>
      <c r="G14" s="13">
        <v>2.5000000000000001E-3</v>
      </c>
      <c r="H14" s="3"/>
      <c r="I14" s="180" t="s">
        <v>88</v>
      </c>
      <c r="J14" s="190">
        <f t="array" ref="J14">IF(AND(J10="1세대1주택",J11&lt;=9*10^8),INDEX(t!$D$3:$D$6,MATCH(TRUE,J13&lt;=t!$A$3:$A$6,0)),INDEX(t!$B$3:$B$6,MATCH(TRUE,J13&lt;=t!$A$3:$A$6,0)))</f>
        <v>4.0000000000000001E-3</v>
      </c>
      <c r="K14" s="190">
        <f t="array" ref="K14">IF(AND(K10="1세대1주택",K11&lt;=9*10^8),INDEX(t!$D$3:$D$6,MATCH(TRUE,K13&lt;=t!$A$3:$A$6,0)),INDEX(t!$B$3:$B$6,MATCH(TRUE,K13&lt;=t!$A$3:$A$6,0)))</f>
        <v>4.0000000000000001E-3</v>
      </c>
      <c r="L14" s="190">
        <f t="array" ref="L14">IF(AND(L10="1세대1주택",L11&lt;=9*10^8),INDEX(t!$D$3:$D$6,MATCH(TRUE,L13&lt;=t!$A$3:$A$6,0)),INDEX(t!$B$3:$B$6,MATCH(TRUE,L13&lt;=t!$A$3:$A$6,0)))</f>
        <v>4.0000000000000001E-3</v>
      </c>
      <c r="M14" s="190">
        <f t="array" ref="M14">IF(AND(M10="1세대1주택",M11&lt;=9*10^8),INDEX(t!$D$3:$D$6,MATCH(TRUE,M13&lt;=t!$A$3:$A$6,0)),INDEX(t!$B$3:$B$6,MATCH(TRUE,M13&lt;=t!$A$3:$A$6,0)))</f>
        <v>4.0000000000000001E-3</v>
      </c>
      <c r="N14" s="13">
        <f t="array" ref="N14">INDEX(t!$B$3:$B$6,MATCH(TRUE,N13&lt;=t!$A$3:$A$6,0))</f>
        <v>4.0000000000000001E-3</v>
      </c>
      <c r="O14" s="13">
        <v>2.5000000000000001E-3</v>
      </c>
      <c r="Q14" s="284" t="s">
        <v>88</v>
      </c>
      <c r="R14" s="190">
        <f t="array" ref="R14">IF(AND(R10="1세대1주택",R11&lt;=9*10^8),INDEX(t!$D$3:$D$6,MATCH(TRUE,R13&lt;=t!$A$3:$A$6,0)),INDEX(t!$B$3:$B$6,MATCH(TRUE,R13&lt;=t!$A$3:$A$6,0)))</f>
        <v>4.0000000000000001E-3</v>
      </c>
      <c r="S14" s="190">
        <f t="array" ref="S14">IF(AND(S10="1세대1주택",S11&lt;=9*10^8),INDEX(t!$D$3:$D$6,MATCH(TRUE,S13&lt;=t!$A$3:$A$6,0)),INDEX(t!$B$3:$B$6,MATCH(TRUE,S13&lt;=t!$A$3:$A$6,0)))</f>
        <v>4.0000000000000001E-3</v>
      </c>
      <c r="T14" s="190">
        <f t="array" ref="T14">IF(AND(T10="1세대1주택",T11&lt;=9*10^8),INDEX(t!$D$3:$D$6,MATCH(TRUE,T13&lt;=t!$A$3:$A$6,0)),INDEX(t!$B$3:$B$6,MATCH(TRUE,T13&lt;=t!$A$3:$A$6,0)))</f>
        <v>4.0000000000000001E-3</v>
      </c>
      <c r="U14" s="190">
        <f t="array" ref="U14">IF(AND(U10="1세대1주택",U11&lt;=9*10^8),INDEX(t!$D$3:$D$6,MATCH(TRUE,U13&lt;=t!$A$3:$A$6,0)),INDEX(t!$B$3:$B$6,MATCH(TRUE,U13&lt;=t!$A$3:$A$6,0)))</f>
        <v>4.0000000000000001E-3</v>
      </c>
      <c r="V14" s="13">
        <f t="array" ref="V14">INDEX(t!$B$3:$B$6,MATCH(TRUE,V13&lt;=t!$A$3:$A$6,0))</f>
        <v>4.0000000000000001E-3</v>
      </c>
      <c r="W14" s="13">
        <v>2.5000000000000001E-3</v>
      </c>
      <c r="Y14" s="284" t="s">
        <v>88</v>
      </c>
      <c r="Z14" s="190">
        <f t="array" ref="Z14">IF(AND(Z10="1세대1주택",Z11&lt;=9*10^8),INDEX(t!$D$3:$D$6,MATCH(TRUE,Z13&lt;=t!$A$3:$A$6,0)),INDEX(t!$B$3:$B$6,MATCH(TRUE,Z13&lt;=t!$A$3:$A$6,0)))</f>
        <v>4.0000000000000001E-3</v>
      </c>
      <c r="AA14" s="190">
        <f t="array" ref="AA14">IF(AND(AA10="1세대1주택",AA11&lt;=9*10^8),INDEX(t!$D$3:$D$6,MATCH(TRUE,AA13&lt;=t!$A$3:$A$6,0)),INDEX(t!$B$3:$B$6,MATCH(TRUE,AA13&lt;=t!$A$3:$A$6,0)))</f>
        <v>4.0000000000000001E-3</v>
      </c>
      <c r="AB14" s="190">
        <f t="array" ref="AB14">IF(AND(AB10="1세대1주택",AB11&lt;=9*10^8),INDEX(t!$D$3:$D$6,MATCH(TRUE,AB13&lt;=t!$A$3:$A$6,0)),INDEX(t!$B$3:$B$6,MATCH(TRUE,AB13&lt;=t!$A$3:$A$6,0)))</f>
        <v>4.0000000000000001E-3</v>
      </c>
      <c r="AC14" s="190">
        <f t="array" ref="AC14">IF(AND(AC10="1세대1주택",AC11&lt;=9*10^8),INDEX(t!$D$3:$D$6,MATCH(TRUE,AC13&lt;=t!$A$3:$A$6,0)),INDEX(t!$B$3:$B$6,MATCH(TRUE,AC13&lt;=t!$A$3:$A$6,0)))</f>
        <v>4.0000000000000001E-3</v>
      </c>
      <c r="AD14" s="13">
        <f t="array" ref="AD14">INDEX(t!$B$3:$B$6,MATCH(TRUE,AD13&lt;=t!$A$3:$A$6,0))</f>
        <v>4.0000000000000001E-3</v>
      </c>
      <c r="AE14" s="13">
        <v>2.5000000000000001E-3</v>
      </c>
      <c r="AG14" s="284" t="s">
        <v>88</v>
      </c>
      <c r="AH14" s="190">
        <f t="array" ref="AH14">IF(AND(AH10="1세대1주택",AH11&lt;=9*10^8),INDEX(t!$D$3:$D$6,MATCH(TRUE,AH13&lt;=t!$A$3:$A$6,0)),INDEX(t!$B$3:$B$6,MATCH(TRUE,AH13&lt;=t!$A$3:$A$6,0)))</f>
        <v>4.0000000000000001E-3</v>
      </c>
      <c r="AI14" s="190">
        <f t="array" ref="AI14">IF(AND(AI10="1세대1주택",AI11&lt;=9*10^8),INDEX(t!$D$3:$D$6,MATCH(TRUE,AI13&lt;=t!$A$3:$A$6,0)),INDEX(t!$B$3:$B$6,MATCH(TRUE,AI13&lt;=t!$A$3:$A$6,0)))</f>
        <v>4.0000000000000001E-3</v>
      </c>
      <c r="AJ14" s="190">
        <f t="array" ref="AJ14">IF(AND(AJ10="1세대1주택",AJ11&lt;=9*10^8),INDEX(t!$D$3:$D$6,MATCH(TRUE,AJ13&lt;=t!$A$3:$A$6,0)),INDEX(t!$B$3:$B$6,MATCH(TRUE,AJ13&lt;=t!$A$3:$A$6,0)))</f>
        <v>4.0000000000000001E-3</v>
      </c>
      <c r="AK14" s="190">
        <f t="array" ref="AK14">IF(AND(AK10="1세대1주택",AK11&lt;=9*10^8),INDEX(t!$D$3:$D$6,MATCH(TRUE,AK13&lt;=t!$A$3:$A$6,0)),INDEX(t!$B$3:$B$6,MATCH(TRUE,AK13&lt;=t!$A$3:$A$6,0)))</f>
        <v>4.0000000000000001E-3</v>
      </c>
      <c r="AL14" s="13">
        <f t="array" ref="AL14">INDEX(t!$B$3:$B$6,MATCH(TRUE,AL13&lt;=t!$A$3:$A$6,0))</f>
        <v>4.0000000000000001E-3</v>
      </c>
      <c r="AM14" s="13">
        <v>2.5000000000000001E-3</v>
      </c>
    </row>
    <row r="15" spans="1:39" ht="16.5" customHeight="1" thickBot="1">
      <c r="A15" s="182" t="s">
        <v>63</v>
      </c>
      <c r="B15" s="60">
        <f>B13*B14-VLOOKUP(B14,IF(AND(B10="1세대1주택",B11&lt;=9*10^8),t!$D$2:$E$6,t!$B$2:$C$6),2,0)</f>
        <v>7770000</v>
      </c>
      <c r="C15" s="60">
        <f>C13*C14-VLOOKUP(C14,IF(AND(C10="1세대1주택",C11&lt;=9*10^8),t!$D$2:$E$6,t!$B$2:$C$6),2,0)</f>
        <v>1428000</v>
      </c>
      <c r="D15" s="60">
        <f>D13*D14-VLOOKUP(D14,IF(AND(D10="1세대1주택",D11&lt;=9*10^8),t!$D$2:$E$6,t!$B$2:$C$6),2,0)</f>
        <v>2457000</v>
      </c>
      <c r="E15" s="60">
        <f>E13*E14-VLOOKUP(E14,IF(AND(E10="1세대1주택",E11&lt;=9*10^8),t!$D$2:$E$6,t!$B$2:$C$6),2,0)</f>
        <v>3726000</v>
      </c>
      <c r="F15" s="370">
        <f>F13*F14-VLOOKUP(F14,t!$B$2:$C$6,2,0)</f>
        <v>20190000</v>
      </c>
      <c r="G15" s="60">
        <f>G13*0.25%</f>
        <v>0</v>
      </c>
      <c r="H15" s="3"/>
      <c r="I15" s="207" t="s">
        <v>63</v>
      </c>
      <c r="J15" s="208">
        <f>J13*J14-VLOOKUP(J14,IF(AND(J10="1세대1주택",J11&lt;=9*10^8),t!$D$2:$E$6,t!$B$2:$C$6),2,0)</f>
        <v>8253000</v>
      </c>
      <c r="K15" s="208">
        <f>K13*K14-VLOOKUP(K14,IF(AND(K10="1세대1주택",K11&lt;=9*10^8),t!$D$2:$E$6,t!$B$2:$C$6),2,0)</f>
        <v>2288700</v>
      </c>
      <c r="L15" s="208">
        <f>L13*L14-VLOOKUP(L14,IF(AND(L10="1세대1주택",L11&lt;=9*10^8),t!$D$2:$E$6,t!$B$2:$C$6),2,0)</f>
        <v>3748049.9999999991</v>
      </c>
      <c r="M15" s="208">
        <f>M13*M14-VLOOKUP(M14,IF(AND(M10="1세대1주택",M11&lt;=9*10^8),t!$D$2:$E$6,t!$B$2:$C$6),2,0)</f>
        <v>5207400</v>
      </c>
      <c r="N15" s="370">
        <f>N13*N14-VLOOKUP(N14,t!$B$2:$C$6,2,0)</f>
        <v>23313000</v>
      </c>
      <c r="O15" s="60">
        <f>O13*0.25%</f>
        <v>0</v>
      </c>
      <c r="Q15" s="284" t="s">
        <v>63</v>
      </c>
      <c r="R15" s="208">
        <f>R13*R14-VLOOKUP(R14,IF(AND(R10="1세대1주택",R11&lt;=9*10^8),t!$D$2:$E$6,t!$B$2:$C$6),2,0)</f>
        <v>9029999.9999999981</v>
      </c>
      <c r="S15" s="208">
        <f>S13*S14-VLOOKUP(S14,IF(AND(S10="1세대1주택",S11&lt;=9*10^8),t!$D$2:$E$6,t!$B$2:$C$6),2,0)</f>
        <v>2544000</v>
      </c>
      <c r="T15" s="208">
        <f>T13*T14-VLOOKUP(T14,IF(AND(T10="1세대1주택",T11&lt;=9*10^8),t!$D$2:$E$6,t!$B$2:$C$6),2,0)</f>
        <v>4130999.9999999991</v>
      </c>
      <c r="U15" s="208">
        <f>U13*U14-VLOOKUP(U14,IF(AND(U10="1세대1주택",U11&lt;=9*10^8),t!$D$2:$E$6,t!$B$2:$C$6),2,0)</f>
        <v>5718000</v>
      </c>
      <c r="V15" s="370">
        <f>V13*V14-VLOOKUP(V14,t!$B$2:$C$6,2,0)</f>
        <v>23313000</v>
      </c>
      <c r="W15" s="60">
        <f>W13*0.25%</f>
        <v>0</v>
      </c>
      <c r="Y15" s="284" t="s">
        <v>63</v>
      </c>
      <c r="Z15" s="208">
        <f>Z13*Z14-VLOOKUP(Z14,IF(AND(Z10="1세대1주택",Z11&lt;=9*10^8),t!$D$2:$E$6,t!$B$2:$C$6),2,0)</f>
        <v>9585449.9999999981</v>
      </c>
      <c r="AA15" s="208">
        <f>AA13*AA14-VLOOKUP(AA14,IF(AND(AA10="1세대1주택",AA11&lt;=9*10^8),t!$D$2:$E$6,t!$B$2:$C$6),2,0)</f>
        <v>2726505</v>
      </c>
      <c r="AB15" s="208">
        <f>AB13*AB14-VLOOKUP(AB14,IF(AND(AB10="1세대1주택",AB11&lt;=9*10^8),t!$D$2:$E$6,t!$B$2:$C$6),2,0)</f>
        <v>4404757.4999999991</v>
      </c>
      <c r="AC15" s="208">
        <f>AC13*AC14-VLOOKUP(AC14,IF(AND(AC10="1세대1주택",AC11&lt;=9*10^8),t!$D$2:$E$6,t!$B$2:$C$6),2,0)</f>
        <v>6083010</v>
      </c>
      <c r="AD15" s="370">
        <f>AD13*AD14-VLOOKUP(AD14,t!$B$2:$C$6,2,0)</f>
        <v>26904449.999999996</v>
      </c>
      <c r="AE15" s="60">
        <f>AE13*0.25%</f>
        <v>0</v>
      </c>
      <c r="AG15" s="284" t="s">
        <v>63</v>
      </c>
      <c r="AH15" s="208">
        <f>AH13*AH14-VLOOKUP(AH14,IF(AND(AH10="1세대1주택",AH11&lt;=9*10^8),t!$D$2:$E$6,t!$B$2:$C$6),2,0)</f>
        <v>11089994.999999998</v>
      </c>
      <c r="AI15" s="208">
        <f>AI13*AI14-VLOOKUP(AI14,IF(AND(AI10="1세대1주택",AI11&lt;=9*10^8),t!$D$2:$E$6,t!$B$2:$C$6),2,0)</f>
        <v>3056601</v>
      </c>
      <c r="AJ15" s="208">
        <f>AJ13*AJ14-VLOOKUP(AJ14,IF(AND(AJ10="1세대1주택",AJ11&lt;=9*10^8),t!$D$2:$E$6,t!$B$2:$C$6),2,0)</f>
        <v>5009404.4999999972</v>
      </c>
      <c r="AK15" s="208">
        <f>AK13*AK14-VLOOKUP(AK14,IF(AND(AK10="1세대1주택",AK11&lt;=9*10^8),t!$D$2:$E$6,t!$B$2:$C$6),2,0)</f>
        <v>7035210</v>
      </c>
      <c r="AL15" s="370">
        <f>AL13*AL14-VLOOKUP(AL14,t!$B$2:$C$6,2,0)</f>
        <v>28581115.499999996</v>
      </c>
      <c r="AM15" s="60">
        <f>AM13*0.25%</f>
        <v>0</v>
      </c>
    </row>
    <row r="16" spans="1:39" ht="16.5" customHeight="1" thickBot="1">
      <c r="A16" s="183" t="s">
        <v>91</v>
      </c>
      <c r="B16" s="201">
        <f t="shared" ref="B16:E16" si="14">B15</f>
        <v>7770000</v>
      </c>
      <c r="C16" s="201">
        <f t="shared" si="14"/>
        <v>1428000</v>
      </c>
      <c r="D16" s="201">
        <f t="shared" si="14"/>
        <v>2457000</v>
      </c>
      <c r="E16" s="201">
        <f t="shared" si="14"/>
        <v>3726000</v>
      </c>
      <c r="F16" s="336">
        <f>SUM(B16:E16)</f>
        <v>15381000</v>
      </c>
      <c r="G16" s="201">
        <f>MIN(G15,F27*150%)</f>
        <v>0</v>
      </c>
      <c r="H16" s="14"/>
      <c r="I16" s="209" t="s">
        <v>91</v>
      </c>
      <c r="J16" s="191">
        <f t="shared" ref="J16:M16" si="15">J15</f>
        <v>8253000</v>
      </c>
      <c r="K16" s="191">
        <f t="shared" si="15"/>
        <v>2288700</v>
      </c>
      <c r="L16" s="191">
        <f t="shared" si="15"/>
        <v>3748049.9999999991</v>
      </c>
      <c r="M16" s="191">
        <f t="shared" si="15"/>
        <v>5207400</v>
      </c>
      <c r="N16" s="336">
        <f>SUM(J16:M16)</f>
        <v>19497150</v>
      </c>
      <c r="O16" s="201">
        <f>MIN(O15,O27*150%)</f>
        <v>0</v>
      </c>
      <c r="Q16" s="183" t="s">
        <v>91</v>
      </c>
      <c r="R16" s="191">
        <f t="shared" ref="R16:U16" si="16">R15</f>
        <v>9029999.9999999981</v>
      </c>
      <c r="S16" s="191">
        <f t="shared" si="16"/>
        <v>2544000</v>
      </c>
      <c r="T16" s="191">
        <f t="shared" si="16"/>
        <v>4130999.9999999991</v>
      </c>
      <c r="U16" s="191">
        <f t="shared" si="16"/>
        <v>5718000</v>
      </c>
      <c r="V16" s="336">
        <f>SUM(R16:U16)</f>
        <v>21422999.999999996</v>
      </c>
      <c r="W16" s="201">
        <f>MIN(W15,W27*150%)</f>
        <v>0</v>
      </c>
      <c r="Y16" s="183" t="s">
        <v>91</v>
      </c>
      <c r="Z16" s="191">
        <f t="shared" ref="Z16:AC16" si="17">Z15</f>
        <v>9585449.9999999981</v>
      </c>
      <c r="AA16" s="191">
        <f t="shared" si="17"/>
        <v>2726505</v>
      </c>
      <c r="AB16" s="191">
        <f t="shared" si="17"/>
        <v>4404757.4999999991</v>
      </c>
      <c r="AC16" s="191">
        <f t="shared" si="17"/>
        <v>6083010</v>
      </c>
      <c r="AD16" s="336">
        <f>SUM(Z16:AC16)</f>
        <v>22799722.499999996</v>
      </c>
      <c r="AE16" s="201">
        <f>MIN(AE15,AE27*150%)</f>
        <v>0</v>
      </c>
      <c r="AG16" s="183" t="s">
        <v>91</v>
      </c>
      <c r="AH16" s="191">
        <f t="shared" ref="AH16:AK16" si="18">AH15</f>
        <v>11089994.999999998</v>
      </c>
      <c r="AI16" s="191">
        <f t="shared" si="18"/>
        <v>3056601</v>
      </c>
      <c r="AJ16" s="191">
        <f t="shared" si="18"/>
        <v>5009404.4999999972</v>
      </c>
      <c r="AK16" s="191">
        <f t="shared" si="18"/>
        <v>7035210</v>
      </c>
      <c r="AL16" s="336">
        <f>SUM(AH16:AK16)</f>
        <v>26191210.499999996</v>
      </c>
      <c r="AM16" s="201">
        <f>MIN(AM15,AM27*150%)</f>
        <v>0</v>
      </c>
    </row>
    <row r="17" spans="1:39" ht="16.5" customHeight="1">
      <c r="A17" s="184" t="s">
        <v>92</v>
      </c>
      <c r="B17" s="61">
        <f t="shared" ref="B17:E17" si="19">B$13*0.14%</f>
        <v>2940000.0000000005</v>
      </c>
      <c r="C17" s="61">
        <f t="shared" si="19"/>
        <v>720300.00000000012</v>
      </c>
      <c r="D17" s="61">
        <f t="shared" si="19"/>
        <v>1080450.0000000002</v>
      </c>
      <c r="E17" s="61">
        <f t="shared" si="19"/>
        <v>1524600.0000000002</v>
      </c>
      <c r="F17" s="200"/>
      <c r="G17" s="61">
        <f t="shared" ref="G17" si="20">G$13*0.14%</f>
        <v>0</v>
      </c>
      <c r="H17" s="3"/>
      <c r="I17" s="210" t="s">
        <v>92</v>
      </c>
      <c r="J17" s="192">
        <f t="shared" ref="J17:M17" si="21">J$13*0.14%</f>
        <v>3109050.0000000005</v>
      </c>
      <c r="K17" s="192">
        <f t="shared" si="21"/>
        <v>1021545.0000000001</v>
      </c>
      <c r="L17" s="192">
        <f t="shared" si="21"/>
        <v>1532317.5</v>
      </c>
      <c r="M17" s="192">
        <f t="shared" si="21"/>
        <v>2043090.0000000002</v>
      </c>
      <c r="N17" s="200"/>
      <c r="O17" s="61">
        <f t="shared" ref="O17" si="22">O$13*0.14%</f>
        <v>0</v>
      </c>
      <c r="Q17" s="288" t="s">
        <v>92</v>
      </c>
      <c r="R17" s="192">
        <f t="shared" ref="R17:U17" si="23">R$13*0.14%</f>
        <v>3381000</v>
      </c>
      <c r="S17" s="192">
        <f t="shared" si="23"/>
        <v>1110900.0000000002</v>
      </c>
      <c r="T17" s="192">
        <f t="shared" si="23"/>
        <v>1666350</v>
      </c>
      <c r="U17" s="192">
        <f t="shared" si="23"/>
        <v>2221800.0000000005</v>
      </c>
      <c r="V17" s="200"/>
      <c r="W17" s="61">
        <f t="shared" ref="W17" si="24">W$13*0.14%</f>
        <v>0</v>
      </c>
      <c r="Y17" s="288" t="s">
        <v>92</v>
      </c>
      <c r="Z17" s="192">
        <f t="shared" ref="Z17:AC17" si="25">Z$13*0.14%</f>
        <v>3575407.5</v>
      </c>
      <c r="AA17" s="192">
        <f t="shared" si="25"/>
        <v>1174776.7500000002</v>
      </c>
      <c r="AB17" s="192">
        <f t="shared" si="25"/>
        <v>1762165.125</v>
      </c>
      <c r="AC17" s="192">
        <f t="shared" si="25"/>
        <v>2349553.5000000005</v>
      </c>
      <c r="AD17" s="200"/>
      <c r="AE17" s="61">
        <f t="shared" ref="AE17" si="26">AE$13*0.14%</f>
        <v>0</v>
      </c>
      <c r="AG17" s="288" t="s">
        <v>92</v>
      </c>
      <c r="AH17" s="192">
        <f t="shared" ref="AH17:AK17" si="27">AH$13*0.14%</f>
        <v>4101998.25</v>
      </c>
      <c r="AI17" s="192">
        <f t="shared" si="27"/>
        <v>1290310.3500000001</v>
      </c>
      <c r="AJ17" s="192">
        <f t="shared" si="27"/>
        <v>1973791.5749999993</v>
      </c>
      <c r="AK17" s="192">
        <f t="shared" si="27"/>
        <v>2682823.5000000005</v>
      </c>
      <c r="AL17" s="200"/>
      <c r="AM17" s="61">
        <f t="shared" ref="AM17" si="28">AM$13*0.14%</f>
        <v>0</v>
      </c>
    </row>
    <row r="18" spans="1:39" ht="16.5" customHeight="1">
      <c r="A18" s="316" t="s">
        <v>93</v>
      </c>
      <c r="B18" s="203"/>
      <c r="C18" s="203"/>
      <c r="D18" s="203"/>
      <c r="E18" s="203"/>
      <c r="F18" s="202"/>
      <c r="G18" s="21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0</v>
      </c>
      <c r="H18" s="3"/>
      <c r="I18" s="180" t="s">
        <v>93</v>
      </c>
      <c r="J18" s="193"/>
      <c r="K18" s="193"/>
      <c r="L18" s="193"/>
      <c r="M18" s="193"/>
      <c r="N18" s="202"/>
      <c r="O18" s="21">
        <f>IF(O13&lt;=6000000,
 O13*0.04%,
 IF(O13&lt;=13000000,
  2400+(O13-6000000)*0.05%,
  IF(O13&lt;=26000000,
   5900+(O13-13000000)*0.06%,
   IF(O13&lt;=39000000,
    13700+(O13-26000000)*0.08%,
    IF(O13&lt;=64000000,
     24100+(O13-39000000)*0.1%,
     49100+(O13-64000000)*0.12%
    )
   )
  )
 )
)</f>
        <v>0</v>
      </c>
      <c r="Q18" s="285" t="s">
        <v>93</v>
      </c>
      <c r="R18" s="193"/>
      <c r="S18" s="193"/>
      <c r="T18" s="193"/>
      <c r="U18" s="193"/>
      <c r="V18" s="202"/>
      <c r="W18" s="21">
        <f>IF(W13&lt;=6000000,
 W13*0.04%,
 IF(W13&lt;=13000000,
  2400+(W13-6000000)*0.05%,
  IF(W13&lt;=26000000,
   5900+(W13-13000000)*0.06%,
   IF(W13&lt;=39000000,
    13700+(W13-26000000)*0.08%,
    IF(W13&lt;=64000000,
     24100+(W13-39000000)*0.1%,
     49100+(W13-64000000)*0.12%
    )
   )
  )
 )
)</f>
        <v>0</v>
      </c>
      <c r="Y18" s="285" t="s">
        <v>93</v>
      </c>
      <c r="Z18" s="193"/>
      <c r="AA18" s="193"/>
      <c r="AB18" s="193"/>
      <c r="AC18" s="193"/>
      <c r="AD18" s="202"/>
      <c r="AE18" s="21">
        <f>IF(AE13&lt;=6000000,
 AE13*0.04%,
 IF(AE13&lt;=13000000,
  2400+(AE13-6000000)*0.05%,
  IF(AE13&lt;=26000000,
   5900+(AE13-13000000)*0.06%,
   IF(AE13&lt;=39000000,
    13700+(AE13-26000000)*0.08%,
    IF(AE13&lt;=64000000,
     24100+(AE13-39000000)*0.1%,
     49100+(AE13-64000000)*0.12%
    )
   )
  )
 )
)</f>
        <v>0</v>
      </c>
      <c r="AG18" s="285" t="s">
        <v>93</v>
      </c>
      <c r="AH18" s="193"/>
      <c r="AI18" s="193"/>
      <c r="AJ18" s="193"/>
      <c r="AK18" s="193"/>
      <c r="AL18" s="202"/>
      <c r="AM18" s="21">
        <f>IF(AM13&lt;=6000000,
 AM13*0.04%,
 IF(AM13&lt;=13000000,
  2400+(AM13-6000000)*0.05%,
  IF(AM13&lt;=26000000,
   5900+(AM13-13000000)*0.06%,
   IF(AM13&lt;=39000000,
    13700+(AM13-26000000)*0.08%,
    IF(AM13&lt;=64000000,
     24100+(AM13-39000000)*0.1%,
     49100+(AM13-64000000)*0.12%
    )
   )
  )
 )
)</f>
        <v>0</v>
      </c>
    </row>
    <row r="19" spans="1:39" ht="16.5" customHeight="1" thickBot="1">
      <c r="A19" s="277" t="s">
        <v>33</v>
      </c>
      <c r="B19" s="278">
        <f t="shared" ref="B19:E19" si="29">B$16*0.2</f>
        <v>1554000</v>
      </c>
      <c r="C19" s="278">
        <f t="shared" si="29"/>
        <v>285600</v>
      </c>
      <c r="D19" s="278">
        <f t="shared" si="29"/>
        <v>491400</v>
      </c>
      <c r="E19" s="278">
        <f t="shared" si="29"/>
        <v>745200</v>
      </c>
      <c r="F19" s="279"/>
      <c r="G19" s="278">
        <f t="shared" ref="G19" si="30">G$16*0.2</f>
        <v>0</v>
      </c>
      <c r="H19" s="3"/>
      <c r="I19" s="211" t="s">
        <v>33</v>
      </c>
      <c r="J19" s="194">
        <f t="shared" ref="J19:M19" si="31">J$16*0.2</f>
        <v>1650600</v>
      </c>
      <c r="K19" s="194">
        <f t="shared" si="31"/>
        <v>457740</v>
      </c>
      <c r="L19" s="194">
        <f t="shared" si="31"/>
        <v>749609.99999999988</v>
      </c>
      <c r="M19" s="194">
        <f t="shared" si="31"/>
        <v>1041480</v>
      </c>
      <c r="N19" s="204"/>
      <c r="O19" s="63">
        <f t="shared" ref="O19" si="32">O$16*0.2</f>
        <v>0</v>
      </c>
      <c r="Q19" s="286" t="s">
        <v>33</v>
      </c>
      <c r="R19" s="194">
        <f t="shared" ref="R19:U19" si="33">R$16*0.2</f>
        <v>1805999.9999999998</v>
      </c>
      <c r="S19" s="194">
        <f t="shared" si="33"/>
        <v>508800</v>
      </c>
      <c r="T19" s="194">
        <f t="shared" si="33"/>
        <v>826199.99999999988</v>
      </c>
      <c r="U19" s="194">
        <f t="shared" si="33"/>
        <v>1143600</v>
      </c>
      <c r="V19" s="204"/>
      <c r="W19" s="63">
        <f t="shared" ref="W19" si="34">W$16*0.2</f>
        <v>0</v>
      </c>
      <c r="Y19" s="286" t="s">
        <v>33</v>
      </c>
      <c r="Z19" s="194">
        <f t="shared" ref="Z19:AC19" si="35">Z$16*0.2</f>
        <v>1917089.9999999998</v>
      </c>
      <c r="AA19" s="194">
        <f t="shared" si="35"/>
        <v>545301</v>
      </c>
      <c r="AB19" s="194">
        <f t="shared" si="35"/>
        <v>880951.49999999988</v>
      </c>
      <c r="AC19" s="194">
        <f t="shared" si="35"/>
        <v>1216602</v>
      </c>
      <c r="AD19" s="204"/>
      <c r="AE19" s="63">
        <f t="shared" ref="AE19" si="36">AE$16*0.2</f>
        <v>0</v>
      </c>
      <c r="AG19" s="286" t="s">
        <v>33</v>
      </c>
      <c r="AH19" s="194">
        <f t="shared" ref="AH19:AK19" si="37">AH$16*0.2</f>
        <v>2217998.9999999995</v>
      </c>
      <c r="AI19" s="194">
        <f t="shared" si="37"/>
        <v>611320.20000000007</v>
      </c>
      <c r="AJ19" s="194">
        <f t="shared" si="37"/>
        <v>1001880.8999999994</v>
      </c>
      <c r="AK19" s="194">
        <f t="shared" si="37"/>
        <v>1407042</v>
      </c>
      <c r="AL19" s="204"/>
      <c r="AM19" s="63">
        <f t="shared" ref="AM19" si="38">AM$16*0.2</f>
        <v>0</v>
      </c>
    </row>
    <row r="20" spans="1:39" ht="16.5" customHeight="1" thickTop="1">
      <c r="A20" s="3" t="s">
        <v>297</v>
      </c>
      <c r="B20" s="154">
        <f>SUM(B16:B19)</f>
        <v>12264000</v>
      </c>
      <c r="C20" s="154">
        <f>SUM(C16:C19)</f>
        <v>2433900</v>
      </c>
      <c r="D20" s="154">
        <f t="shared" ref="D20:E20" si="39">SUM(D16:D19)</f>
        <v>4028850</v>
      </c>
      <c r="E20" s="154">
        <f t="shared" si="39"/>
        <v>5995800</v>
      </c>
      <c r="F20" s="276"/>
      <c r="G20" s="154">
        <f t="shared" ref="G20" si="40">SUM(G16:G19)</f>
        <v>0</v>
      </c>
      <c r="H20" s="3"/>
      <c r="I20" s="212" t="s">
        <v>94</v>
      </c>
      <c r="J20" s="195">
        <f t="shared" ref="J20:M20" si="41">SUM(J16:J19)</f>
        <v>13012650</v>
      </c>
      <c r="K20" s="195">
        <f t="shared" si="41"/>
        <v>3767985</v>
      </c>
      <c r="L20" s="195">
        <f t="shared" si="41"/>
        <v>6029977.4999999991</v>
      </c>
      <c r="M20" s="195">
        <f t="shared" si="41"/>
        <v>8291970</v>
      </c>
      <c r="N20" s="200"/>
      <c r="O20" s="196">
        <f t="shared" ref="O20" si="42">SUM(O16:O19)</f>
        <v>0</v>
      </c>
      <c r="Q20" s="287" t="s">
        <v>94</v>
      </c>
      <c r="R20" s="195">
        <f t="shared" ref="R20:U20" si="43">SUM(R16:R19)</f>
        <v>14216999.999999998</v>
      </c>
      <c r="S20" s="195">
        <f t="shared" si="43"/>
        <v>4163700</v>
      </c>
      <c r="T20" s="195">
        <f t="shared" si="43"/>
        <v>6623549.9999999991</v>
      </c>
      <c r="U20" s="195">
        <f t="shared" si="43"/>
        <v>9083400</v>
      </c>
      <c r="V20" s="200"/>
      <c r="W20" s="196">
        <f t="shared" ref="W20" si="44">SUM(W16:W19)</f>
        <v>0</v>
      </c>
      <c r="Y20" s="287" t="s">
        <v>94</v>
      </c>
      <c r="Z20" s="195">
        <f t="shared" ref="Z20:AC20" si="45">SUM(Z16:Z19)</f>
        <v>15077947.499999998</v>
      </c>
      <c r="AA20" s="195">
        <f t="shared" si="45"/>
        <v>4446582.75</v>
      </c>
      <c r="AB20" s="195">
        <f t="shared" si="45"/>
        <v>7047874.1249999991</v>
      </c>
      <c r="AC20" s="195">
        <f t="shared" si="45"/>
        <v>9649165.5</v>
      </c>
      <c r="AD20" s="200"/>
      <c r="AE20" s="196">
        <f t="shared" ref="AE20" si="46">SUM(AE16:AE19)</f>
        <v>0</v>
      </c>
      <c r="AG20" s="287" t="s">
        <v>94</v>
      </c>
      <c r="AH20" s="195">
        <f t="shared" ref="AH20:AK20" si="47">SUM(AH16:AH19)</f>
        <v>17409992.249999996</v>
      </c>
      <c r="AI20" s="195">
        <f t="shared" si="47"/>
        <v>4958231.55</v>
      </c>
      <c r="AJ20" s="195">
        <f t="shared" si="47"/>
        <v>7985076.9749999959</v>
      </c>
      <c r="AK20" s="195">
        <f t="shared" si="47"/>
        <v>11125075.5</v>
      </c>
      <c r="AL20" s="200"/>
      <c r="AM20" s="196">
        <f t="shared" ref="AM20" si="48">SUM(AM16:AM19)</f>
        <v>0</v>
      </c>
    </row>
    <row r="21" spans="1:39" ht="16.5" customHeight="1">
      <c r="A21" s="123"/>
      <c r="B21" s="83"/>
      <c r="C21" s="83"/>
      <c r="D21" s="83"/>
      <c r="E21" s="83"/>
      <c r="F21" s="83"/>
      <c r="G21" s="83"/>
      <c r="H21" s="3"/>
      <c r="I21" s="185"/>
      <c r="J21" s="3"/>
      <c r="K21" s="3"/>
      <c r="L21" s="3"/>
      <c r="M21" s="3"/>
      <c r="N21" s="83"/>
      <c r="O21" s="3"/>
      <c r="Q21" s="185"/>
      <c r="R21" s="3"/>
      <c r="S21" s="3"/>
      <c r="T21" s="3"/>
      <c r="U21" s="3"/>
      <c r="V21" s="83"/>
      <c r="W21" s="3"/>
      <c r="Y21" s="185"/>
      <c r="Z21" s="3"/>
      <c r="AA21" s="3"/>
      <c r="AB21" s="3"/>
      <c r="AC21" s="3"/>
      <c r="AD21" s="83"/>
      <c r="AE21" s="3"/>
      <c r="AG21" s="185"/>
      <c r="AH21" s="3"/>
      <c r="AI21" s="3"/>
      <c r="AJ21" s="3"/>
      <c r="AK21" s="3"/>
      <c r="AL21" s="83"/>
      <c r="AM21" s="3"/>
    </row>
    <row r="22" spans="1:39" ht="16.5" customHeight="1">
      <c r="A22" s="340"/>
      <c r="B22" s="83"/>
      <c r="C22" s="83"/>
      <c r="D22" s="83"/>
      <c r="E22" s="83"/>
      <c r="F22" s="103" t="s">
        <v>315</v>
      </c>
      <c r="G22" s="91"/>
      <c r="H22" s="3"/>
      <c r="I22" s="340"/>
      <c r="J22" s="83"/>
      <c r="K22" s="83"/>
      <c r="L22" s="83"/>
      <c r="M22" s="83"/>
      <c r="N22" s="103" t="s">
        <v>315</v>
      </c>
      <c r="O22" s="91"/>
      <c r="Q22" s="340"/>
      <c r="R22" s="83"/>
      <c r="S22" s="83"/>
      <c r="T22" s="83"/>
      <c r="U22" s="83"/>
      <c r="V22" s="103" t="s">
        <v>315</v>
      </c>
      <c r="W22" s="91"/>
      <c r="Y22" s="340"/>
      <c r="Z22" s="83"/>
      <c r="AA22" s="83"/>
      <c r="AB22" s="83"/>
      <c r="AC22" s="83"/>
      <c r="AD22" s="103" t="s">
        <v>315</v>
      </c>
      <c r="AE22" s="91"/>
      <c r="AG22" s="340"/>
      <c r="AH22" s="83"/>
      <c r="AI22" s="83"/>
      <c r="AJ22" s="83"/>
      <c r="AK22" s="83"/>
      <c r="AL22" s="103" t="s">
        <v>315</v>
      </c>
      <c r="AM22" s="91"/>
    </row>
    <row r="23" spans="1:39" ht="16.5" customHeight="1">
      <c r="A23" s="213" t="s">
        <v>301</v>
      </c>
      <c r="B23" s="341">
        <v>4890000000</v>
      </c>
      <c r="C23" s="341">
        <v>800000000</v>
      </c>
      <c r="D23" s="341">
        <v>1200000000</v>
      </c>
      <c r="E23" s="341">
        <v>1700000000</v>
      </c>
      <c r="F23" s="218">
        <f>SUM(B23:E23)</f>
        <v>8590000000</v>
      </c>
      <c r="G23" s="91"/>
      <c r="H23" s="3"/>
      <c r="I23" s="213" t="s">
        <v>301</v>
      </c>
      <c r="J23" s="117">
        <f>B11</f>
        <v>3500000000</v>
      </c>
      <c r="K23" s="117">
        <f t="shared" ref="K23:M23" si="49">C11</f>
        <v>1150000000</v>
      </c>
      <c r="L23" s="117">
        <f t="shared" si="49"/>
        <v>1724999999.9999998</v>
      </c>
      <c r="M23" s="117">
        <f t="shared" si="49"/>
        <v>2300000000</v>
      </c>
      <c r="N23" s="218">
        <f>SUM(J23:M23)</f>
        <v>8675000000</v>
      </c>
      <c r="O23" s="91"/>
      <c r="Q23" s="213" t="s">
        <v>301</v>
      </c>
      <c r="R23" s="117">
        <f>J11</f>
        <v>4024999999.9999995</v>
      </c>
      <c r="S23" s="117">
        <f t="shared" ref="S23:U23" si="50">K11</f>
        <v>1322500000</v>
      </c>
      <c r="T23" s="117">
        <f t="shared" si="50"/>
        <v>1983749999.9999995</v>
      </c>
      <c r="U23" s="117">
        <f t="shared" si="50"/>
        <v>2645000000</v>
      </c>
      <c r="V23" s="218">
        <f>SUM(R23:U23)</f>
        <v>9976250000</v>
      </c>
      <c r="W23" s="91"/>
      <c r="Y23" s="213" t="s">
        <v>301</v>
      </c>
      <c r="Z23" s="117">
        <f>R11</f>
        <v>4024999999.9999995</v>
      </c>
      <c r="AA23" s="117">
        <f t="shared" ref="AA23:AC23" si="51">S11</f>
        <v>1322500000</v>
      </c>
      <c r="AB23" s="117">
        <f t="shared" si="51"/>
        <v>1983749999.9999995</v>
      </c>
      <c r="AC23" s="117">
        <f t="shared" si="51"/>
        <v>2645000000</v>
      </c>
      <c r="AD23" s="218">
        <f>SUM(Z23:AC23)</f>
        <v>9976250000</v>
      </c>
      <c r="AE23" s="91"/>
      <c r="AG23" s="213" t="s">
        <v>301</v>
      </c>
      <c r="AH23" s="117">
        <f>Z11</f>
        <v>4628749999.999999</v>
      </c>
      <c r="AI23" s="117">
        <f t="shared" ref="AI23:AK23" si="52">AA11</f>
        <v>1520875000</v>
      </c>
      <c r="AJ23" s="117">
        <f t="shared" si="52"/>
        <v>2281312499.999999</v>
      </c>
      <c r="AK23" s="117">
        <f t="shared" si="52"/>
        <v>3041750000</v>
      </c>
      <c r="AL23" s="218">
        <f>SUM(AH23:AK23)</f>
        <v>11472687499.999998</v>
      </c>
      <c r="AM23" s="91"/>
    </row>
    <row r="24" spans="1:39" ht="16.5" customHeight="1">
      <c r="A24" s="213" t="s">
        <v>300</v>
      </c>
      <c r="B24" s="371">
        <f>B23*IF(B10="1세대1주택",B12,60%)</f>
        <v>2934000000</v>
      </c>
      <c r="C24" s="371">
        <f>C23*IF(C10="1세대1주택",C12,60%)</f>
        <v>480000000</v>
      </c>
      <c r="D24" s="371">
        <f t="shared" ref="D24:E24" si="53">D23*IF(D10="1세대1주택",D12,60%)</f>
        <v>720000000</v>
      </c>
      <c r="E24" s="371">
        <f t="shared" si="53"/>
        <v>1020000000</v>
      </c>
      <c r="F24" s="218">
        <f>SUM(B24:E24)</f>
        <v>5154000000</v>
      </c>
      <c r="G24" s="91"/>
      <c r="H24" s="3"/>
      <c r="I24" s="213" t="s">
        <v>300</v>
      </c>
      <c r="J24" s="117">
        <f>J23*0.6</f>
        <v>2100000000</v>
      </c>
      <c r="K24" s="117">
        <f t="shared" ref="K24:M24" si="54">K23*0.6</f>
        <v>690000000</v>
      </c>
      <c r="L24" s="117">
        <f t="shared" si="54"/>
        <v>1034999999.9999998</v>
      </c>
      <c r="M24" s="117">
        <f t="shared" si="54"/>
        <v>1380000000</v>
      </c>
      <c r="N24" s="218">
        <f>SUM(J24:M24)</f>
        <v>5205000000</v>
      </c>
      <c r="O24" s="91"/>
      <c r="Q24" s="213" t="s">
        <v>300</v>
      </c>
      <c r="R24" s="117">
        <f>R23*0.6</f>
        <v>2414999999.9999995</v>
      </c>
      <c r="S24" s="117">
        <f t="shared" ref="S24:U24" si="55">S23*0.6</f>
        <v>793500000</v>
      </c>
      <c r="T24" s="117">
        <f t="shared" si="55"/>
        <v>1190249999.9999998</v>
      </c>
      <c r="U24" s="117">
        <f t="shared" si="55"/>
        <v>1587000000</v>
      </c>
      <c r="V24" s="218">
        <f>SUM(R24:U24)</f>
        <v>5985749999.999999</v>
      </c>
      <c r="W24" s="91"/>
      <c r="Y24" s="213" t="s">
        <v>300</v>
      </c>
      <c r="Z24" s="117">
        <f>Z23*0.6</f>
        <v>2414999999.9999995</v>
      </c>
      <c r="AA24" s="117">
        <f t="shared" ref="AA24:AC24" si="56">AA23*0.6</f>
        <v>793500000</v>
      </c>
      <c r="AB24" s="117">
        <f t="shared" si="56"/>
        <v>1190249999.9999998</v>
      </c>
      <c r="AC24" s="117">
        <f t="shared" si="56"/>
        <v>1587000000</v>
      </c>
      <c r="AD24" s="218">
        <f>SUM(Z24:AC24)</f>
        <v>5985749999.999999</v>
      </c>
      <c r="AE24" s="91"/>
      <c r="AG24" s="213" t="s">
        <v>300</v>
      </c>
      <c r="AH24" s="117">
        <f>AH23*0.6</f>
        <v>2777249999.9999995</v>
      </c>
      <c r="AI24" s="117">
        <f t="shared" ref="AI24:AK24" si="57">AI23*0.6</f>
        <v>912525000</v>
      </c>
      <c r="AJ24" s="117">
        <f t="shared" si="57"/>
        <v>1368787499.9999993</v>
      </c>
      <c r="AK24" s="117">
        <f t="shared" si="57"/>
        <v>1825050000</v>
      </c>
      <c r="AL24" s="218">
        <f>SUM(AH24:AK24)</f>
        <v>6883612499.999999</v>
      </c>
      <c r="AM24" s="91"/>
    </row>
    <row r="25" spans="1:39" ht="16.5" customHeight="1" thickBot="1">
      <c r="A25" s="213" t="s">
        <v>88</v>
      </c>
      <c r="B25" s="343">
        <f t="array" ref="B25">INDEX(t!$B$3:$B$6,MATCH(TRUE,B13&lt;=t!$A$3:$A$6,0))</f>
        <v>4.0000000000000001E-3</v>
      </c>
      <c r="C25" s="343">
        <f t="array" ref="C25">INDEX(t!$B$3:$B$6,MATCH(TRUE,C13&lt;=t!$A$3:$A$6,0))</f>
        <v>4.0000000000000001E-3</v>
      </c>
      <c r="D25" s="343">
        <f t="array" ref="D25">INDEX(t!$B$3:$B$6,MATCH(TRUE,D13&lt;=t!$A$3:$A$6,0))</f>
        <v>4.0000000000000001E-3</v>
      </c>
      <c r="E25" s="343">
        <f t="array" ref="E25">INDEX(t!$B$3:$B$6,MATCH(TRUE,E13&lt;=t!$A$3:$A$6,0))</f>
        <v>4.0000000000000001E-3</v>
      </c>
      <c r="F25" s="343">
        <f t="array" ref="F25">INDEX(t!$B$3:$B$6,MATCH(TRUE,F24&lt;=t!$A$3:$A$6,0))</f>
        <v>4.0000000000000001E-3</v>
      </c>
      <c r="H25" s="3"/>
      <c r="I25" s="213" t="s">
        <v>88</v>
      </c>
      <c r="J25" s="343">
        <f t="array" ref="J25">INDEX(t!$B$3:$B$6,MATCH(TRUE,J13&lt;=t!$A$3:$A$6,0))</f>
        <v>4.0000000000000001E-3</v>
      </c>
      <c r="K25" s="343">
        <f t="array" ref="K25">INDEX(t!$B$3:$B$6,MATCH(TRUE,K13&lt;=t!$A$3:$A$6,0))</f>
        <v>4.0000000000000001E-3</v>
      </c>
      <c r="L25" s="343">
        <f t="array" ref="L25">INDEX(t!$B$3:$B$6,MATCH(TRUE,L13&lt;=t!$A$3:$A$6,0))</f>
        <v>4.0000000000000001E-3</v>
      </c>
      <c r="M25" s="343">
        <f t="array" ref="M25">INDEX(t!$B$3:$B$6,MATCH(TRUE,M13&lt;=t!$A$3:$A$6,0))</f>
        <v>4.0000000000000001E-3</v>
      </c>
      <c r="N25" s="343">
        <f t="array" ref="N25">INDEX(t!$B$3:$B$6,MATCH(TRUE,N24&lt;=t!$A$3:$A$6,0))</f>
        <v>4.0000000000000001E-3</v>
      </c>
      <c r="Q25" s="213" t="s">
        <v>88</v>
      </c>
      <c r="R25" s="343">
        <f t="array" ref="R25">INDEX(t!$B$3:$B$6,MATCH(TRUE,R13&lt;=t!$A$3:$A$6,0))</f>
        <v>4.0000000000000001E-3</v>
      </c>
      <c r="S25" s="343">
        <f t="array" ref="S25">INDEX(t!$B$3:$B$6,MATCH(TRUE,S13&lt;=t!$A$3:$A$6,0))</f>
        <v>4.0000000000000001E-3</v>
      </c>
      <c r="T25" s="343">
        <f t="array" ref="T25">INDEX(t!$B$3:$B$6,MATCH(TRUE,T13&lt;=t!$A$3:$A$6,0))</f>
        <v>4.0000000000000001E-3</v>
      </c>
      <c r="U25" s="343">
        <f t="array" ref="U25">INDEX(t!$B$3:$B$6,MATCH(TRUE,U13&lt;=t!$A$3:$A$6,0))</f>
        <v>4.0000000000000001E-3</v>
      </c>
      <c r="V25" s="343">
        <f t="array" ref="V25">INDEX(t!$B$3:$B$6,MATCH(TRUE,V24&lt;=t!$A$3:$A$6,0))</f>
        <v>4.0000000000000001E-3</v>
      </c>
      <c r="Y25" s="213" t="s">
        <v>88</v>
      </c>
      <c r="Z25" s="343">
        <f t="array" ref="Z25">INDEX(t!$B$3:$B$6,MATCH(TRUE,Z13&lt;=t!$A$3:$A$6,0))</f>
        <v>4.0000000000000001E-3</v>
      </c>
      <c r="AA25" s="343">
        <f t="array" ref="AA25">INDEX(t!$B$3:$B$6,MATCH(TRUE,AA13&lt;=t!$A$3:$A$6,0))</f>
        <v>4.0000000000000001E-3</v>
      </c>
      <c r="AB25" s="343">
        <f t="array" ref="AB25">INDEX(t!$B$3:$B$6,MATCH(TRUE,AB13&lt;=t!$A$3:$A$6,0))</f>
        <v>4.0000000000000001E-3</v>
      </c>
      <c r="AC25" s="343">
        <f t="array" ref="AC25">INDEX(t!$B$3:$B$6,MATCH(TRUE,AC13&lt;=t!$A$3:$A$6,0))</f>
        <v>4.0000000000000001E-3</v>
      </c>
      <c r="AD25" s="343">
        <f t="array" ref="AD25">INDEX(t!$B$3:$B$6,MATCH(TRUE,AD24&lt;=t!$A$3:$A$6,0))</f>
        <v>4.0000000000000001E-3</v>
      </c>
      <c r="AG25" s="213" t="s">
        <v>88</v>
      </c>
      <c r="AH25" s="343">
        <f t="array" ref="AH25">INDEX(t!$B$3:$B$6,MATCH(TRUE,AH13&lt;=t!$A$3:$A$6,0))</f>
        <v>4.0000000000000001E-3</v>
      </c>
      <c r="AI25" s="343">
        <f t="array" ref="AI25">INDEX(t!$B$3:$B$6,MATCH(TRUE,AI13&lt;=t!$A$3:$A$6,0))</f>
        <v>4.0000000000000001E-3</v>
      </c>
      <c r="AJ25" s="343">
        <f t="array" ref="AJ25">INDEX(t!$B$3:$B$6,MATCH(TRUE,AJ13&lt;=t!$A$3:$A$6,0))</f>
        <v>4.0000000000000001E-3</v>
      </c>
      <c r="AK25" s="343">
        <f t="array" ref="AK25">INDEX(t!$B$3:$B$6,MATCH(TRUE,AK13&lt;=t!$A$3:$A$6,0))</f>
        <v>4.0000000000000001E-3</v>
      </c>
      <c r="AL25" s="343">
        <f t="array" ref="AL25">INDEX(t!$B$3:$B$6,MATCH(TRUE,AL24&lt;=t!$A$3:$A$6,0))</f>
        <v>4.0000000000000001E-3</v>
      </c>
    </row>
    <row r="26" spans="1:39" ht="16.5" customHeight="1" thickBot="1">
      <c r="A26" s="326" t="s">
        <v>302</v>
      </c>
      <c r="B26" s="372">
        <f>B24*B25-VLOOKUP(B25,t!$B$2:$C$6,2,0)</f>
        <v>11106000</v>
      </c>
      <c r="C26" s="372">
        <f>C24*C25-VLOOKUP(C25,t!$B$2:$C$6,2,0)</f>
        <v>1290000</v>
      </c>
      <c r="D26" s="372">
        <f>D24*D25-VLOOKUP(D25,t!$B$2:$C$6,2,0)</f>
        <v>2250000</v>
      </c>
      <c r="E26" s="372">
        <f>E24*E25-VLOOKUP(E25,t!$B$2:$C$6,2,0)</f>
        <v>3450000</v>
      </c>
      <c r="F26" s="373">
        <f>SUM(B26:E26)</f>
        <v>18096000</v>
      </c>
      <c r="G26" s="374"/>
      <c r="H26" s="3"/>
      <c r="I26" s="326" t="s">
        <v>302</v>
      </c>
      <c r="J26" s="375">
        <f>J24*J25-VLOOKUP(J25,t!$B$2:$C$6,2,0)</f>
        <v>7770000</v>
      </c>
      <c r="K26" s="375">
        <f>K24*K25-VLOOKUP(K25,t!$B$2:$C$6,2,0)</f>
        <v>2130000</v>
      </c>
      <c r="L26" s="375">
        <f>L24*L25-VLOOKUP(L25,t!$B$2:$C$6,2,0)</f>
        <v>3509999.9999999991</v>
      </c>
      <c r="M26" s="375">
        <f>M24*M25-VLOOKUP(M25,t!$B$2:$C$6,2,0)</f>
        <v>4890000</v>
      </c>
      <c r="N26" s="373">
        <f>SUM(J26:M26)</f>
        <v>18300000</v>
      </c>
      <c r="O26" s="335"/>
      <c r="Q26" s="326" t="s">
        <v>302</v>
      </c>
      <c r="R26" s="375">
        <f>R24*R25-VLOOKUP(R25,t!$B$2:$C$6,2,0)</f>
        <v>9029999.9999999981</v>
      </c>
      <c r="S26" s="375">
        <f>S24*S25-VLOOKUP(S25,t!$B$2:$C$6,2,0)</f>
        <v>2544000</v>
      </c>
      <c r="T26" s="375">
        <f>T24*T25-VLOOKUP(T25,t!$B$2:$C$6,2,0)</f>
        <v>4130999.9999999991</v>
      </c>
      <c r="U26" s="375">
        <f>U24*U25-VLOOKUP(U25,t!$B$2:$C$6,2,0)</f>
        <v>5718000</v>
      </c>
      <c r="V26" s="373">
        <f>SUM(R26:U26)</f>
        <v>21422999.999999996</v>
      </c>
      <c r="W26" s="335"/>
      <c r="Y26" s="326" t="s">
        <v>302</v>
      </c>
      <c r="Z26" s="375">
        <f>Z24*Z25-VLOOKUP(Z25,t!$B$2:$C$6,2,0)</f>
        <v>9029999.9999999981</v>
      </c>
      <c r="AA26" s="375">
        <f>AA24*AA25-VLOOKUP(AA25,t!$B$2:$C$6,2,0)</f>
        <v>2544000</v>
      </c>
      <c r="AB26" s="375">
        <f>AB24*AB25-VLOOKUP(AB25,t!$B$2:$C$6,2,0)</f>
        <v>4130999.9999999991</v>
      </c>
      <c r="AC26" s="375">
        <f>AC24*AC25-VLOOKUP(AC25,t!$B$2:$C$6,2,0)</f>
        <v>5718000</v>
      </c>
      <c r="AD26" s="373">
        <f>SUM(Z26:AC26)</f>
        <v>21422999.999999996</v>
      </c>
      <c r="AE26" s="335"/>
      <c r="AG26" s="326" t="s">
        <v>302</v>
      </c>
      <c r="AH26" s="375">
        <f>AH24*AH25-VLOOKUP(AH25,t!$B$2:$C$6,2,0)</f>
        <v>10478999.999999998</v>
      </c>
      <c r="AI26" s="375">
        <f>AI24*AI25-VLOOKUP(AI25,t!$B$2:$C$6,2,0)</f>
        <v>3020100</v>
      </c>
      <c r="AJ26" s="375">
        <f>AJ24*AJ25-VLOOKUP(AJ25,t!$B$2:$C$6,2,0)</f>
        <v>4845149.9999999972</v>
      </c>
      <c r="AK26" s="375">
        <f>AK24*AK25-VLOOKUP(AK25,t!$B$2:$C$6,2,0)</f>
        <v>6670200</v>
      </c>
      <c r="AL26" s="373">
        <f>SUM(AH26:AK26)</f>
        <v>25014449.999999996</v>
      </c>
      <c r="AM26" s="335"/>
    </row>
    <row r="27" spans="1:39" ht="16.5" customHeight="1" thickBot="1">
      <c r="A27" s="326" t="s">
        <v>303</v>
      </c>
      <c r="B27" s="376"/>
      <c r="C27" s="376"/>
      <c r="D27" s="376"/>
      <c r="E27" s="376"/>
      <c r="F27" s="373">
        <f>F57</f>
        <v>88993588.23176223</v>
      </c>
      <c r="H27" s="3"/>
      <c r="I27" s="377" t="s">
        <v>303</v>
      </c>
      <c r="J27" s="376"/>
      <c r="K27" s="376"/>
      <c r="L27" s="376"/>
      <c r="M27" s="376"/>
      <c r="N27" s="378">
        <f>N57</f>
        <v>90402065.378900439</v>
      </c>
      <c r="Q27" s="326" t="s">
        <v>303</v>
      </c>
      <c r="R27" s="376"/>
      <c r="S27" s="376"/>
      <c r="T27" s="376"/>
      <c r="U27" s="376"/>
      <c r="V27" s="378">
        <f ca="1">V57</f>
        <v>160414187.35448462</v>
      </c>
      <c r="Y27" s="326" t="s">
        <v>303</v>
      </c>
      <c r="Z27" s="376"/>
      <c r="AA27" s="376"/>
      <c r="AB27" s="376"/>
      <c r="AC27" s="376"/>
      <c r="AD27" s="378">
        <f ca="1">AD57</f>
        <v>195844785.54798251</v>
      </c>
      <c r="AG27" s="326" t="s">
        <v>303</v>
      </c>
      <c r="AH27" s="376"/>
      <c r="AI27" s="376"/>
      <c r="AJ27" s="376"/>
      <c r="AK27" s="376"/>
      <c r="AL27" s="378">
        <f ca="1">AL57</f>
        <v>240864674.16126755</v>
      </c>
    </row>
    <row r="28" spans="1:39" ht="16.5" customHeight="1">
      <c r="A28" s="103" t="s">
        <v>316</v>
      </c>
      <c r="B28" s="376"/>
      <c r="C28" s="376"/>
      <c r="D28" s="376"/>
      <c r="E28" s="376"/>
      <c r="F28" s="342">
        <f>SUM(F26,F27)*150%</f>
        <v>160634382.34764335</v>
      </c>
      <c r="H28" s="3"/>
      <c r="I28" s="379" t="s">
        <v>316</v>
      </c>
      <c r="J28" s="376"/>
      <c r="K28" s="376"/>
      <c r="L28" s="376"/>
      <c r="M28" s="376"/>
      <c r="N28" s="380">
        <f>SUM(N26,N27)*200%</f>
        <v>217404130.75780088</v>
      </c>
      <c r="Q28" s="379" t="s">
        <v>316</v>
      </c>
      <c r="R28" s="376"/>
      <c r="S28" s="376"/>
      <c r="T28" s="376"/>
      <c r="U28" s="376"/>
      <c r="V28" s="380">
        <f ca="1">SUM(V26,V27)*200%</f>
        <v>363674374.70896924</v>
      </c>
      <c r="Y28" s="379" t="s">
        <v>316</v>
      </c>
      <c r="Z28" s="376"/>
      <c r="AA28" s="376"/>
      <c r="AB28" s="376"/>
      <c r="AC28" s="376"/>
      <c r="AD28" s="380">
        <f ca="1">SUM(AD26,AD27)*200%</f>
        <v>434535571.09596503</v>
      </c>
      <c r="AG28" s="379" t="s">
        <v>316</v>
      </c>
      <c r="AH28" s="376"/>
      <c r="AI28" s="376"/>
      <c r="AJ28" s="376"/>
      <c r="AK28" s="376"/>
      <c r="AL28" s="380">
        <f ca="1">SUM(AL26,AL27)*200%</f>
        <v>531758248.3225351</v>
      </c>
    </row>
    <row r="29" spans="1:39" ht="16.5" customHeight="1">
      <c r="A29" s="3"/>
      <c r="B29" s="3"/>
      <c r="C29" s="3"/>
      <c r="D29" s="3"/>
      <c r="E29" s="3"/>
      <c r="F29" s="3"/>
      <c r="G29" s="3"/>
      <c r="H29" s="3"/>
      <c r="I29" s="3"/>
      <c r="J29" s="14"/>
      <c r="K29" s="14"/>
      <c r="L29" s="14"/>
      <c r="M29" s="14"/>
      <c r="N29" s="3"/>
      <c r="O29" s="3"/>
      <c r="Q29" s="3"/>
      <c r="R29" s="14"/>
      <c r="S29" s="14"/>
      <c r="T29" s="14"/>
      <c r="U29" s="14"/>
      <c r="V29" s="3"/>
      <c r="W29" s="3"/>
      <c r="Y29" s="3"/>
      <c r="Z29" s="14"/>
      <c r="AA29" s="14"/>
      <c r="AB29" s="14"/>
      <c r="AC29" s="14"/>
      <c r="AD29" s="3"/>
      <c r="AE29" s="3"/>
      <c r="AG29" s="3"/>
      <c r="AH29" s="14"/>
      <c r="AI29" s="14"/>
      <c r="AJ29" s="14"/>
      <c r="AK29" s="14"/>
      <c r="AL29" s="3"/>
      <c r="AM29" s="3"/>
    </row>
    <row r="30" spans="1:39" s="357" customFormat="1" ht="7.5" customHeight="1">
      <c r="A30" s="355"/>
      <c r="B30" s="355"/>
      <c r="C30" s="355"/>
      <c r="D30" s="355"/>
      <c r="E30" s="355"/>
      <c r="F30" s="355"/>
      <c r="G30" s="355"/>
      <c r="H30" s="355"/>
      <c r="I30" s="355"/>
      <c r="J30" s="356"/>
      <c r="K30" s="356"/>
      <c r="L30" s="356"/>
      <c r="M30" s="356"/>
      <c r="N30" s="355"/>
      <c r="O30" s="355"/>
      <c r="Q30" s="355"/>
      <c r="R30" s="356"/>
      <c r="S30" s="356"/>
      <c r="T30" s="356"/>
      <c r="U30" s="356"/>
      <c r="V30" s="355"/>
      <c r="W30" s="355"/>
      <c r="Y30" s="355"/>
      <c r="Z30" s="356"/>
      <c r="AA30" s="356"/>
      <c r="AB30" s="356"/>
      <c r="AC30" s="356"/>
      <c r="AD30" s="355"/>
      <c r="AE30" s="355"/>
      <c r="AG30" s="355"/>
      <c r="AH30" s="356"/>
      <c r="AI30" s="356"/>
      <c r="AJ30" s="356"/>
      <c r="AK30" s="356"/>
      <c r="AL30" s="355"/>
      <c r="AM30" s="355"/>
    </row>
    <row r="31" spans="1:39" ht="7.5" customHeight="1">
      <c r="A31" s="3"/>
      <c r="B31" s="3"/>
      <c r="C31" s="3"/>
      <c r="D31" s="3"/>
      <c r="E31" s="3"/>
      <c r="F31" s="3"/>
      <c r="G31" s="3"/>
      <c r="H31" s="3"/>
      <c r="I31" s="3"/>
      <c r="J31" s="14"/>
      <c r="K31" s="14"/>
      <c r="L31" s="14"/>
      <c r="M31" s="14"/>
      <c r="N31" s="3"/>
      <c r="O31" s="3"/>
      <c r="Q31" s="3"/>
      <c r="R31" s="14"/>
      <c r="S31" s="14"/>
      <c r="T31" s="14"/>
      <c r="U31" s="14"/>
      <c r="V31" s="3"/>
      <c r="W31" s="3"/>
      <c r="Y31" s="3"/>
      <c r="Z31" s="14"/>
      <c r="AA31" s="14"/>
      <c r="AB31" s="14"/>
      <c r="AC31" s="14"/>
      <c r="AD31" s="3"/>
      <c r="AE31" s="3"/>
      <c r="AG31" s="3"/>
      <c r="AH31" s="14"/>
      <c r="AI31" s="14"/>
      <c r="AJ31" s="14"/>
      <c r="AK31" s="14"/>
      <c r="AL31" s="3"/>
      <c r="AM31" s="3"/>
    </row>
    <row r="32" spans="1:39" ht="16.5" customHeight="1" thickBot="1">
      <c r="A32" s="3"/>
      <c r="B32" s="381">
        <f>A9</f>
        <v>2026</v>
      </c>
      <c r="C32" s="382"/>
      <c r="D32" s="382"/>
      <c r="E32" s="382"/>
      <c r="F32" s="3" t="s">
        <v>315</v>
      </c>
      <c r="G32" s="3"/>
      <c r="H32" s="3"/>
      <c r="I32" s="3"/>
      <c r="J32" s="176">
        <f>B32+1</f>
        <v>2027</v>
      </c>
      <c r="K32" s="382"/>
      <c r="L32" s="382"/>
      <c r="M32" s="382"/>
      <c r="N32" s="3" t="s">
        <v>315</v>
      </c>
      <c r="Q32" s="3"/>
      <c r="R32" s="176">
        <f>J32+1</f>
        <v>2028</v>
      </c>
      <c r="S32" s="382"/>
      <c r="T32" s="382"/>
      <c r="U32" s="382"/>
      <c r="V32" s="3" t="s">
        <v>315</v>
      </c>
      <c r="W32" s="3"/>
      <c r="Y32" s="3"/>
      <c r="Z32" s="176">
        <f>R32+1</f>
        <v>2029</v>
      </c>
      <c r="AA32" s="383"/>
      <c r="AB32" s="383"/>
      <c r="AC32" s="383"/>
      <c r="AD32" s="3" t="s">
        <v>315</v>
      </c>
      <c r="AE32" s="3"/>
      <c r="AG32" s="3"/>
      <c r="AH32" s="176">
        <f>Z32+1</f>
        <v>2030</v>
      </c>
      <c r="AI32" s="383"/>
      <c r="AJ32" s="383"/>
      <c r="AK32" s="383"/>
      <c r="AL32" s="3" t="s">
        <v>315</v>
      </c>
      <c r="AM32" s="3"/>
    </row>
    <row r="33" spans="1:39" ht="16.5" customHeight="1">
      <c r="B33" s="352" t="str">
        <f>IF(OR($B$5="1세대1주택"),"1세대1주택","주택")</f>
        <v>주택</v>
      </c>
      <c r="C33" s="352" t="str">
        <f t="shared" ref="C33:E33" si="58">IF(OR($B$5="1세대1주택"),"1세대1주택","주택")</f>
        <v>주택</v>
      </c>
      <c r="D33" s="352" t="str">
        <f t="shared" si="58"/>
        <v>주택</v>
      </c>
      <c r="E33" s="352" t="str">
        <f t="shared" si="58"/>
        <v>주택</v>
      </c>
      <c r="F33" s="384" t="str">
        <f>IF(OR($B$5="1세대1주택"),"1세대1주택","주택")</f>
        <v>주택</v>
      </c>
      <c r="H33" s="3"/>
      <c r="J33" s="385" t="str">
        <f>J10</f>
        <v>주택</v>
      </c>
      <c r="K33" s="385" t="str">
        <f t="shared" ref="K33:M33" si="59">K10</f>
        <v>주택</v>
      </c>
      <c r="L33" s="385" t="str">
        <f t="shared" si="59"/>
        <v>주택</v>
      </c>
      <c r="M33" s="385" t="str">
        <f t="shared" si="59"/>
        <v>주택</v>
      </c>
      <c r="N33" s="384" t="str">
        <f>IF(OR($B$5="1세대1주택"),"1세대1주택","주택")</f>
        <v>주택</v>
      </c>
      <c r="R33" s="385" t="str">
        <f>R10</f>
        <v>주택</v>
      </c>
      <c r="S33" s="385" t="str">
        <f t="shared" ref="S33:U33" si="60">S10</f>
        <v>주택</v>
      </c>
      <c r="T33" s="385" t="str">
        <f t="shared" si="60"/>
        <v>주택</v>
      </c>
      <c r="U33" s="385" t="str">
        <f t="shared" si="60"/>
        <v>주택</v>
      </c>
      <c r="V33" s="384" t="str">
        <f>IF(OR($B$5="1세대1주택"),"1세대1주택","주택")</f>
        <v>주택</v>
      </c>
      <c r="Z33" s="385" t="str">
        <f>Z10</f>
        <v>주택</v>
      </c>
      <c r="AA33" s="385" t="str">
        <f t="shared" ref="AA33:AC33" si="61">AA10</f>
        <v>주택</v>
      </c>
      <c r="AB33" s="385" t="str">
        <f t="shared" si="61"/>
        <v>주택</v>
      </c>
      <c r="AC33" s="385" t="str">
        <f t="shared" si="61"/>
        <v>주택</v>
      </c>
      <c r="AD33" s="384" t="str">
        <f>IF(OR($B$5="1세대1주택"),"1세대1주택","주택")</f>
        <v>주택</v>
      </c>
      <c r="AH33" s="385" t="str">
        <f>AH10</f>
        <v>주택</v>
      </c>
      <c r="AI33" s="385" t="str">
        <f t="shared" ref="AI33:AK33" si="62">AI10</f>
        <v>주택</v>
      </c>
      <c r="AJ33" s="385" t="str">
        <f t="shared" si="62"/>
        <v>주택</v>
      </c>
      <c r="AK33" s="385" t="str">
        <f t="shared" si="62"/>
        <v>주택</v>
      </c>
      <c r="AL33" s="384" t="str">
        <f>IF(OR($B$5="1세대1주택"),"1세대1주택","주택")</f>
        <v>주택</v>
      </c>
    </row>
    <row r="34" spans="1:39" ht="16.5" customHeight="1">
      <c r="A34" s="174" t="s">
        <v>291</v>
      </c>
      <c r="B34" s="386" t="str">
        <f>IF($B$6=B$9,"거주","")</f>
        <v>거주</v>
      </c>
      <c r="C34" s="386" t="str">
        <f t="shared" ref="C34:E34" si="63">IF($B$6=C$9,"거주","")</f>
        <v/>
      </c>
      <c r="D34" s="386" t="str">
        <f t="shared" si="63"/>
        <v/>
      </c>
      <c r="E34" s="386" t="str">
        <f t="shared" si="63"/>
        <v/>
      </c>
      <c r="F34" s="387" t="str">
        <f>B34</f>
        <v>거주</v>
      </c>
      <c r="H34" s="3"/>
      <c r="I34" s="174" t="s">
        <v>263</v>
      </c>
      <c r="J34" s="388" t="str">
        <f>IF($B$6=J$9,"거주","")</f>
        <v>거주</v>
      </c>
      <c r="K34" s="388" t="str">
        <f t="shared" ref="K34:M34" si="64">IF($B$6=K$9,"거주","")</f>
        <v/>
      </c>
      <c r="L34" s="388" t="str">
        <f t="shared" si="64"/>
        <v/>
      </c>
      <c r="M34" s="388" t="str">
        <f t="shared" si="64"/>
        <v/>
      </c>
      <c r="N34" s="387" t="str">
        <f>J34</f>
        <v>거주</v>
      </c>
      <c r="Q34" s="174" t="s">
        <v>97</v>
      </c>
      <c r="R34" s="388" t="str">
        <f>IF($B$6=R$9,"거주","")</f>
        <v>거주</v>
      </c>
      <c r="S34" s="388" t="str">
        <f t="shared" ref="S34:U34" si="65">IF($B$6=S$9,"거주","")</f>
        <v/>
      </c>
      <c r="T34" s="388" t="str">
        <f t="shared" si="65"/>
        <v/>
      </c>
      <c r="U34" s="388" t="str">
        <f t="shared" si="65"/>
        <v/>
      </c>
      <c r="V34" s="387" t="str">
        <f>R34</f>
        <v>거주</v>
      </c>
      <c r="Y34" s="174" t="s">
        <v>97</v>
      </c>
      <c r="Z34" s="388" t="str">
        <f>IF($B$6=Z$9,"거주","")</f>
        <v>거주</v>
      </c>
      <c r="AA34" s="388" t="str">
        <f t="shared" ref="AA34:AC34" si="66">IF($B$6=AA$9,"거주","")</f>
        <v/>
      </c>
      <c r="AB34" s="388" t="str">
        <f t="shared" si="66"/>
        <v/>
      </c>
      <c r="AC34" s="388" t="str">
        <f t="shared" si="66"/>
        <v/>
      </c>
      <c r="AD34" s="387" t="str">
        <f>Z34</f>
        <v>거주</v>
      </c>
      <c r="AG34" s="174" t="s">
        <v>97</v>
      </c>
      <c r="AH34" s="388" t="str">
        <f>IF($B$6=AH$9,"거주","")</f>
        <v>거주</v>
      </c>
      <c r="AI34" s="388" t="str">
        <f t="shared" ref="AI34:AK34" si="67">IF($B$6=AI$9,"거주","")</f>
        <v/>
      </c>
      <c r="AJ34" s="388" t="str">
        <f t="shared" si="67"/>
        <v/>
      </c>
      <c r="AK34" s="388" t="str">
        <f t="shared" si="67"/>
        <v/>
      </c>
      <c r="AL34" s="387" t="str">
        <f>AH34</f>
        <v>거주</v>
      </c>
    </row>
    <row r="35" spans="1:39" ht="16.5" customHeight="1">
      <c r="A35" s="174" t="s">
        <v>221</v>
      </c>
      <c r="B35" s="205">
        <f>HLOOKUP(B$9,기초!$C$5:$I$16,MATCH($A35,기초!$A$5:$A$16,0),0)</f>
        <v>1</v>
      </c>
      <c r="C35" s="205">
        <f>HLOOKUP(C$9,기초!$C$5:$I$16,MATCH($A35,기초!$A$5:$A$16,0),0)</f>
        <v>0.5</v>
      </c>
      <c r="D35" s="205">
        <f>HLOOKUP(D$9,기초!$C$5:$I$16,MATCH($A35,기초!$A$5:$A$16,0),0)</f>
        <v>1</v>
      </c>
      <c r="E35" s="205">
        <f>HLOOKUP(E$9,기초!$C$5:$I$16,MATCH($A35,기초!$A$5:$A$16,0),0)</f>
        <v>1</v>
      </c>
      <c r="F35" s="389"/>
      <c r="H35" s="3"/>
      <c r="I35" s="174" t="s">
        <v>98</v>
      </c>
      <c r="J35" s="390">
        <f>B35</f>
        <v>1</v>
      </c>
      <c r="K35" s="390">
        <f t="shared" ref="K35:M35" si="68">C35</f>
        <v>0.5</v>
      </c>
      <c r="L35" s="390">
        <f t="shared" si="68"/>
        <v>1</v>
      </c>
      <c r="M35" s="390">
        <f t="shared" si="68"/>
        <v>1</v>
      </c>
      <c r="N35" s="389"/>
      <c r="Q35" s="174" t="s">
        <v>98</v>
      </c>
      <c r="R35" s="390">
        <f>J35</f>
        <v>1</v>
      </c>
      <c r="S35" s="390">
        <f t="shared" ref="S35:U35" si="69">K35</f>
        <v>0.5</v>
      </c>
      <c r="T35" s="390">
        <f t="shared" si="69"/>
        <v>1</v>
      </c>
      <c r="U35" s="390">
        <f t="shared" si="69"/>
        <v>1</v>
      </c>
      <c r="V35" s="389"/>
      <c r="Y35" s="174" t="s">
        <v>98</v>
      </c>
      <c r="Z35" s="390">
        <f>R35</f>
        <v>1</v>
      </c>
      <c r="AA35" s="390">
        <f t="shared" ref="AA35:AC35" si="70">S35</f>
        <v>0.5</v>
      </c>
      <c r="AB35" s="390">
        <f t="shared" si="70"/>
        <v>1</v>
      </c>
      <c r="AC35" s="390">
        <f t="shared" si="70"/>
        <v>1</v>
      </c>
      <c r="AD35" s="389"/>
      <c r="AG35" s="174" t="s">
        <v>98</v>
      </c>
      <c r="AH35" s="390">
        <f>Z35</f>
        <v>1</v>
      </c>
      <c r="AI35" s="390">
        <f t="shared" ref="AI35:AK35" si="71">AA35</f>
        <v>0.5</v>
      </c>
      <c r="AJ35" s="390">
        <f t="shared" si="71"/>
        <v>1</v>
      </c>
      <c r="AK35" s="390">
        <f t="shared" si="71"/>
        <v>1</v>
      </c>
      <c r="AL35" s="389"/>
    </row>
    <row r="36" spans="1:39" ht="16.5" customHeight="1">
      <c r="A36" s="174" t="s">
        <v>41</v>
      </c>
      <c r="B36" s="197">
        <f>HLOOKUP(B$9,기초!$C$5:$I$16,MATCH($A36,기초!$A$5:$A$16,0),0)</f>
        <v>15</v>
      </c>
      <c r="C36" s="197">
        <f>HLOOKUP(C$9,기초!$C$5:$I$16,MATCH($A36,기초!$A$5:$A$16,0),0)</f>
        <v>4</v>
      </c>
      <c r="D36" s="197">
        <f>HLOOKUP(D$9,기초!$C$5:$I$16,MATCH($A36,기초!$A$5:$A$16,0),0)</f>
        <v>5</v>
      </c>
      <c r="E36" s="197">
        <f>HLOOKUP(E$9,기초!$C$5:$I$16,MATCH($A36,기초!$A$5:$A$16,0),0)</f>
        <v>6</v>
      </c>
      <c r="F36" s="391">
        <f>IF(F33="1세대1주택",B36-1,)</f>
        <v>0</v>
      </c>
      <c r="H36" s="3"/>
      <c r="I36" s="353" t="s">
        <v>306</v>
      </c>
      <c r="J36" s="392">
        <f>B36+1</f>
        <v>16</v>
      </c>
      <c r="K36" s="392">
        <f>C36+1</f>
        <v>5</v>
      </c>
      <c r="L36" s="392">
        <f>D36+1</f>
        <v>6</v>
      </c>
      <c r="M36" s="392">
        <f>E36+1</f>
        <v>7</v>
      </c>
      <c r="N36" s="393">
        <f>IF(N33="1세대1주택",J36-1,)</f>
        <v>0</v>
      </c>
      <c r="Q36" s="394"/>
      <c r="R36" s="439"/>
      <c r="S36" s="439"/>
      <c r="T36" s="439"/>
      <c r="U36" s="439"/>
      <c r="V36" s="391"/>
      <c r="Y36" s="394"/>
      <c r="Z36" s="439"/>
      <c r="AA36" s="439"/>
      <c r="AB36" s="439"/>
      <c r="AC36" s="439"/>
      <c r="AD36" s="391"/>
      <c r="AG36" s="394"/>
      <c r="AH36" s="439"/>
      <c r="AI36" s="439"/>
      <c r="AJ36" s="439"/>
      <c r="AK36" s="439"/>
      <c r="AL36" s="391"/>
      <c r="AM36" s="4"/>
    </row>
    <row r="37" spans="1:39" ht="16.5" customHeight="1">
      <c r="A37" s="174" t="s">
        <v>99</v>
      </c>
      <c r="B37" s="395" t="b">
        <f>IF(B33="1세대1주택",IF(B36&gt;=15,50%,IF(B36&gt;=10,40%,IF(B36&gt;=5,20%,0))))</f>
        <v>0</v>
      </c>
      <c r="C37" s="105" t="b">
        <f t="shared" ref="C37:E37" si="72">IF(C33="1세대1주택",IF(C36&gt;=15,50%,IF(C36&gt;=10,40%,IF(C36&gt;=5,20%,0))))</f>
        <v>0</v>
      </c>
      <c r="D37" s="105" t="b">
        <f t="shared" si="72"/>
        <v>0</v>
      </c>
      <c r="E37" s="396" t="b">
        <f t="shared" si="72"/>
        <v>0</v>
      </c>
      <c r="F37" s="397" t="b">
        <f>IF(F33="1세대1주택",IF(F36&gt;=15,50%,IF(F36&gt;=10,40%,IF(F36&gt;=5,20%,0))))</f>
        <v>0</v>
      </c>
      <c r="H37" s="3"/>
      <c r="I37" s="354" t="s">
        <v>307</v>
      </c>
      <c r="J37" s="390" t="b">
        <f>IF(J$33="1세대1주택",IF(J36&gt;=15,25%,IF(J36&gt;=10,20%,IF(J36&gt;=5,10%,0))))</f>
        <v>0</v>
      </c>
      <c r="K37" s="390" t="b">
        <f t="shared" ref="K37:M37" si="73">IF(K$33="1세대1주택",IF(K36&gt;=15,25%,IF(K36&gt;=10,20%,IF(K36&gt;=5,10%,0))))</f>
        <v>0</v>
      </c>
      <c r="L37" s="390" t="b">
        <f t="shared" si="73"/>
        <v>0</v>
      </c>
      <c r="M37" s="390" t="b">
        <f t="shared" si="73"/>
        <v>0</v>
      </c>
      <c r="N37" s="390" t="b">
        <f>IF(N$33="1세대1주택",IF(N36&gt;=15,25%,IF(N36&gt;=10,20%,IF(N36&gt;=5,10%,0))))</f>
        <v>0</v>
      </c>
      <c r="Q37" s="394"/>
      <c r="R37" s="440"/>
      <c r="S37" s="440"/>
      <c r="T37" s="440"/>
      <c r="U37" s="441"/>
      <c r="V37" s="397"/>
      <c r="Y37" s="394"/>
      <c r="Z37" s="440"/>
      <c r="AA37" s="440"/>
      <c r="AB37" s="440"/>
      <c r="AC37" s="441"/>
      <c r="AD37" s="397"/>
      <c r="AG37" s="394"/>
      <c r="AH37" s="440"/>
      <c r="AI37" s="440"/>
      <c r="AJ37" s="440"/>
      <c r="AK37" s="441"/>
      <c r="AL37" s="397"/>
    </row>
    <row r="38" spans="1:39" ht="16.5" customHeight="1">
      <c r="A38" s="174" t="s">
        <v>100</v>
      </c>
      <c r="B38" s="398">
        <f>$B$3</f>
        <v>4</v>
      </c>
      <c r="C38" s="439"/>
      <c r="D38" s="439"/>
      <c r="E38" s="439"/>
      <c r="F38" s="389"/>
      <c r="H38" s="3"/>
      <c r="I38" s="174" t="s">
        <v>100</v>
      </c>
      <c r="J38" s="398">
        <f>$B$3</f>
        <v>4</v>
      </c>
      <c r="K38" s="439"/>
      <c r="L38" s="439"/>
      <c r="M38" s="439"/>
      <c r="N38" s="389"/>
      <c r="Q38" s="174" t="s">
        <v>100</v>
      </c>
      <c r="R38" s="399">
        <f>$B$3</f>
        <v>4</v>
      </c>
      <c r="S38" s="439"/>
      <c r="T38" s="439"/>
      <c r="U38" s="439"/>
      <c r="V38" s="389"/>
      <c r="Y38" s="174" t="s">
        <v>100</v>
      </c>
      <c r="Z38" s="399">
        <f>$B$3</f>
        <v>4</v>
      </c>
      <c r="AA38" s="439"/>
      <c r="AB38" s="439"/>
      <c r="AC38" s="439"/>
      <c r="AD38" s="389"/>
      <c r="AG38" s="174" t="s">
        <v>100</v>
      </c>
      <c r="AH38" s="399">
        <f>$B$3</f>
        <v>4</v>
      </c>
      <c r="AI38" s="439"/>
      <c r="AJ38" s="439"/>
      <c r="AK38" s="439"/>
      <c r="AL38" s="389"/>
    </row>
    <row r="39" spans="1:39" ht="16.5" customHeight="1">
      <c r="A39" s="174" t="s">
        <v>75</v>
      </c>
      <c r="B39" s="398" t="str">
        <f>IF(B38&lt;=2,"기본세율","중과세율")</f>
        <v>중과세율</v>
      </c>
      <c r="C39" s="440"/>
      <c r="D39" s="440"/>
      <c r="E39" s="441"/>
      <c r="F39" s="389"/>
      <c r="H39" s="3"/>
      <c r="I39" s="394"/>
      <c r="J39" s="440"/>
      <c r="K39" s="440"/>
      <c r="L39" s="440"/>
      <c r="M39" s="441"/>
      <c r="N39" s="389"/>
      <c r="Q39" s="394"/>
      <c r="R39" s="83"/>
      <c r="S39" s="440"/>
      <c r="T39" s="440"/>
      <c r="U39" s="441"/>
      <c r="V39" s="400"/>
      <c r="Y39" s="394"/>
      <c r="Z39" s="83"/>
      <c r="AA39" s="440"/>
      <c r="AB39" s="440"/>
      <c r="AC39" s="441"/>
      <c r="AD39" s="389"/>
      <c r="AG39" s="394"/>
      <c r="AH39" s="83"/>
      <c r="AI39" s="440"/>
      <c r="AJ39" s="440"/>
      <c r="AK39" s="441"/>
      <c r="AL39" s="389"/>
    </row>
    <row r="40" spans="1:39" ht="16.5" customHeight="1">
      <c r="A40" s="401"/>
      <c r="B40" s="447"/>
      <c r="C40" s="447"/>
      <c r="D40" s="447"/>
      <c r="E40" s="448"/>
      <c r="F40" s="391"/>
      <c r="H40" s="3"/>
      <c r="I40" s="354" t="s">
        <v>264</v>
      </c>
      <c r="J40" s="392">
        <v>15</v>
      </c>
      <c r="K40" s="392">
        <v>1</v>
      </c>
      <c r="L40" s="392">
        <v>2</v>
      </c>
      <c r="M40" s="392">
        <v>3</v>
      </c>
      <c r="N40" s="393">
        <f ca="1">OFFSET($I$40,0,MATCH("거주",$J34:$M34,0))</f>
        <v>15</v>
      </c>
      <c r="Q40" s="354" t="s">
        <v>267</v>
      </c>
      <c r="R40" s="392">
        <f>IF(R34="거주",J40+1,J40)</f>
        <v>16</v>
      </c>
      <c r="S40" s="392">
        <f>IF(S34="거주",K40+1,K40)</f>
        <v>1</v>
      </c>
      <c r="T40" s="392">
        <f t="shared" ref="T40:U40" si="74">IF(T34="거주",L40+1,L40)</f>
        <v>2</v>
      </c>
      <c r="U40" s="392">
        <f t="shared" si="74"/>
        <v>3</v>
      </c>
      <c r="V40" s="393">
        <f ca="1">OFFSET($I$40,0,MATCH("거주",$J34:$M34,0))</f>
        <v>15</v>
      </c>
      <c r="Y40" s="354" t="s">
        <v>267</v>
      </c>
      <c r="Z40" s="392">
        <f>IF(Z34="거주",R40+1,R40)</f>
        <v>17</v>
      </c>
      <c r="AA40" s="392">
        <f>IF(AA34="거주",S40+1,S40)</f>
        <v>1</v>
      </c>
      <c r="AB40" s="392">
        <f t="shared" ref="AB40:AC40" si="75">IF(AB34="거주",T40+1,T40)</f>
        <v>2</v>
      </c>
      <c r="AC40" s="392">
        <f t="shared" si="75"/>
        <v>3</v>
      </c>
      <c r="AD40" s="391">
        <f ca="1">IF(AD34="거주",V40+1,V40)</f>
        <v>16</v>
      </c>
      <c r="AG40" s="354" t="s">
        <v>267</v>
      </c>
      <c r="AH40" s="392">
        <f>IF(AH34="거주",Z40+1,Z40)</f>
        <v>18</v>
      </c>
      <c r="AI40" s="392">
        <f>IF(AI34="거주",AA40+1,AA40)</f>
        <v>1</v>
      </c>
      <c r="AJ40" s="392">
        <f t="shared" ref="AJ40:AK40" si="76">IF(AJ34="거주",AB40+1,AB40)</f>
        <v>2</v>
      </c>
      <c r="AK40" s="392">
        <f t="shared" si="76"/>
        <v>3</v>
      </c>
      <c r="AL40" s="391">
        <f ca="1">IF(AL34="거주",AD40+1,AD40)</f>
        <v>17</v>
      </c>
    </row>
    <row r="41" spans="1:39" ht="16.5" customHeight="1">
      <c r="A41" s="394"/>
      <c r="B41" s="442"/>
      <c r="C41" s="440"/>
      <c r="D41" s="440"/>
      <c r="E41" s="441"/>
      <c r="F41" s="402"/>
      <c r="H41" s="3"/>
      <c r="I41" s="354" t="s">
        <v>265</v>
      </c>
      <c r="J41" s="403" t="b">
        <f>IF(AND(J33="1세대1주택",COUNTIF($J$34:$J$34,"거주")=1),IF(J40&gt;=15,50%,IF(J40&gt;=10,40%,IF(J40&gt;=5,20%,0))))</f>
        <v>0</v>
      </c>
      <c r="K41" s="403" t="b">
        <f t="shared" ref="K41:M41" si="77">IF(AND(K33="1세대1주택",COUNTIF($J$34:$J$34,"거주")=1),IF(K40&gt;=15,50%,IF(K40&gt;=10,40%,IF(K40&gt;=5,20%,0))))</f>
        <v>0</v>
      </c>
      <c r="L41" s="403" t="b">
        <f t="shared" si="77"/>
        <v>0</v>
      </c>
      <c r="M41" s="403" t="b">
        <f t="shared" si="77"/>
        <v>0</v>
      </c>
      <c r="N41" s="404" t="b">
        <f>IF(AND(N33="1세대1주택",COUNTIF($J$34:$J$34,"거주")=1),IF(N40&gt;=15,50%,IF(N40&gt;=10,40%,IF(N40&gt;=5,20%,0))))</f>
        <v>0</v>
      </c>
      <c r="Q41" s="354" t="s">
        <v>265</v>
      </c>
      <c r="R41" s="403" t="b">
        <f>IF(AND(R33="1세대1주택",COUNTIF($J$34:$J$34,"거주")=1),IF(R40&gt;=15,50%,IF(R40&gt;=10,40%,IF(R40&gt;=5,20%,0))))</f>
        <v>0</v>
      </c>
      <c r="S41" s="403" t="b">
        <f t="shared" ref="S41:U41" si="78">IF(AND(S33="1세대1주택",COUNTIF($J$34:$J$34,"거주")=1),IF(S40&gt;=15,50%,IF(S40&gt;=10,40%,IF(S40&gt;=5,20%,0))))</f>
        <v>0</v>
      </c>
      <c r="T41" s="403" t="b">
        <f t="shared" si="78"/>
        <v>0</v>
      </c>
      <c r="U41" s="403" t="b">
        <f t="shared" si="78"/>
        <v>0</v>
      </c>
      <c r="V41" s="404" t="b">
        <f>IF(AND(V33="1세대1주택",COUNTIF($J$34:$J$34,"거주")=1),IF(V40&gt;=15,50%,IF(V40&gt;=10,40%,IF(V40&gt;=5,20%,0))))</f>
        <v>0</v>
      </c>
      <c r="Y41" s="354" t="s">
        <v>265</v>
      </c>
      <c r="Z41" s="403" t="b">
        <f>IF(AND(Z33="1세대1주택",COUNTIF($J$34:$J$34,"거주")=1),IF(Z40&gt;=15,50%,IF(Z40&gt;=10,40%,IF(Z40&gt;=5,20%,0))))</f>
        <v>0</v>
      </c>
      <c r="AA41" s="403" t="b">
        <f t="shared" ref="AA41:AC41" si="79">IF(AND(AA33="1세대1주택",COUNTIF($J$34:$J$34,"거주")=1),IF(AA40&gt;=15,50%,IF(AA40&gt;=10,40%,IF(AA40&gt;=5,20%,0))))</f>
        <v>0</v>
      </c>
      <c r="AB41" s="403" t="b">
        <f t="shared" si="79"/>
        <v>0</v>
      </c>
      <c r="AC41" s="403" t="b">
        <f t="shared" si="79"/>
        <v>0</v>
      </c>
      <c r="AD41" s="404" t="b">
        <f>IF(AND(AD33="1세대1주택",COUNTIF($Z$34:$Z$34,"거주")=1),IF(AD40&gt;=15,50%,IF(AD40&gt;=10,40%,IF(AD40&gt;=5,20%,0))))</f>
        <v>0</v>
      </c>
      <c r="AG41" s="354" t="s">
        <v>265</v>
      </c>
      <c r="AH41" s="403" t="b">
        <f>IF(AND(AH33="1세대1주택",COUNTIF($J$34:$J$34,"거주")=1),IF(AH40&gt;=15,50%,IF(AH40&gt;=10,40%,IF(AH40&gt;=5,20%,0))))</f>
        <v>0</v>
      </c>
      <c r="AI41" s="403" t="b">
        <f t="shared" ref="AI41:AK41" si="80">IF(AND(AI33="1세대1주택",COUNTIF($J$34:$J$34,"거주")=1),IF(AI40&gt;=15,50%,IF(AI40&gt;=10,40%,IF(AI40&gt;=5,20%,0))))</f>
        <v>0</v>
      </c>
      <c r="AJ41" s="403" t="b">
        <f t="shared" si="80"/>
        <v>0</v>
      </c>
      <c r="AK41" s="403" t="b">
        <f t="shared" si="80"/>
        <v>0</v>
      </c>
      <c r="AL41" s="404" t="b">
        <f>IF(AND(AL33="1세대1주택",COUNTIF($Z$34:$Z$34,"거주")=1),IF(AL40&gt;=15,50%,IF(AL40&gt;=10,40%,IF(AL40&gt;=5,20%,0))))</f>
        <v>0</v>
      </c>
    </row>
    <row r="42" spans="1:39" ht="16.5" customHeight="1">
      <c r="A42" s="174" t="s">
        <v>3</v>
      </c>
      <c r="B42" s="197">
        <v>66</v>
      </c>
      <c r="C42" s="443"/>
      <c r="D42" s="443"/>
      <c r="E42" s="444"/>
      <c r="F42" s="391">
        <f>B42-1</f>
        <v>65</v>
      </c>
      <c r="H42" s="3"/>
      <c r="I42" s="174" t="s">
        <v>102</v>
      </c>
      <c r="J42" s="405">
        <f>B42+1</f>
        <v>67</v>
      </c>
      <c r="K42" s="443"/>
      <c r="L42" s="443"/>
      <c r="M42" s="444"/>
      <c r="N42" s="391">
        <f>J42-1</f>
        <v>66</v>
      </c>
      <c r="Q42" s="174" t="s">
        <v>102</v>
      </c>
      <c r="R42" s="405">
        <f>J42+1</f>
        <v>68</v>
      </c>
      <c r="S42" s="443"/>
      <c r="T42" s="443"/>
      <c r="U42" s="444"/>
      <c r="V42" s="391">
        <f>R42-1</f>
        <v>67</v>
      </c>
      <c r="Y42" s="174" t="s">
        <v>102</v>
      </c>
      <c r="Z42" s="405">
        <f>R42+1</f>
        <v>69</v>
      </c>
      <c r="AA42" s="443"/>
      <c r="AB42" s="443"/>
      <c r="AC42" s="444"/>
      <c r="AD42" s="391">
        <f>Z42-1</f>
        <v>68</v>
      </c>
      <c r="AG42" s="174" t="s">
        <v>102</v>
      </c>
      <c r="AH42" s="405">
        <f>Z42+1</f>
        <v>70</v>
      </c>
      <c r="AI42" s="443"/>
      <c r="AJ42" s="443"/>
      <c r="AK42" s="444"/>
      <c r="AL42" s="391">
        <f>AH42-1</f>
        <v>69</v>
      </c>
    </row>
    <row r="43" spans="1:39" ht="16.5" customHeight="1">
      <c r="A43" s="174" t="s">
        <v>104</v>
      </c>
      <c r="B43" s="395" t="b">
        <f>IF(B33="1세대1주택",IF(B42&gt;=70,40%,IF(B42&gt;=65,30%,IF(B42&gt;=60,20%,0))))</f>
        <v>0</v>
      </c>
      <c r="C43" s="445"/>
      <c r="D43" s="445"/>
      <c r="E43" s="446"/>
      <c r="F43" s="389" t="b">
        <f>IF(F33="1세대1주택",IF(F42&gt;=70,40%,IF(F42&gt;=65,30%,IF(F42&gt;=60,20%,0))))</f>
        <v>0</v>
      </c>
      <c r="H43" s="3"/>
      <c r="I43" s="174" t="s">
        <v>109</v>
      </c>
      <c r="J43" s="406" t="b">
        <f>IF(J33="1세대1주택",IF(J42&gt;=70,40%,IF(J42&gt;=65,30%,IF(J42&gt;=60,20%,0))))</f>
        <v>0</v>
      </c>
      <c r="K43" s="445"/>
      <c r="L43" s="445"/>
      <c r="M43" s="446"/>
      <c r="N43" s="389" t="b">
        <f>IF(N33="1세대1주택",IF(N42&gt;=70,40%,IF(N42&gt;=65,30%,IF(N42&gt;=60,20%,0))))</f>
        <v>0</v>
      </c>
      <c r="Q43" s="174" t="s">
        <v>109</v>
      </c>
      <c r="R43" s="406" t="b">
        <f>IF(R33="1세대1주택",IF(R42&gt;=70,40%,IF(R42&gt;=65,30%,IF(R42&gt;=60,20%,0))))</f>
        <v>0</v>
      </c>
      <c r="S43" s="445"/>
      <c r="T43" s="445"/>
      <c r="U43" s="446"/>
      <c r="V43" s="389" t="b">
        <f>IF(V33="1세대1주택",IF(V42&gt;=70,40%,IF(V42&gt;=65,30%,IF(V42&gt;=60,20%,0))))</f>
        <v>0</v>
      </c>
      <c r="Y43" s="174" t="s">
        <v>109</v>
      </c>
      <c r="Z43" s="406" t="b">
        <f>IF(Z33="1세대1주택",IF(Z42&gt;=70,40%,IF(Z42&gt;=65,30%,IF(Z42&gt;=60,20%,0))))</f>
        <v>0</v>
      </c>
      <c r="AA43" s="445"/>
      <c r="AB43" s="445"/>
      <c r="AC43" s="446"/>
      <c r="AD43" s="389" t="b">
        <f>IF(AD33="1세대1주택",IF(AD42&gt;=70,40%,IF(AD42&gt;=65,30%,IF(AD42&gt;=60,20%,0))))</f>
        <v>0</v>
      </c>
      <c r="AG43" s="174" t="s">
        <v>109</v>
      </c>
      <c r="AH43" s="406" t="b">
        <f>IF(AH33="1세대1주택",IF(AH42&gt;=70,40%,IF(AH42&gt;=65,30%,IF(AH42&gt;=60,20%,0))))</f>
        <v>0</v>
      </c>
      <c r="AI43" s="445"/>
      <c r="AJ43" s="445"/>
      <c r="AK43" s="446"/>
      <c r="AL43" s="389" t="b">
        <f>IF(AL33="1세대1주택",IF(AL42&gt;=70,40%,IF(AL42&gt;=65,30%,IF(AL42&gt;=60,20%,0))))</f>
        <v>0</v>
      </c>
    </row>
    <row r="44" spans="1:39" ht="16.5" customHeight="1">
      <c r="A44" s="174" t="s">
        <v>317</v>
      </c>
      <c r="B44" s="407">
        <f>IF(B33="1세대1주택",MIN(80%,SUM(B43,B37)),0)</f>
        <v>0</v>
      </c>
      <c r="C44" s="445"/>
      <c r="D44" s="445"/>
      <c r="E44" s="446"/>
      <c r="F44" s="408">
        <f>IF(F33="1세대1주택",MIN(80%,SUM(F43,F37)),0)</f>
        <v>0</v>
      </c>
      <c r="H44" s="3"/>
      <c r="I44" s="174" t="s">
        <v>317</v>
      </c>
      <c r="J44" s="119">
        <f>IF(J33="1세대1주택",MIN(80%,J$43+MAX(J$41,J$37)),0)</f>
        <v>0</v>
      </c>
      <c r="K44" s="445"/>
      <c r="L44" s="445"/>
      <c r="M44" s="446"/>
      <c r="N44" s="409">
        <f>IF(N33="1세대1주택",MIN(80%,N$43+MAX(N$41,N$37)),0)</f>
        <v>0</v>
      </c>
      <c r="Q44" s="174" t="s">
        <v>317</v>
      </c>
      <c r="R44" s="119">
        <f>IF(R33="1세대1주택",MIN(80%,R$43+MAX(R$41,R$37)),0)</f>
        <v>0</v>
      </c>
      <c r="S44" s="445"/>
      <c r="T44" s="445"/>
      <c r="U44" s="446"/>
      <c r="V44" s="409">
        <f>IF(V33="1세대1주택",MIN(80%,V$43+MAX(V$41,V$37)),0)</f>
        <v>0</v>
      </c>
      <c r="Y44" s="174" t="s">
        <v>317</v>
      </c>
      <c r="Z44" s="119">
        <f>IF(Z33="1세대1주택",MIN(80%,Z$43+MAX(Z$41,Z$37)),0)</f>
        <v>0</v>
      </c>
      <c r="AA44" s="445"/>
      <c r="AB44" s="445"/>
      <c r="AC44" s="446"/>
      <c r="AD44" s="408" t="b">
        <f>IF(AD33="1세대1주택",MIN(80%,AD41+AD43))</f>
        <v>0</v>
      </c>
      <c r="AG44" s="174" t="s">
        <v>317</v>
      </c>
      <c r="AH44" s="119">
        <f>IF(AH33="1세대1주택",MIN(80%,AH$43+MAX(AH$41,AH$37)),0)</f>
        <v>0</v>
      </c>
      <c r="AI44" s="445"/>
      <c r="AJ44" s="445"/>
      <c r="AK44" s="446"/>
      <c r="AL44" s="408" t="b">
        <f>IF(AL33="1세대1주택",MIN(80%,AL41+AL43))</f>
        <v>0</v>
      </c>
    </row>
    <row r="45" spans="1:39" ht="16.5" customHeight="1">
      <c r="A45" s="68"/>
      <c r="B45" s="119"/>
      <c r="C45" s="119"/>
      <c r="D45" s="119"/>
      <c r="E45" s="119"/>
      <c r="F45" s="410"/>
      <c r="H45" s="3"/>
      <c r="I45" s="3"/>
      <c r="J45" s="91"/>
      <c r="K45" s="91"/>
      <c r="L45" s="91"/>
      <c r="M45" s="91"/>
      <c r="N45" s="410"/>
      <c r="Q45" s="68"/>
      <c r="R45" s="119"/>
      <c r="S45" s="119"/>
      <c r="T45" s="119"/>
      <c r="U45" s="119"/>
      <c r="V45" s="410"/>
      <c r="Y45" s="68"/>
      <c r="Z45" s="119"/>
      <c r="AA45" s="119"/>
      <c r="AB45" s="119"/>
      <c r="AC45" s="119"/>
      <c r="AD45" s="410"/>
      <c r="AG45" s="68"/>
      <c r="AH45" s="119"/>
      <c r="AI45" s="119"/>
      <c r="AJ45" s="119"/>
      <c r="AK45" s="119"/>
      <c r="AL45" s="410"/>
    </row>
    <row r="46" spans="1:39" ht="16.5" customHeight="1">
      <c r="A46" s="175">
        <f>A9</f>
        <v>2026</v>
      </c>
      <c r="B46" s="119"/>
      <c r="C46" s="119"/>
      <c r="D46" s="119"/>
      <c r="E46" s="119"/>
      <c r="F46" s="411" t="str">
        <f>B39</f>
        <v>중과세율</v>
      </c>
      <c r="H46" s="3"/>
      <c r="I46" s="216">
        <f>A46+1</f>
        <v>2027</v>
      </c>
      <c r="J46" s="105" t="s">
        <v>299</v>
      </c>
      <c r="K46" s="105" t="s">
        <v>298</v>
      </c>
      <c r="L46" s="105" t="s">
        <v>204</v>
      </c>
      <c r="M46" s="91"/>
      <c r="N46" s="412" t="str">
        <f>B39</f>
        <v>중과세율</v>
      </c>
      <c r="Q46" s="216">
        <f>I46+1</f>
        <v>2028</v>
      </c>
      <c r="R46" s="105" t="s">
        <v>299</v>
      </c>
      <c r="S46" s="105" t="s">
        <v>298</v>
      </c>
      <c r="T46" s="105" t="s">
        <v>204</v>
      </c>
      <c r="U46" s="91"/>
      <c r="V46" s="400" t="str">
        <f>$B$4</f>
        <v>3주택</v>
      </c>
      <c r="Y46" s="216">
        <f>Q46+1</f>
        <v>2029</v>
      </c>
      <c r="Z46" s="105" t="s">
        <v>299</v>
      </c>
      <c r="AA46" s="105" t="s">
        <v>298</v>
      </c>
      <c r="AB46" s="105" t="s">
        <v>204</v>
      </c>
      <c r="AC46" s="91"/>
      <c r="AD46" s="400" t="str">
        <f>$B$4</f>
        <v>3주택</v>
      </c>
      <c r="AG46" s="216">
        <f>Y46+1</f>
        <v>2030</v>
      </c>
      <c r="AH46" s="105" t="s">
        <v>299</v>
      </c>
      <c r="AI46" s="105" t="s">
        <v>298</v>
      </c>
      <c r="AJ46" s="105" t="s">
        <v>204</v>
      </c>
      <c r="AK46" s="91"/>
      <c r="AL46" s="400" t="str">
        <f>$B$4</f>
        <v>3주택</v>
      </c>
    </row>
    <row r="47" spans="1:39" ht="16.5" customHeight="1">
      <c r="A47" s="177" t="s">
        <v>136</v>
      </c>
      <c r="B47" s="91">
        <f>SUMPRODUCT($B$11:$E$11,$B$35:$E$35)</f>
        <v>8100000000</v>
      </c>
      <c r="C47" s="91"/>
      <c r="D47" s="91"/>
      <c r="E47" s="91"/>
      <c r="F47" s="411">
        <f>F23</f>
        <v>8590000000</v>
      </c>
      <c r="H47" s="3"/>
      <c r="I47" s="217" t="s">
        <v>136</v>
      </c>
      <c r="J47" s="218">
        <f>SUMPRODUCT($J$11:$M$11,$J$35:$M$35)</f>
        <v>9315000000</v>
      </c>
      <c r="K47" s="218">
        <f t="shared" ref="K47:L47" si="81">SUMPRODUCT($J$11:$M$11,$J$35:$M$35)</f>
        <v>9315000000</v>
      </c>
      <c r="L47" s="218">
        <f t="shared" si="81"/>
        <v>9315000000</v>
      </c>
      <c r="M47" s="91"/>
      <c r="N47" s="411">
        <f>N23</f>
        <v>8675000000</v>
      </c>
      <c r="Q47" s="217" t="s">
        <v>136</v>
      </c>
      <c r="R47" s="218">
        <f>SUMPRODUCT($R$11:$U$11,$R$35:$U$35)</f>
        <v>9315000000</v>
      </c>
      <c r="S47" s="218">
        <f>SUMPRODUCT($R$11:$U$11,$R$35:$U$35)</f>
        <v>9315000000</v>
      </c>
      <c r="T47" s="218">
        <f>SUMPRODUCT($R$11:$U$11,$R$35:$U$35)</f>
        <v>9315000000</v>
      </c>
      <c r="U47" s="91"/>
      <c r="V47" s="411">
        <f>V23</f>
        <v>9976250000</v>
      </c>
      <c r="Y47" s="217" t="s">
        <v>136</v>
      </c>
      <c r="Z47" s="218">
        <f>SUMPRODUCT($Z$11:$AC$11,$Z$35:$AC$35)</f>
        <v>10712249999.999998</v>
      </c>
      <c r="AA47" s="218">
        <f>SUMPRODUCT($Z$11:$AC$11,$Z$35:$AC$35)</f>
        <v>10712249999.999998</v>
      </c>
      <c r="AB47" s="218">
        <f>SUMPRODUCT($Z$11:$AC$11,$Z$35:$AC$35)</f>
        <v>10712249999.999998</v>
      </c>
      <c r="AC47" s="91"/>
      <c r="AD47" s="411">
        <f>AD23</f>
        <v>9976250000</v>
      </c>
      <c r="AG47" s="217" t="s">
        <v>136</v>
      </c>
      <c r="AH47" s="218">
        <f>SUMPRODUCT($AH$11:$AK$11,$AH$35:$AK$35)</f>
        <v>11403256249.999998</v>
      </c>
      <c r="AI47" s="218">
        <f t="shared" ref="AI47:AJ47" si="82">SUMPRODUCT($AH$11:$AK$11,$AH$35:$AK$35)</f>
        <v>11403256249.999998</v>
      </c>
      <c r="AJ47" s="218">
        <f t="shared" si="82"/>
        <v>11403256249.999998</v>
      </c>
      <c r="AK47" s="91"/>
      <c r="AL47" s="411">
        <f>AL23</f>
        <v>11472687499.999998</v>
      </c>
      <c r="AM47" s="482"/>
    </row>
    <row r="48" spans="1:39" ht="16.5" customHeight="1">
      <c r="A48" s="177" t="s">
        <v>139</v>
      </c>
      <c r="B48" s="91">
        <f>IF(B33="1세대1주택",1200000000,900000000)</f>
        <v>900000000</v>
      </c>
      <c r="C48" s="91"/>
      <c r="D48" s="91"/>
      <c r="E48" s="91"/>
      <c r="F48" s="413">
        <f>IF(F33="1세대1주택",1200000000,900000000)</f>
        <v>900000000</v>
      </c>
      <c r="H48" s="3"/>
      <c r="I48" s="217" t="s">
        <v>139</v>
      </c>
      <c r="J48" s="218">
        <v>1400000000</v>
      </c>
      <c r="K48" s="218">
        <v>900000000</v>
      </c>
      <c r="L48" s="218">
        <f ca="1">4*10^8+500000000*IFERROR(OFFSET(I11,0,MATCH("거주",J34:M34,0))/N11,0)</f>
        <v>601729106.62824202</v>
      </c>
      <c r="M48" s="91"/>
      <c r="N48" s="414">
        <f>IF(J33="1세대1주택",1200000000,900000000)</f>
        <v>900000000</v>
      </c>
      <c r="Q48" s="217" t="s">
        <v>139</v>
      </c>
      <c r="R48" s="218">
        <v>1400000000</v>
      </c>
      <c r="S48" s="218">
        <v>900000000</v>
      </c>
      <c r="T48" s="218">
        <f ca="1">4*10^8+500000000*IFERROR(OFFSET(Q11,0,MATCH("거주",R34:U34,0))/V11,0)</f>
        <v>601729106.62824202</v>
      </c>
      <c r="U48" s="91"/>
      <c r="V48" s="413">
        <f ca="1">OFFSET(I48,0,MATCH(V46,J46:L46,0))</f>
        <v>601729106.62824202</v>
      </c>
      <c r="Y48" s="217" t="s">
        <v>139</v>
      </c>
      <c r="Z48" s="218">
        <v>1400000000</v>
      </c>
      <c r="AA48" s="218">
        <v>900000000</v>
      </c>
      <c r="AB48" s="218">
        <f ca="1">4*10^8+500000000*IFERROR(OFFSET(Y11,0,MATCH("거주",Z34:AC34,0))/AD11,0)</f>
        <v>601729106.62824202</v>
      </c>
      <c r="AC48" s="91"/>
      <c r="AD48" s="413">
        <f ca="1">OFFSET(Q48,0,MATCH(AD46,R46:T46,0))</f>
        <v>601729106.62824202</v>
      </c>
      <c r="AG48" s="217" t="s">
        <v>139</v>
      </c>
      <c r="AH48" s="218">
        <v>1400000000</v>
      </c>
      <c r="AI48" s="218">
        <v>900000000</v>
      </c>
      <c r="AJ48" s="218">
        <f ca="1">4*10^8+500000000*IFERROR(OFFSET(AG11,0,MATCH("거주",AH34:AK34,0))/AL11,0)</f>
        <v>609165240.54002666</v>
      </c>
      <c r="AK48" s="91"/>
      <c r="AL48" s="413">
        <f ca="1">OFFSET(Y48,0,MATCH(AL46,Z46:AB46,0))</f>
        <v>601729106.62824202</v>
      </c>
    </row>
    <row r="49" spans="1:39" ht="16.5" customHeight="1">
      <c r="A49" s="177" t="s">
        <v>147</v>
      </c>
      <c r="B49" s="91">
        <f>IF(B47&gt;B48,B47-B48,0)</f>
        <v>7200000000</v>
      </c>
      <c r="C49" s="91"/>
      <c r="D49" s="91"/>
      <c r="E49" s="91"/>
      <c r="F49" s="415">
        <f>F47-F48</f>
        <v>7690000000</v>
      </c>
      <c r="H49" s="3"/>
      <c r="I49" s="217" t="s">
        <v>147</v>
      </c>
      <c r="J49" s="117">
        <f t="shared" ref="J49:L49" si="83">IF(J47&gt;J48,J47-J48,0)</f>
        <v>7915000000</v>
      </c>
      <c r="K49" s="117">
        <f t="shared" si="83"/>
        <v>8415000000</v>
      </c>
      <c r="L49" s="117">
        <f t="shared" ca="1" si="83"/>
        <v>8713270893.3717575</v>
      </c>
      <c r="M49" s="416"/>
      <c r="N49" s="415">
        <f>N47-N48</f>
        <v>7775000000</v>
      </c>
      <c r="O49" s="3"/>
      <c r="Q49" s="217" t="s">
        <v>147</v>
      </c>
      <c r="R49" s="117">
        <f t="shared" ref="R49:T49" si="84">IF(R47&gt;R48,R47-R48,0)</f>
        <v>7915000000</v>
      </c>
      <c r="S49" s="117">
        <f t="shared" si="84"/>
        <v>8415000000</v>
      </c>
      <c r="T49" s="117">
        <f t="shared" ca="1" si="84"/>
        <v>8713270893.3717575</v>
      </c>
      <c r="U49" s="416"/>
      <c r="V49" s="415">
        <f ca="1">V47-V48</f>
        <v>9374520893.3717575</v>
      </c>
      <c r="W49" s="3"/>
      <c r="Y49" s="217" t="s">
        <v>147</v>
      </c>
      <c r="Z49" s="117">
        <f t="shared" ref="Z49:AB49" si="85">IF(Z47&gt;Z48,Z47-Z48,0)</f>
        <v>9312249999.9999981</v>
      </c>
      <c r="AA49" s="117">
        <f t="shared" si="85"/>
        <v>9812249999.9999981</v>
      </c>
      <c r="AB49" s="117">
        <f t="shared" ca="1" si="85"/>
        <v>10110520893.371756</v>
      </c>
      <c r="AC49" s="416"/>
      <c r="AD49" s="415">
        <f ca="1">AD47-AD48</f>
        <v>9374520893.3717575</v>
      </c>
      <c r="AE49" s="3"/>
      <c r="AG49" s="217" t="s">
        <v>147</v>
      </c>
      <c r="AH49" s="117">
        <f t="shared" ref="AH49:AJ49" si="86">IF(AH47&gt;AH48,AH47-AH48,0)</f>
        <v>10003256249.999998</v>
      </c>
      <c r="AI49" s="117">
        <f t="shared" si="86"/>
        <v>10503256249.999998</v>
      </c>
      <c r="AJ49" s="117">
        <f t="shared" ca="1" si="86"/>
        <v>10794091009.459972</v>
      </c>
      <c r="AK49" s="416"/>
      <c r="AL49" s="415">
        <f ca="1">AL47-AL48</f>
        <v>10870958393.371756</v>
      </c>
      <c r="AM49" s="3"/>
    </row>
    <row r="50" spans="1:39" ht="16.5" customHeight="1">
      <c r="A50" s="177" t="s">
        <v>76</v>
      </c>
      <c r="B50" s="416">
        <v>0.6</v>
      </c>
      <c r="C50" s="416"/>
      <c r="D50" s="416"/>
      <c r="E50" s="416"/>
      <c r="F50" s="417">
        <v>0.6</v>
      </c>
      <c r="H50" s="3"/>
      <c r="I50" s="229" t="s">
        <v>266</v>
      </c>
      <c r="J50" s="230">
        <v>0.7</v>
      </c>
      <c r="K50" s="230">
        <v>0.7</v>
      </c>
      <c r="L50" s="230">
        <v>0.7</v>
      </c>
      <c r="M50" s="91"/>
      <c r="N50" s="418">
        <v>0.6</v>
      </c>
      <c r="O50" s="3"/>
      <c r="P50" s="24"/>
      <c r="Q50" s="231" t="s">
        <v>76</v>
      </c>
      <c r="R50" s="419">
        <v>0.7</v>
      </c>
      <c r="S50" s="419">
        <v>0.7</v>
      </c>
      <c r="T50" s="420">
        <v>0.8</v>
      </c>
      <c r="U50" s="91"/>
      <c r="V50" s="421">
        <f ca="1">OFFSET(I50,0,MATCH(V46,J46:L46,0))</f>
        <v>0.7</v>
      </c>
      <c r="W50" s="3"/>
      <c r="X50" s="24"/>
      <c r="Y50" s="231" t="s">
        <v>76</v>
      </c>
      <c r="Z50" s="419">
        <v>0.7</v>
      </c>
      <c r="AA50" s="419">
        <v>0.7</v>
      </c>
      <c r="AB50" s="420">
        <v>0.8</v>
      </c>
      <c r="AC50" s="91"/>
      <c r="AD50" s="421">
        <f ca="1">OFFSET(Q50,0,MATCH(AD46,R46:T46,0))</f>
        <v>0.8</v>
      </c>
      <c r="AE50" s="3"/>
      <c r="AF50" s="24"/>
      <c r="AG50" s="231" t="s">
        <v>76</v>
      </c>
      <c r="AH50" s="419">
        <v>0.7</v>
      </c>
      <c r="AI50" s="419">
        <v>0.7</v>
      </c>
      <c r="AJ50" s="420">
        <v>0.8</v>
      </c>
      <c r="AK50" s="91"/>
      <c r="AL50" s="421">
        <f ca="1">OFFSET(Y50,0,MATCH(AL46,Z46:AB46,0))</f>
        <v>0.8</v>
      </c>
      <c r="AM50" s="3"/>
    </row>
    <row r="51" spans="1:39" ht="16.5" customHeight="1">
      <c r="A51" s="177" t="s">
        <v>61</v>
      </c>
      <c r="B51" s="91">
        <f>B49*B50</f>
        <v>4320000000</v>
      </c>
      <c r="C51" s="91"/>
      <c r="D51" s="91"/>
      <c r="E51" s="91"/>
      <c r="F51" s="422">
        <f>F49*F50</f>
        <v>4614000000</v>
      </c>
      <c r="H51" s="3"/>
      <c r="I51" s="217" t="s">
        <v>61</v>
      </c>
      <c r="J51" s="117">
        <f t="shared" ref="J51:L51" si="87">IF(J49&gt;0,J49*J50,0)</f>
        <v>5540500000</v>
      </c>
      <c r="K51" s="117">
        <f t="shared" si="87"/>
        <v>5890500000</v>
      </c>
      <c r="L51" s="117">
        <f t="shared" ca="1" si="87"/>
        <v>6099289625.3602295</v>
      </c>
      <c r="M51" s="423"/>
      <c r="N51" s="422">
        <f>N49*N50</f>
        <v>4665000000</v>
      </c>
      <c r="O51" s="3"/>
      <c r="P51" s="24"/>
      <c r="Q51" s="217" t="s">
        <v>61</v>
      </c>
      <c r="R51" s="344">
        <f t="shared" ref="R51:T51" si="88">IF(R49&gt;0,R49*R50,0)</f>
        <v>5540500000</v>
      </c>
      <c r="S51" s="344">
        <f t="shared" si="88"/>
        <v>5890500000</v>
      </c>
      <c r="T51" s="344">
        <f t="shared" ca="1" si="88"/>
        <v>6970616714.6974068</v>
      </c>
      <c r="U51" s="423"/>
      <c r="V51" s="422">
        <f ca="1">V49*V50</f>
        <v>6562164625.3602295</v>
      </c>
      <c r="W51" s="3"/>
      <c r="X51" s="24"/>
      <c r="Y51" s="217" t="s">
        <v>61</v>
      </c>
      <c r="Z51" s="344">
        <f t="shared" ref="Z51:AB51" si="89">IF(Z49&gt;0,Z49*Z50,0)</f>
        <v>6518574999.9999981</v>
      </c>
      <c r="AA51" s="344">
        <f t="shared" si="89"/>
        <v>6868574999.9999981</v>
      </c>
      <c r="AB51" s="344">
        <f t="shared" ca="1" si="89"/>
        <v>8088416714.6974049</v>
      </c>
      <c r="AC51" s="423"/>
      <c r="AD51" s="422">
        <f ca="1">AD49*AD50</f>
        <v>7499616714.6974068</v>
      </c>
      <c r="AE51" s="3"/>
      <c r="AF51" s="24"/>
      <c r="AG51" s="217" t="s">
        <v>61</v>
      </c>
      <c r="AH51" s="344">
        <f t="shared" ref="AH51:AJ51" si="90">IF(AH49&gt;0,AH49*AH50,0)</f>
        <v>7002279374.9999981</v>
      </c>
      <c r="AI51" s="344">
        <f t="shared" si="90"/>
        <v>7352279374.9999981</v>
      </c>
      <c r="AJ51" s="344">
        <f t="shared" ca="1" si="90"/>
        <v>8635272807.5679779</v>
      </c>
      <c r="AK51" s="423"/>
      <c r="AL51" s="422">
        <f ca="1">AL49*AL50</f>
        <v>8696766714.6974049</v>
      </c>
      <c r="AM51" s="3"/>
    </row>
    <row r="52" spans="1:39" ht="16.5" customHeight="1">
      <c r="A52" s="177" t="s">
        <v>62</v>
      </c>
      <c r="B52" s="423">
        <f t="array" ref="B52">IF(B39="기본세율",
INDEX(t!$M$3:$M$9,MATCH(TRUE,$B$51&lt;=t!$L$3:$L$9,0)),
INDEX(t!$O$3:$O$9,MATCH(TRUE,$B$51&lt;=t!$L$3:$L$9,0)))</f>
        <v>0.03</v>
      </c>
      <c r="C52" s="423"/>
      <c r="D52" s="423"/>
      <c r="E52" s="423"/>
      <c r="F52" s="424">
        <f t="array" ref="F52">IF(F46="기본세율",
INDEX(t!$M$3:$M$9,MATCH(TRUE,F51&lt;=t!$L$3:$L$9,0)),
INDEX(t!$O$3:$O$9,MATCH(TRUE,F51&lt;=t!$L$3:$L$9,0)))</f>
        <v>0.03</v>
      </c>
      <c r="H52" s="3"/>
      <c r="I52" s="217" t="s">
        <v>62</v>
      </c>
      <c r="J52" s="219">
        <f t="array" ref="J52">INDEX(t!$M$13:$M$19,MATCH(TRUE,J51&lt;=t!$L$13:$L$19,0))</f>
        <v>2.7E-2</v>
      </c>
      <c r="K52" s="219">
        <f t="array" ref="K52">INDEX(t!$M$13:$M$19,MATCH(TRUE,K51&lt;=t!$L$13:$L$19,0))</f>
        <v>2.7E-2</v>
      </c>
      <c r="L52" s="219">
        <f t="array" aca="1" ref="L52" ca="1">INDEX(t!$O$13:$O$19,MATCH(TRUE,L51&lt;=t!$L$13:$L$19,0))</f>
        <v>0.04</v>
      </c>
      <c r="M52" s="91"/>
      <c r="N52" s="424">
        <f t="array" ref="N52">IF(N46="기본세율",
INDEX(t!$M$3:$M$9,MATCH(TRUE,N51&lt;=t!$L$3:$L$9,0)),
INDEX(t!$O$3:$O$9,MATCH(TRUE,N51&lt;=t!$L$3:$L$9,0)))</f>
        <v>0.03</v>
      </c>
      <c r="O52" s="3"/>
      <c r="P52" s="7"/>
      <c r="Q52" s="217" t="s">
        <v>62</v>
      </c>
      <c r="R52" s="425">
        <f t="array" ref="R52">INDEX(t!$M$23:$M$29,MATCH(TRUE,R51&lt;=t!$L$23:$L$29,0))</f>
        <v>0.04</v>
      </c>
      <c r="S52" s="425">
        <f t="array" ref="S52">INDEX(t!$M$23:$M$29,MATCH(TRUE,S51&lt;=t!$L$23:$L$29,0))</f>
        <v>0.04</v>
      </c>
      <c r="T52" s="425">
        <f t="array" aca="1" ref="T52" ca="1">INDEX(t!$M$23:$M$29,MATCH(TRUE,T51&lt;=t!$L$23:$L$29,0))</f>
        <v>0.04</v>
      </c>
      <c r="U52" s="91"/>
      <c r="V52" s="426">
        <f t="array" aca="1" ref="V52" ca="1">INDEX(t!$O$13:$O$19,MATCH(TRUE,V51&lt;=t!$L$13:$L$19,0))</f>
        <v>0.04</v>
      </c>
      <c r="W52" s="3"/>
      <c r="X52" s="7"/>
      <c r="Y52" s="217" t="s">
        <v>62</v>
      </c>
      <c r="Z52" s="425">
        <f t="array" ref="Z52">INDEX(t!$M$23:$M$29,MATCH(TRUE,Z51&lt;=t!$L$23:$L$29,0))</f>
        <v>0.04</v>
      </c>
      <c r="AA52" s="425">
        <f t="array" ref="AA52">INDEX(t!$M$23:$M$29,MATCH(TRUE,AA51&lt;=t!$L$23:$L$29,0))</f>
        <v>0.04</v>
      </c>
      <c r="AB52" s="425">
        <f t="array" aca="1" ref="AB52" ca="1">INDEX(t!$M$23:$M$29,MATCH(TRUE,AB51&lt;=t!$L$23:$L$29,0))</f>
        <v>0.04</v>
      </c>
      <c r="AC52" s="91"/>
      <c r="AD52" s="426">
        <f t="array" aca="1" ref="AD52" ca="1">INDEX(t!$M$23:$M$29,MATCH(TRUE,AD51&lt;=t!$L$23:$L$29,0))</f>
        <v>0.04</v>
      </c>
      <c r="AE52" s="3"/>
      <c r="AF52" s="7"/>
      <c r="AG52" s="217" t="s">
        <v>62</v>
      </c>
      <c r="AH52" s="425">
        <f t="array" ref="AH52">INDEX(t!$M$23:$M$29,MATCH(TRUE,AH51&lt;=t!$L$23:$L$29,0))</f>
        <v>0.04</v>
      </c>
      <c r="AI52" s="425">
        <f t="array" ref="AI52">INDEX(t!$M$23:$M$29,MATCH(TRUE,AI51&lt;=t!$L$23:$L$29,0))</f>
        <v>0.04</v>
      </c>
      <c r="AJ52" s="425">
        <f t="array" aca="1" ref="AJ52" ca="1">INDEX(t!$M$23:$M$29,MATCH(TRUE,AJ51&lt;=t!$L$23:$L$29,0))</f>
        <v>0.04</v>
      </c>
      <c r="AK52" s="91"/>
      <c r="AL52" s="426">
        <f t="array" aca="1" ref="AL52" ca="1">INDEX(t!$M$23:$M$29,MATCH(TRUE,AL51&lt;=t!$L$23:$L$29,0))</f>
        <v>0.04</v>
      </c>
      <c r="AM52" s="3"/>
    </row>
    <row r="53" spans="1:39" ht="16.5" customHeight="1">
      <c r="A53" s="177" t="s">
        <v>161</v>
      </c>
      <c r="B53" s="91">
        <f>B51*B52-VLOOKUP(B52,IF(B39="기본세율",t!$M$2:$N$9,t!$O$2:$P$9),2,0)</f>
        <v>90200000</v>
      </c>
      <c r="C53" s="91"/>
      <c r="D53" s="91"/>
      <c r="E53" s="91"/>
      <c r="F53" s="422">
        <f>F51*F52-VLOOKUP(F52,IF(F46="기본세율",t!$M$2:$N$9,t!$O$2:$P$9),2,0)</f>
        <v>99020000</v>
      </c>
      <c r="H53" s="3"/>
      <c r="I53" s="217" t="s">
        <v>161</v>
      </c>
      <c r="J53" s="117">
        <f>J51*J52-VLOOKUP(J52,t!$M$13:$N$19,2,0)</f>
        <v>95493500</v>
      </c>
      <c r="K53" s="117">
        <f>K51*K52-VLOOKUP(K52,t!$M$13:$N$19,2,0)</f>
        <v>104943500</v>
      </c>
      <c r="L53" s="117">
        <f ca="1">L51*L52-VLOOKUP(L52,t!$O$13:$P$19,2,0)</f>
        <v>156371585.01440918</v>
      </c>
      <c r="M53" s="427"/>
      <c r="N53" s="422">
        <f>N51*N52-VLOOKUP(N52,IF(N46="기본세율",t!$M$2:$N$9,t!$O$2:$P$9),2,0)</f>
        <v>100550000</v>
      </c>
      <c r="O53" s="3"/>
      <c r="P53" s="24"/>
      <c r="Q53" s="217" t="s">
        <v>161</v>
      </c>
      <c r="R53" s="344">
        <f>R51*R52-VLOOKUP(R52,t!$M$22:$N$29,2,0)</f>
        <v>134020000</v>
      </c>
      <c r="S53" s="344">
        <f>S51*S52-VLOOKUP(S52,t!$M$22:$N$29,2,0)</f>
        <v>148020000</v>
      </c>
      <c r="T53" s="344">
        <f ca="1">T51*T52-VLOOKUP(T52,t!$M$22:$N$29,2,0)</f>
        <v>191224668.58789629</v>
      </c>
      <c r="U53" s="427"/>
      <c r="V53" s="428">
        <f ca="1">V51*V52-VLOOKUP(V52,t!$O$13:$P$19,2,0)</f>
        <v>174886585.01440918</v>
      </c>
      <c r="W53" s="3"/>
      <c r="X53" s="24"/>
      <c r="Y53" s="217" t="s">
        <v>161</v>
      </c>
      <c r="Z53" s="344">
        <f>Z51*Z52-VLOOKUP(Z52,t!$M$22:$N$29,2,0)</f>
        <v>173142999.99999994</v>
      </c>
      <c r="AA53" s="344">
        <f>AA51*AA52-VLOOKUP(AA52,t!$M$22:$N$29,2,0)</f>
        <v>187142999.99999994</v>
      </c>
      <c r="AB53" s="344">
        <f ca="1">AB51*AB52-VLOOKUP(AB52,t!$M$22:$N$29,2,0)</f>
        <v>235936668.58789623</v>
      </c>
      <c r="AC53" s="427"/>
      <c r="AD53" s="428">
        <f ca="1">AD51*AD52-VLOOKUP(AD52,t!$M$22:$N$29,2,0)</f>
        <v>212384668.58789629</v>
      </c>
      <c r="AE53" s="3"/>
      <c r="AF53" s="24"/>
      <c r="AG53" s="217" t="s">
        <v>161</v>
      </c>
      <c r="AH53" s="344">
        <f>AH51*AH52-VLOOKUP(AH52,t!$M$22:$N$29,2,0)</f>
        <v>192491174.99999994</v>
      </c>
      <c r="AI53" s="344">
        <f>AI51*AI52-VLOOKUP(AI52,t!$M$22:$N$29,2,0)</f>
        <v>206491174.99999994</v>
      </c>
      <c r="AJ53" s="344">
        <f ca="1">AJ51*AJ52-VLOOKUP(AJ52,t!$M$22:$N$29,2,0)</f>
        <v>257810912.30271912</v>
      </c>
      <c r="AK53" s="427"/>
      <c r="AL53" s="428">
        <f ca="1">AL51*AL52-VLOOKUP(AL52,t!$M$22:$N$29,2,0)</f>
        <v>260270668.58789623</v>
      </c>
      <c r="AM53" s="3"/>
    </row>
    <row r="54" spans="1:39" ht="16.5" customHeight="1">
      <c r="A54" s="177" t="s">
        <v>162</v>
      </c>
      <c r="B54" s="427">
        <f>F16*(B51*F12*F14)/F15</f>
        <v>7898474.8885586923</v>
      </c>
      <c r="C54" s="427"/>
      <c r="D54" s="427"/>
      <c r="E54" s="427"/>
      <c r="F54" s="429">
        <f>F26
*F51*IF(F33="1세대1주택",45%,60%)*0.4%
/(F24*0.4%-630000)</f>
        <v>10026411.768237766</v>
      </c>
      <c r="H54" s="40"/>
      <c r="I54" s="217" t="s">
        <v>162</v>
      </c>
      <c r="J54" s="371">
        <f>$N$16*(J51*0.6*0.4%)/$N$15</f>
        <v>11120726.761034615</v>
      </c>
      <c r="K54" s="371">
        <f>$N$16*(K51*0.6*0.4%)/$N$15</f>
        <v>11823236.347960366</v>
      </c>
      <c r="L54" s="371">
        <f ca="1">$N$16*(L51*0.6*0.4%)/$N$15</f>
        <v>12242312.672149498</v>
      </c>
      <c r="M54" s="338"/>
      <c r="N54" s="429">
        <f>N26
*N51*IF(N33="1세대1주택",45%,60%)*0.4%
/(N24*0.4%-630000)</f>
        <v>10147934.621099554</v>
      </c>
      <c r="O54" s="40"/>
      <c r="P54" s="27"/>
      <c r="Q54" s="217" t="s">
        <v>162</v>
      </c>
      <c r="R54" s="371">
        <f>$V$16*(R51*0.6*0.4%)/$V$15</f>
        <v>12219187.38901042</v>
      </c>
      <c r="S54" s="371">
        <f>$V$16*(S51*0.6*0.4%)/$V$15</f>
        <v>12991088.045296613</v>
      </c>
      <c r="T54" s="371">
        <f ca="1">$V$16*(T51*0.6*0.4%)/$V$15</f>
        <v>15373210.333698366</v>
      </c>
      <c r="U54" s="338"/>
      <c r="V54" s="429">
        <f ca="1">V26
*V51*IF(V33="1세대1주택",45%,60%)*0.4%
/(V24*0.4%-630000)</f>
        <v>14472397.659924559</v>
      </c>
      <c r="W54" s="40"/>
      <c r="X54" s="27"/>
      <c r="Y54" s="217" t="s">
        <v>162</v>
      </c>
      <c r="Z54" s="371">
        <f>$AD$16*(Z51*0.6*0.4%)/$AD$15</f>
        <v>13257735.528102223</v>
      </c>
      <c r="AA54" s="371">
        <f>$AD$16*(AA51*0.6*0.4%)/$AD$15</f>
        <v>13969579.364344927</v>
      </c>
      <c r="AB54" s="371">
        <f ca="1">$AD$16*(AB51*0.6*0.4%)/$AD$15</f>
        <v>16450541.666628009</v>
      </c>
      <c r="AC54" s="338"/>
      <c r="AD54" s="429">
        <f ca="1">AD26
*AD51*IF(AD33="1세대1주택",45%,60%)*0.4%
/(AD24*0.4%-630000)</f>
        <v>16539883.039913787</v>
      </c>
      <c r="AE54" s="40"/>
      <c r="AF54" s="27"/>
      <c r="AG54" s="217" t="s">
        <v>162</v>
      </c>
      <c r="AH54" s="371">
        <f>$AL$16*(AH51*0.6*0.4%)/$AL$15</f>
        <v>15400225.208741069</v>
      </c>
      <c r="AI54" s="371">
        <f>$AL$16*(AI51*0.6*0.4%)/$AL$15</f>
        <v>16169985.815880423</v>
      </c>
      <c r="AJ54" s="371">
        <f ca="1">$AL$16*(AJ51*0.6*0.4%)/$AL$15</f>
        <v>18991693.8261928</v>
      </c>
      <c r="AK54" s="338"/>
      <c r="AL54" s="429">
        <f ca="1">AL26
*AL51*IF(AL33="1세대1주택",45%,60%)*0.4%
/(AL24*0.4%-630000)</f>
        <v>19405994.426628679</v>
      </c>
      <c r="AM54" s="40"/>
    </row>
    <row r="55" spans="1:39" ht="16.5" customHeight="1">
      <c r="A55" s="177" t="s">
        <v>63</v>
      </c>
      <c r="B55" s="338">
        <f>B53-B54</f>
        <v>82301525.111441314</v>
      </c>
      <c r="C55" s="338"/>
      <c r="D55" s="338"/>
      <c r="E55" s="338"/>
      <c r="F55" s="430">
        <f>F53-F54</f>
        <v>88993588.23176223</v>
      </c>
      <c r="H55" s="3"/>
      <c r="I55" s="217" t="s">
        <v>63</v>
      </c>
      <c r="J55" s="117">
        <f t="shared" ref="J55:L55" si="91">IF(J53-J54&lt;0,0,J53-J54)</f>
        <v>84372773.238965392</v>
      </c>
      <c r="K55" s="117">
        <f t="shared" si="91"/>
        <v>93120263.652039632</v>
      </c>
      <c r="L55" s="117">
        <f t="shared" ca="1" si="91"/>
        <v>144129272.34225968</v>
      </c>
      <c r="M55" s="431"/>
      <c r="N55" s="430">
        <f>N53-N54</f>
        <v>90402065.378900439</v>
      </c>
      <c r="O55" s="3"/>
      <c r="P55" s="7"/>
      <c r="Q55" s="217" t="s">
        <v>63</v>
      </c>
      <c r="R55" s="344">
        <f t="shared" ref="R55:T55" si="92">IF(R53-R54&lt;0,0,R53-R54)</f>
        <v>121800812.61098959</v>
      </c>
      <c r="S55" s="344">
        <f t="shared" si="92"/>
        <v>135028911.95470339</v>
      </c>
      <c r="T55" s="344">
        <f t="shared" ca="1" si="92"/>
        <v>175851458.25419793</v>
      </c>
      <c r="U55" s="431"/>
      <c r="V55" s="430">
        <f ca="1">V53-V54</f>
        <v>160414187.35448462</v>
      </c>
      <c r="W55" s="3"/>
      <c r="X55" s="7"/>
      <c r="Y55" s="217" t="s">
        <v>63</v>
      </c>
      <c r="Z55" s="344">
        <f t="shared" ref="Z55:AB55" si="93">IF(Z53-Z54&lt;0,0,Z53-Z54)</f>
        <v>159885264.47189772</v>
      </c>
      <c r="AA55" s="344">
        <f t="shared" si="93"/>
        <v>173173420.63565502</v>
      </c>
      <c r="AB55" s="344">
        <f t="shared" ca="1" si="93"/>
        <v>219486126.92126822</v>
      </c>
      <c r="AC55" s="431"/>
      <c r="AD55" s="430">
        <f ca="1">AD53-AD54</f>
        <v>195844785.54798251</v>
      </c>
      <c r="AE55" s="3"/>
      <c r="AF55" s="7"/>
      <c r="AG55" s="217" t="s">
        <v>63</v>
      </c>
      <c r="AH55" s="344">
        <f t="shared" ref="AH55:AJ55" si="94">IF(AH53-AH54&lt;0,0,AH53-AH54)</f>
        <v>177090949.79125887</v>
      </c>
      <c r="AI55" s="344">
        <f t="shared" si="94"/>
        <v>190321189.18411952</v>
      </c>
      <c r="AJ55" s="344">
        <f t="shared" ca="1" si="94"/>
        <v>238819218.47652632</v>
      </c>
      <c r="AK55" s="431"/>
      <c r="AL55" s="430">
        <f ca="1">AL53-AL54</f>
        <v>240864674.16126755</v>
      </c>
      <c r="AM55" s="3"/>
    </row>
    <row r="56" spans="1:39" ht="16.5" customHeight="1">
      <c r="A56" s="177" t="s">
        <v>259</v>
      </c>
      <c r="B56" s="431">
        <f>B55*B44</f>
        <v>0</v>
      </c>
      <c r="C56" s="431"/>
      <c r="D56" s="431"/>
      <c r="E56" s="431"/>
      <c r="F56" s="432">
        <f>F55*F44</f>
        <v>0</v>
      </c>
      <c r="H56" s="3"/>
      <c r="I56" s="229" t="s">
        <v>304</v>
      </c>
      <c r="J56" s="433">
        <f>MIN(8000000,J55*J44)</f>
        <v>0</v>
      </c>
      <c r="K56" s="433">
        <f t="shared" ref="K56:L56" si="95">MIN(8000000,K55*K44)</f>
        <v>0</v>
      </c>
      <c r="L56" s="433">
        <f t="shared" ca="1" si="95"/>
        <v>0</v>
      </c>
      <c r="M56" s="427"/>
      <c r="N56" s="432">
        <f>MIN(8000000,N55*N44)</f>
        <v>0</v>
      </c>
      <c r="O56" s="14"/>
      <c r="P56" s="7"/>
      <c r="Q56" s="229" t="s">
        <v>304</v>
      </c>
      <c r="R56" s="434">
        <f>MIN(6000000,R55*R44)</f>
        <v>0</v>
      </c>
      <c r="S56" s="434">
        <f t="shared" ref="S56:T56" si="96">MIN(6000000,S55*S44)</f>
        <v>0</v>
      </c>
      <c r="T56" s="434">
        <f t="shared" ca="1" si="96"/>
        <v>0</v>
      </c>
      <c r="U56" s="427"/>
      <c r="V56" s="435">
        <f ca="1">MIN(6000000,V55*V44)</f>
        <v>0</v>
      </c>
      <c r="W56" s="14"/>
      <c r="X56" s="7"/>
      <c r="Y56" s="229" t="s">
        <v>304</v>
      </c>
      <c r="Z56" s="434">
        <f>MIN(6000000,Z55*Z44)</f>
        <v>0</v>
      </c>
      <c r="AA56" s="434">
        <f t="shared" ref="AA56:AB56" si="97">MIN(6000000,AA55*AA44)</f>
        <v>0</v>
      </c>
      <c r="AB56" s="434">
        <f t="shared" ca="1" si="97"/>
        <v>0</v>
      </c>
      <c r="AC56" s="427"/>
      <c r="AD56" s="435">
        <f ca="1">MIN(6000000,AD55*AD44)</f>
        <v>0</v>
      </c>
      <c r="AE56" s="14"/>
      <c r="AF56" s="7"/>
      <c r="AG56" s="229" t="s">
        <v>304</v>
      </c>
      <c r="AH56" s="434">
        <f>MIN(6000000,AH55*AH44)</f>
        <v>0</v>
      </c>
      <c r="AI56" s="434">
        <f t="shared" ref="AI56:AJ56" si="98">MIN(6000000,AI55*AI44)</f>
        <v>0</v>
      </c>
      <c r="AJ56" s="434">
        <f t="shared" ca="1" si="98"/>
        <v>0</v>
      </c>
      <c r="AK56" s="427"/>
      <c r="AL56" s="435">
        <f ca="1">MIN(6000000,AL55*AL44)</f>
        <v>0</v>
      </c>
      <c r="AM56" s="14"/>
    </row>
    <row r="57" spans="1:39" ht="16.5" customHeight="1" thickBot="1">
      <c r="A57" s="177" t="s">
        <v>260</v>
      </c>
      <c r="B57" s="427">
        <f>B55-B56</f>
        <v>82301525.111441314</v>
      </c>
      <c r="C57" s="427"/>
      <c r="D57" s="427"/>
      <c r="E57" s="427"/>
      <c r="F57" s="436">
        <f>F55-F56</f>
        <v>88993588.23176223</v>
      </c>
      <c r="H57" s="3"/>
      <c r="I57" s="229" t="s">
        <v>305</v>
      </c>
      <c r="J57" s="228">
        <f>J55-J56</f>
        <v>84372773.238965392</v>
      </c>
      <c r="K57" s="228">
        <f t="shared" ref="K57:L57" si="99">K55-K56</f>
        <v>93120263.652039632</v>
      </c>
      <c r="L57" s="228">
        <f t="shared" ca="1" si="99"/>
        <v>144129272.34225968</v>
      </c>
      <c r="M57" s="338"/>
      <c r="N57" s="436">
        <f>N55-N56</f>
        <v>90402065.378900439</v>
      </c>
      <c r="O57" s="3"/>
      <c r="P57" s="24"/>
      <c r="Q57" s="229" t="s">
        <v>305</v>
      </c>
      <c r="R57" s="437">
        <f>R55-R56</f>
        <v>121800812.61098959</v>
      </c>
      <c r="S57" s="437">
        <f t="shared" ref="S57:T57" si="100">S55-S56</f>
        <v>135028911.95470339</v>
      </c>
      <c r="T57" s="437">
        <f t="shared" ca="1" si="100"/>
        <v>175851458.25419793</v>
      </c>
      <c r="U57" s="338"/>
      <c r="V57" s="436">
        <f ca="1">V55-V56</f>
        <v>160414187.35448462</v>
      </c>
      <c r="W57" s="3"/>
      <c r="X57" s="24"/>
      <c r="Y57" s="229" t="s">
        <v>305</v>
      </c>
      <c r="Z57" s="437">
        <f>Z55-Z56</f>
        <v>159885264.47189772</v>
      </c>
      <c r="AA57" s="437">
        <f t="shared" ref="AA57:AB57" si="101">AA55-AA56</f>
        <v>173173420.63565502</v>
      </c>
      <c r="AB57" s="437">
        <f t="shared" ca="1" si="101"/>
        <v>219486126.92126822</v>
      </c>
      <c r="AC57" s="338"/>
      <c r="AD57" s="436">
        <f ca="1">AD55-AD56</f>
        <v>195844785.54798251</v>
      </c>
      <c r="AE57" s="3"/>
      <c r="AF57" s="24"/>
      <c r="AG57" s="229" t="s">
        <v>305</v>
      </c>
      <c r="AH57" s="437">
        <f>AH55-AH56</f>
        <v>177090949.79125887</v>
      </c>
      <c r="AI57" s="437">
        <f t="shared" ref="AI57:AJ57" si="102">AI55-AI56</f>
        <v>190321189.18411952</v>
      </c>
      <c r="AJ57" s="437">
        <f t="shared" ca="1" si="102"/>
        <v>238819218.47652632</v>
      </c>
      <c r="AK57" s="338"/>
      <c r="AL57" s="436">
        <f ca="1">AL55-AL56</f>
        <v>240864674.16126755</v>
      </c>
      <c r="AM57" s="3"/>
    </row>
    <row r="58" spans="1:39" ht="16.5" customHeight="1" thickBot="1">
      <c r="A58" s="337" t="s">
        <v>163</v>
      </c>
      <c r="B58" s="338">
        <f>MAX(F16+B57-F28,0)</f>
        <v>0</v>
      </c>
      <c r="C58" s="338"/>
      <c r="D58" s="338"/>
      <c r="E58" s="338"/>
      <c r="F58" s="3"/>
      <c r="G58" s="3"/>
      <c r="H58" s="3"/>
      <c r="I58" s="345" t="s">
        <v>163</v>
      </c>
      <c r="J58" s="346">
        <f>MAX($N$16+J57-$N$28,0)</f>
        <v>0</v>
      </c>
      <c r="K58" s="346">
        <f>MAX($N$16+K57-$N$28,0)</f>
        <v>0</v>
      </c>
      <c r="L58" s="346">
        <f ca="1">MAX($N$16+L57-$N$28,0)</f>
        <v>0</v>
      </c>
      <c r="M58" s="338"/>
      <c r="N58" s="14"/>
      <c r="O58" s="3"/>
      <c r="Q58" s="224" t="s">
        <v>163</v>
      </c>
      <c r="R58" s="338">
        <f ca="1">MAX($V$16+R57-$V$28,0)</f>
        <v>0</v>
      </c>
      <c r="S58" s="338">
        <f t="shared" ref="S58:T58" ca="1" si="103">MAX($V$16+S57-$V$28,0)</f>
        <v>0</v>
      </c>
      <c r="T58" s="338">
        <f t="shared" ca="1" si="103"/>
        <v>0</v>
      </c>
      <c r="U58" s="338"/>
      <c r="V58" s="14"/>
      <c r="W58" s="3"/>
      <c r="Y58" s="224" t="s">
        <v>163</v>
      </c>
      <c r="Z58" s="338">
        <f ca="1">MAX($AD$16+Z57-$AD$28,0)</f>
        <v>0</v>
      </c>
      <c r="AA58" s="338">
        <f ca="1">MAX($AD$16+AA57-$AD$28,0)</f>
        <v>0</v>
      </c>
      <c r="AB58" s="338">
        <f ca="1">MAX($AD$16+AB57-$AD$28,0)</f>
        <v>0</v>
      </c>
      <c r="AC58" s="338"/>
      <c r="AD58" s="14"/>
      <c r="AE58" s="3"/>
      <c r="AG58" s="224" t="s">
        <v>163</v>
      </c>
      <c r="AH58" s="338">
        <f ca="1">MAX($AD$16+AH57-$AD$28,0)</f>
        <v>0</v>
      </c>
      <c r="AI58" s="338">
        <f ca="1">MAX($AD$16+AI57-$AD$28,0)</f>
        <v>0</v>
      </c>
      <c r="AJ58" s="338">
        <f ca="1">MAX($AD$16+AJ57-$AD$28,0)</f>
        <v>0</v>
      </c>
      <c r="AK58" s="338"/>
      <c r="AL58" s="14"/>
      <c r="AM58" s="3"/>
    </row>
    <row r="59" spans="1:39" ht="16.5" customHeight="1" thickBot="1">
      <c r="A59" s="187" t="s">
        <v>165</v>
      </c>
      <c r="B59" s="339">
        <f>B57-B58</f>
        <v>82301525.111441314</v>
      </c>
      <c r="C59" s="338"/>
      <c r="D59" s="338"/>
      <c r="E59" s="338"/>
      <c r="F59" s="14"/>
      <c r="G59" s="14"/>
      <c r="H59" s="3"/>
      <c r="I59" s="221" t="s">
        <v>165</v>
      </c>
      <c r="J59" s="222">
        <f>J57-J58</f>
        <v>84372773.238965392</v>
      </c>
      <c r="K59" s="222">
        <f t="shared" ref="K59:L59" si="104">K57-K58</f>
        <v>93120263.652039632</v>
      </c>
      <c r="L59" s="223">
        <f t="shared" ca="1" si="104"/>
        <v>144129272.34225968</v>
      </c>
      <c r="M59" s="14"/>
      <c r="N59" s="14"/>
      <c r="O59" s="3"/>
      <c r="Q59" s="221" t="s">
        <v>165</v>
      </c>
      <c r="R59" s="222">
        <f ca="1">R57-R58</f>
        <v>121800812.61098959</v>
      </c>
      <c r="S59" s="222">
        <f t="shared" ref="S59:T59" ca="1" si="105">S57-S58</f>
        <v>135028911.95470339</v>
      </c>
      <c r="T59" s="222">
        <f t="shared" ca="1" si="105"/>
        <v>175851458.25419793</v>
      </c>
      <c r="U59" s="14"/>
      <c r="V59" s="14"/>
      <c r="W59" s="3"/>
      <c r="Y59" s="221" t="s">
        <v>165</v>
      </c>
      <c r="Z59" s="222">
        <f ca="1">Z57-Z58</f>
        <v>159885264.47189772</v>
      </c>
      <c r="AA59" s="222">
        <f t="shared" ref="AA59:AB59" ca="1" si="106">AA57-AA58</f>
        <v>173173420.63565502</v>
      </c>
      <c r="AB59" s="222">
        <f t="shared" ca="1" si="106"/>
        <v>219486126.92126822</v>
      </c>
      <c r="AC59" s="14"/>
      <c r="AD59" s="14"/>
      <c r="AE59" s="3"/>
      <c r="AG59" s="221" t="s">
        <v>165</v>
      </c>
      <c r="AH59" s="222">
        <f ca="1">AH57-AH58</f>
        <v>177090949.79125887</v>
      </c>
      <c r="AI59" s="222">
        <f t="shared" ref="AI59:AJ59" ca="1" si="107">AI57-AI58</f>
        <v>190321189.18411952</v>
      </c>
      <c r="AJ59" s="222">
        <f t="shared" ca="1" si="107"/>
        <v>238819218.47652632</v>
      </c>
      <c r="AK59" s="14"/>
      <c r="AL59" s="14"/>
      <c r="AM59" s="3"/>
    </row>
    <row r="60" spans="1:39" ht="16.5" customHeight="1" thickBot="1">
      <c r="A60" s="177" t="s">
        <v>53</v>
      </c>
      <c r="B60" s="14">
        <f>B59*0.2</f>
        <v>16460305.022288263</v>
      </c>
      <c r="C60" s="14"/>
      <c r="D60" s="14"/>
      <c r="E60" s="14"/>
      <c r="F60" s="3"/>
      <c r="G60" s="3"/>
      <c r="H60" s="3"/>
      <c r="I60" s="224" t="s">
        <v>53</v>
      </c>
      <c r="J60" s="225">
        <f t="shared" ref="J60:L60" si="108">J59*0.2</f>
        <v>16874554.647793081</v>
      </c>
      <c r="K60" s="225">
        <f t="shared" si="108"/>
        <v>18624052.730407927</v>
      </c>
      <c r="L60" s="225">
        <f t="shared" ca="1" si="108"/>
        <v>28825854.468451936</v>
      </c>
      <c r="M60" s="438"/>
      <c r="N60" s="3"/>
      <c r="O60" s="3"/>
      <c r="Q60" s="224" t="s">
        <v>53</v>
      </c>
      <c r="R60" s="225">
        <f t="shared" ref="R60:T60" ca="1" si="109">R59*0.2</f>
        <v>24360162.522197917</v>
      </c>
      <c r="S60" s="225">
        <f t="shared" ca="1" si="109"/>
        <v>27005782.390940681</v>
      </c>
      <c r="T60" s="225">
        <f t="shared" ca="1" si="109"/>
        <v>35170291.65083959</v>
      </c>
      <c r="U60" s="438"/>
      <c r="V60" s="3"/>
      <c r="W60" s="3"/>
      <c r="Y60" s="224" t="s">
        <v>53</v>
      </c>
      <c r="Z60" s="225">
        <f t="shared" ref="Z60:AB60" ca="1" si="110">Z59*0.2</f>
        <v>31977052.894379545</v>
      </c>
      <c r="AA60" s="225">
        <f t="shared" ca="1" si="110"/>
        <v>34634684.127131008</v>
      </c>
      <c r="AB60" s="225">
        <f t="shared" ca="1" si="110"/>
        <v>43897225.384253651</v>
      </c>
      <c r="AC60" s="438"/>
      <c r="AD60" s="3"/>
      <c r="AE60" s="3"/>
      <c r="AG60" s="224" t="s">
        <v>53</v>
      </c>
      <c r="AH60" s="225">
        <f t="shared" ref="AH60:AJ60" ca="1" si="111">AH59*0.2</f>
        <v>35418189.958251774</v>
      </c>
      <c r="AI60" s="225">
        <f t="shared" ca="1" si="111"/>
        <v>38064237.836823903</v>
      </c>
      <c r="AJ60" s="225">
        <f t="shared" ca="1" si="111"/>
        <v>47763843.695305265</v>
      </c>
      <c r="AK60" s="438"/>
      <c r="AL60" s="3"/>
      <c r="AM60" s="3"/>
    </row>
    <row r="61" spans="1:39" ht="16.5" customHeight="1" thickBot="1">
      <c r="A61" s="187" t="s">
        <v>166</v>
      </c>
      <c r="B61" s="127">
        <f>SUM(B59:B60)</f>
        <v>98761830.133729577</v>
      </c>
      <c r="C61" s="438"/>
      <c r="D61" s="438"/>
      <c r="E61" s="438"/>
      <c r="F61" s="3"/>
      <c r="G61" s="3"/>
      <c r="H61" s="3"/>
      <c r="I61" s="221" t="s">
        <v>166</v>
      </c>
      <c r="J61" s="222">
        <f t="shared" ref="J61:L61" si="112">SUM(J59:J60)</f>
        <v>101247327.88675848</v>
      </c>
      <c r="K61" s="222">
        <f t="shared" si="112"/>
        <v>111744316.38244756</v>
      </c>
      <c r="L61" s="222">
        <f t="shared" ca="1" si="112"/>
        <v>172955126.81071162</v>
      </c>
      <c r="M61" s="3"/>
      <c r="N61" s="3"/>
      <c r="O61" s="3"/>
      <c r="Q61" s="221" t="s">
        <v>166</v>
      </c>
      <c r="R61" s="222">
        <f t="shared" ref="R61:T61" ca="1" si="113">SUM(R59:R60)</f>
        <v>146160975.1331875</v>
      </c>
      <c r="S61" s="222">
        <f t="shared" ca="1" si="113"/>
        <v>162034694.34564406</v>
      </c>
      <c r="T61" s="222">
        <f t="shared" ca="1" si="113"/>
        <v>211021749.90503752</v>
      </c>
      <c r="U61" s="3"/>
      <c r="V61" s="3"/>
      <c r="W61" s="3"/>
      <c r="Y61" s="221" t="s">
        <v>166</v>
      </c>
      <c r="Z61" s="222">
        <f t="shared" ref="Z61:AB61" ca="1" si="114">SUM(Z59:Z60)</f>
        <v>191862317.36627728</v>
      </c>
      <c r="AA61" s="222">
        <f t="shared" ca="1" si="114"/>
        <v>207808104.76278603</v>
      </c>
      <c r="AB61" s="222">
        <f t="shared" ca="1" si="114"/>
        <v>263383352.30552188</v>
      </c>
      <c r="AC61" s="3"/>
      <c r="AD61" s="3"/>
      <c r="AE61" s="3"/>
      <c r="AG61" s="221" t="s">
        <v>166</v>
      </c>
      <c r="AH61" s="222">
        <f t="shared" ref="AH61:AJ61" ca="1" si="115">SUM(AH59:AH60)</f>
        <v>212509139.74951065</v>
      </c>
      <c r="AI61" s="222">
        <f t="shared" ca="1" si="115"/>
        <v>228385427.02094343</v>
      </c>
      <c r="AJ61" s="222">
        <f t="shared" ca="1" si="115"/>
        <v>286583062.17183161</v>
      </c>
      <c r="AK61" s="3"/>
      <c r="AL61" s="3"/>
      <c r="AM61" s="3"/>
    </row>
    <row r="62" spans="1:39" ht="16.5" customHeight="1">
      <c r="A62" s="3"/>
      <c r="B62" s="3"/>
      <c r="C62" s="3"/>
      <c r="D62" s="3"/>
      <c r="E62" s="3"/>
      <c r="F62" s="3"/>
      <c r="G62" s="3"/>
      <c r="H62" s="3"/>
      <c r="I62" s="3"/>
      <c r="J62" s="14"/>
      <c r="K62" s="14"/>
      <c r="L62" s="14"/>
      <c r="M62" s="14"/>
      <c r="N62" s="3"/>
      <c r="O62" s="3"/>
      <c r="Q62" s="3"/>
      <c r="R62" s="14"/>
      <c r="S62" s="14"/>
      <c r="T62" s="14"/>
      <c r="U62" s="14"/>
      <c r="V62" s="3"/>
      <c r="W62" s="3"/>
      <c r="Y62" s="3"/>
      <c r="Z62" s="14"/>
      <c r="AA62" s="14"/>
      <c r="AB62" s="14"/>
      <c r="AC62" s="14"/>
      <c r="AD62" s="3"/>
      <c r="AE62" s="3"/>
      <c r="AG62" s="3"/>
      <c r="AH62" s="14"/>
      <c r="AI62" s="14"/>
      <c r="AJ62" s="14"/>
      <c r="AK62" s="14"/>
      <c r="AL62" s="3"/>
      <c r="AM62" s="3"/>
    </row>
  </sheetData>
  <phoneticPr fontId="16" type="noConversion"/>
  <conditionalFormatting sqref="B7">
    <cfRule type="cellIs" dxfId="97" priority="1" operator="lessThan">
      <formula>1</formula>
    </cfRule>
    <cfRule type="cellIs" dxfId="96" priority="2" operator="lessThan">
      <formula>2</formula>
    </cfRule>
  </conditionalFormatting>
  <dataValidations disablePrompts="1" count="6">
    <dataValidation allowBlank="1" showErrorMessage="1" sqref="B4" xr:uid="{152E37F9-188A-4C76-B69D-8A7B146B4D70}"/>
    <dataValidation type="list" allowBlank="1" showErrorMessage="1" sqref="J10:M10 R33:U33 Z33:AC33 R10:U10 Z10:AC10 J33:M33 AH33:AK33 AH10:AK10" xr:uid="{FAED9F73-1D9F-4DD0-B215-78CA95407EDC}">
      <formula1>"1세대1주택,주택"</formula1>
    </dataValidation>
    <dataValidation type="list" allowBlank="1" showInputMessage="1" showErrorMessage="1" sqref="B10:E10 B33:E33" xr:uid="{A7D12F37-9A05-4D7E-8FE1-98917E1F90B0}">
      <formula1>"1세대1주택,주택"</formula1>
    </dataValidation>
    <dataValidation type="list" allowBlank="1" showErrorMessage="1" sqref="AM10 G10 W10 AE10 O10" xr:uid="{33E937D7-4618-4DF0-B98C-39887D2A1BCC}">
      <formula1>"1세대1주택,주택,건물,종합합산토지,별도합산토지"</formula1>
    </dataValidation>
    <dataValidation type="list" allowBlank="1" showInputMessage="1" showErrorMessage="1" sqref="B6" xr:uid="{1594CA56-1602-4EB7-BDB5-52EB78C244B3}">
      <formula1>"주택1,주택2,주택3,주택4,비거주"</formula1>
    </dataValidation>
    <dataValidation type="list" allowBlank="1" showErrorMessage="1" sqref="B5" xr:uid="{B4E29E2F-CA76-450C-9DA1-36F2F6C487D7}">
      <formula1>"1세대1주택,해당없음"</formula1>
    </dataValidation>
  </dataValidations>
  <pageMargins left="0.25" right="0.25" top="0.75" bottom="0.75" header="0.3" footer="0.3"/>
  <pageSetup paperSize="9" scale="12" orientation="portrait" r:id="rId1"/>
  <headerFooter>
    <oddFooter>&amp;C&amp;P/</oddFooter>
  </headerFooter>
  <colBreaks count="2" manualBreakCount="2">
    <brk id="17" min="1" max="1" man="1"/>
    <brk id="8" min="1" max="1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Q982"/>
  <sheetViews>
    <sheetView topLeftCell="A9" workbookViewId="0">
      <selection activeCell="E16" sqref="E16"/>
    </sheetView>
    <sheetView workbookViewId="1"/>
  </sheetViews>
  <sheetFormatPr defaultColWidth="14.42578125" defaultRowHeight="15" customHeight="1"/>
  <cols>
    <col min="1" max="1" width="21.7109375" bestFit="1" customWidth="1"/>
    <col min="2" max="2" width="15.42578125" bestFit="1" customWidth="1"/>
    <col min="3" max="3" width="13.7109375" bestFit="1" customWidth="1"/>
    <col min="4" max="4" width="12.5703125" bestFit="1" customWidth="1"/>
    <col min="5" max="6" width="14.140625" bestFit="1" customWidth="1"/>
    <col min="7" max="7" width="12.5703125" bestFit="1" customWidth="1"/>
    <col min="8" max="8" width="4" customWidth="1"/>
    <col min="9" max="10" width="15.140625" bestFit="1" customWidth="1"/>
    <col min="11" max="11" width="10.5703125" bestFit="1" customWidth="1"/>
    <col min="12" max="12" width="15.140625" bestFit="1" customWidth="1"/>
    <col min="13" max="14" width="22.85546875" bestFit="1" customWidth="1"/>
    <col min="15" max="16" width="6.28515625" bestFit="1" customWidth="1"/>
    <col min="17" max="17" width="10.28515625" bestFit="1" customWidth="1"/>
    <col min="18" max="18" width="22.85546875" bestFit="1" customWidth="1"/>
    <col min="19" max="19" width="8.7109375" customWidth="1"/>
  </cols>
  <sheetData>
    <row r="1" spans="1:17" ht="16.5" customHeight="1">
      <c r="A1" s="3"/>
      <c r="B1" s="3"/>
      <c r="C1" s="3"/>
      <c r="I1" s="106" t="s">
        <v>1</v>
      </c>
      <c r="J1" s="107" t="s">
        <v>209</v>
      </c>
      <c r="K1" s="109" t="s">
        <v>210</v>
      </c>
      <c r="L1" s="106" t="s">
        <v>206</v>
      </c>
      <c r="M1" s="106" t="s">
        <v>196</v>
      </c>
      <c r="N1" s="3"/>
      <c r="O1" s="3"/>
      <c r="P1" s="3"/>
      <c r="Q1" s="3"/>
    </row>
    <row r="2" spans="1:17" ht="16.5" customHeight="1">
      <c r="A2" s="128" t="s">
        <v>251</v>
      </c>
      <c r="B2" s="172">
        <v>1200000000</v>
      </c>
      <c r="I2" s="103" t="s">
        <v>19</v>
      </c>
      <c r="J2" s="103" t="s">
        <v>202</v>
      </c>
      <c r="K2" s="103" t="s">
        <v>205</v>
      </c>
      <c r="L2" s="104">
        <v>2E-3</v>
      </c>
      <c r="M2" s="103" t="s">
        <v>207</v>
      </c>
      <c r="N2" s="3"/>
      <c r="O2" s="3"/>
      <c r="P2" s="3"/>
      <c r="Q2" s="3"/>
    </row>
    <row r="3" spans="1:17" ht="16.5" customHeight="1">
      <c r="I3" s="103" t="s">
        <v>19</v>
      </c>
      <c r="J3" s="103" t="s">
        <v>203</v>
      </c>
      <c r="K3" s="104">
        <v>8.4000000000000005E-2</v>
      </c>
      <c r="L3" s="104">
        <v>6.0000000000000001E-3</v>
      </c>
      <c r="M3" s="105">
        <v>0.09</v>
      </c>
      <c r="N3" s="3"/>
      <c r="O3" s="3"/>
      <c r="P3" s="3"/>
      <c r="Q3" s="3"/>
    </row>
    <row r="4" spans="1:17" ht="16.5" customHeight="1">
      <c r="A4" s="483" t="s">
        <v>237</v>
      </c>
      <c r="B4" s="483" t="s">
        <v>238</v>
      </c>
      <c r="C4" s="483"/>
      <c r="D4" s="483"/>
      <c r="E4" s="483" t="s">
        <v>239</v>
      </c>
      <c r="F4" s="483"/>
      <c r="G4" s="483" t="s">
        <v>240</v>
      </c>
      <c r="I4" s="103" t="s">
        <v>19</v>
      </c>
      <c r="J4" s="103" t="s">
        <v>204</v>
      </c>
      <c r="K4" s="104">
        <v>0.124</v>
      </c>
      <c r="L4" s="105">
        <v>0.01</v>
      </c>
      <c r="M4" s="104">
        <v>0.13400000000000001</v>
      </c>
      <c r="N4" s="3"/>
      <c r="O4" s="3"/>
      <c r="P4" s="3"/>
      <c r="Q4" s="3"/>
    </row>
    <row r="5" spans="1:17" ht="16.5" customHeight="1">
      <c r="A5" s="483"/>
      <c r="B5" s="159" t="s">
        <v>241</v>
      </c>
      <c r="C5" s="159" t="s">
        <v>242</v>
      </c>
      <c r="D5" s="159" t="s">
        <v>243</v>
      </c>
      <c r="E5" s="159" t="s">
        <v>244</v>
      </c>
      <c r="F5" s="159" t="s">
        <v>245</v>
      </c>
      <c r="G5" s="483"/>
      <c r="I5" s="103" t="s">
        <v>37</v>
      </c>
      <c r="J5" s="103" t="s">
        <v>202</v>
      </c>
      <c r="K5" s="103" t="s">
        <v>205</v>
      </c>
      <c r="L5" s="104">
        <v>2E-3</v>
      </c>
      <c r="M5" s="103" t="s">
        <v>207</v>
      </c>
      <c r="N5" s="3"/>
      <c r="O5" s="3"/>
      <c r="P5" s="3"/>
      <c r="Q5" s="3"/>
    </row>
    <row r="6" spans="1:17" ht="16.5" customHeight="1">
      <c r="A6" s="160" t="s">
        <v>246</v>
      </c>
      <c r="B6" s="161">
        <v>0.01</v>
      </c>
      <c r="C6" s="161">
        <f>MAX(MIN((B2*2/300000000-3)/100,3%),1%)</f>
        <v>0.03</v>
      </c>
      <c r="D6" s="149">
        <v>0.03</v>
      </c>
      <c r="E6" s="149">
        <v>0.08</v>
      </c>
      <c r="F6" s="149">
        <v>0.12</v>
      </c>
      <c r="G6" s="149">
        <v>0.04</v>
      </c>
      <c r="I6" s="103" t="s">
        <v>37</v>
      </c>
      <c r="J6" s="103" t="s">
        <v>203</v>
      </c>
      <c r="K6" s="103" t="s">
        <v>205</v>
      </c>
      <c r="L6" s="104">
        <v>2E-3</v>
      </c>
      <c r="M6" s="103" t="s">
        <v>207</v>
      </c>
      <c r="N6" s="3"/>
      <c r="O6" s="3"/>
      <c r="P6" s="3"/>
      <c r="Q6" s="3"/>
    </row>
    <row r="7" spans="1:17" ht="16.5" customHeight="1">
      <c r="A7" s="160" t="s">
        <v>247</v>
      </c>
      <c r="B7" s="161">
        <f>B6*0.5*0.2</f>
        <v>1E-3</v>
      </c>
      <c r="C7" s="161">
        <f>C6*0.5*0.2</f>
        <v>3.0000000000000001E-3</v>
      </c>
      <c r="D7" s="161">
        <f>D6*0.5*0.2</f>
        <v>3.0000000000000001E-3</v>
      </c>
      <c r="E7" s="149">
        <v>4.0000000000000001E-3</v>
      </c>
      <c r="F7" s="149">
        <v>4.0000000000000001E-3</v>
      </c>
      <c r="G7" s="149">
        <f>(G6-2%)*0.2</f>
        <v>4.0000000000000001E-3</v>
      </c>
      <c r="I7" s="103" t="s">
        <v>37</v>
      </c>
      <c r="J7" s="103" t="s">
        <v>204</v>
      </c>
      <c r="K7" s="104">
        <v>8.4000000000000005E-2</v>
      </c>
      <c r="L7" s="104">
        <v>6.0000000000000001E-3</v>
      </c>
      <c r="M7" s="105">
        <v>0.09</v>
      </c>
      <c r="N7" s="3"/>
      <c r="O7" s="3"/>
      <c r="P7" s="3"/>
      <c r="Q7" s="3"/>
    </row>
    <row r="8" spans="1:17" ht="16.5" customHeight="1">
      <c r="A8" s="160" t="s">
        <v>248</v>
      </c>
      <c r="B8" s="161">
        <v>2E-3</v>
      </c>
      <c r="C8" s="161">
        <v>2E-3</v>
      </c>
      <c r="D8" s="149">
        <v>2E-3</v>
      </c>
      <c r="E8" s="149">
        <v>6.0000000000000001E-3</v>
      </c>
      <c r="F8" s="149">
        <v>0.01</v>
      </c>
      <c r="G8" s="149">
        <v>2E-3</v>
      </c>
      <c r="I8" s="103" t="s">
        <v>37</v>
      </c>
      <c r="J8" s="103" t="s">
        <v>208</v>
      </c>
      <c r="K8" s="104">
        <v>0.124</v>
      </c>
      <c r="L8" s="105">
        <v>0.01</v>
      </c>
      <c r="M8" s="104">
        <v>0.13400000000000001</v>
      </c>
      <c r="N8" s="3"/>
      <c r="O8" s="3"/>
      <c r="P8" s="3"/>
      <c r="Q8" s="3"/>
    </row>
    <row r="9" spans="1:17" ht="16.5" customHeight="1">
      <c r="A9" s="162"/>
      <c r="B9" s="163"/>
      <c r="C9" s="163"/>
      <c r="D9" s="163"/>
      <c r="E9" s="163"/>
      <c r="F9" s="163"/>
      <c r="G9" s="162"/>
      <c r="I9" s="3"/>
      <c r="J9" s="3"/>
      <c r="K9" s="3"/>
      <c r="L9" s="3"/>
      <c r="M9" s="3"/>
      <c r="N9" s="3"/>
      <c r="O9" s="3"/>
      <c r="P9" s="3"/>
      <c r="Q9" s="3"/>
    </row>
    <row r="10" spans="1:17" ht="16.5" customHeight="1" thickBot="1">
      <c r="A10" s="164" t="s">
        <v>249</v>
      </c>
      <c r="B10" s="165">
        <f>$B$2*SUM(B6:B7)</f>
        <v>13200000</v>
      </c>
      <c r="C10" s="165">
        <f t="shared" ref="C10:G10" si="0">$B$2*SUM(C6:C7)</f>
        <v>39600000</v>
      </c>
      <c r="D10" s="165">
        <f t="shared" si="0"/>
        <v>39600000</v>
      </c>
      <c r="E10" s="165">
        <f t="shared" si="0"/>
        <v>100800000</v>
      </c>
      <c r="F10" s="165">
        <f t="shared" si="0"/>
        <v>148800000</v>
      </c>
      <c r="G10" s="165">
        <f t="shared" si="0"/>
        <v>52800000</v>
      </c>
      <c r="I10" s="108" t="s">
        <v>209</v>
      </c>
      <c r="J10" s="108" t="s">
        <v>209</v>
      </c>
      <c r="K10" s="109" t="s">
        <v>212</v>
      </c>
      <c r="L10" s="106" t="s">
        <v>206</v>
      </c>
      <c r="M10" s="3"/>
      <c r="N10" s="3"/>
      <c r="O10" s="3"/>
      <c r="P10" s="3"/>
      <c r="Q10" s="3"/>
    </row>
    <row r="11" spans="1:17" ht="16.5" customHeight="1" thickTop="1" thickBot="1">
      <c r="A11" s="166" t="s">
        <v>250</v>
      </c>
      <c r="B11" s="167">
        <f>$B$2*SUM(B6:B8)</f>
        <v>15600000</v>
      </c>
      <c r="C11" s="167">
        <f t="shared" ref="C11:G11" si="1">$B$2*SUM(C6:C8)</f>
        <v>42000000.000000007</v>
      </c>
      <c r="D11" s="167">
        <f t="shared" si="1"/>
        <v>42000000.000000007</v>
      </c>
      <c r="E11" s="167">
        <f t="shared" si="1"/>
        <v>108000000.00000001</v>
      </c>
      <c r="F11" s="167">
        <f t="shared" si="1"/>
        <v>160800000</v>
      </c>
      <c r="G11" s="167">
        <f t="shared" si="1"/>
        <v>55200000</v>
      </c>
      <c r="I11" s="103"/>
      <c r="J11" s="103" t="s">
        <v>211</v>
      </c>
      <c r="K11" s="104">
        <v>9.5999999999999992E-3</v>
      </c>
      <c r="L11" s="104"/>
      <c r="M11" s="3"/>
      <c r="N11" s="3"/>
      <c r="O11" s="3"/>
      <c r="P11" s="3"/>
      <c r="Q11" s="3"/>
    </row>
    <row r="12" spans="1:17" ht="16.5" customHeight="1" thickTop="1">
      <c r="A12" s="3"/>
      <c r="B12" s="3"/>
      <c r="C12" s="3"/>
      <c r="I12" s="103"/>
      <c r="J12" s="103"/>
      <c r="K12" s="104">
        <v>2.9600000000000001E-2</v>
      </c>
      <c r="L12" s="104">
        <v>3.1600000000000003E-2</v>
      </c>
      <c r="M12" s="3"/>
      <c r="N12" s="3"/>
      <c r="O12" s="3"/>
      <c r="P12" s="3"/>
      <c r="Q12" s="3"/>
    </row>
    <row r="13" spans="1:17" ht="16.5" customHeight="1">
      <c r="A13" s="3"/>
      <c r="B13" s="3"/>
      <c r="C13" s="3"/>
      <c r="I13" s="130" t="s">
        <v>235</v>
      </c>
      <c r="J13" s="150"/>
      <c r="K13" s="151">
        <v>2.5600000000000001E-2</v>
      </c>
      <c r="L13" s="150"/>
      <c r="N13" s="3"/>
      <c r="O13" s="3"/>
      <c r="P13" s="3"/>
      <c r="Q13" s="3"/>
    </row>
    <row r="14" spans="1:17" ht="16.5" customHeight="1">
      <c r="A14" s="3"/>
      <c r="B14" s="3"/>
      <c r="C14" s="3"/>
      <c r="N14" s="3"/>
      <c r="O14" s="3"/>
      <c r="P14" s="3"/>
      <c r="Q14" s="3"/>
    </row>
    <row r="15" spans="1:17" ht="16.5" customHeight="1">
      <c r="A15" s="3"/>
      <c r="B15" s="3"/>
      <c r="C15" s="3"/>
      <c r="I15" s="3"/>
      <c r="J15" s="106" t="s">
        <v>1</v>
      </c>
      <c r="K15" s="109" t="s">
        <v>216</v>
      </c>
      <c r="L15" s="106" t="s">
        <v>206</v>
      </c>
      <c r="M15" s="3"/>
      <c r="N15" s="3"/>
      <c r="O15" s="3"/>
      <c r="P15" s="3"/>
      <c r="Q15" s="3"/>
    </row>
    <row r="16" spans="1:17" ht="16.5" customHeight="1">
      <c r="A16" s="3"/>
      <c r="B16" s="3"/>
      <c r="C16" s="3"/>
      <c r="I16" s="109" t="s">
        <v>215</v>
      </c>
      <c r="J16" s="103" t="s">
        <v>213</v>
      </c>
      <c r="K16" s="104">
        <v>3.7999999999999999E-2</v>
      </c>
      <c r="L16" s="104">
        <v>0.04</v>
      </c>
      <c r="M16" s="3"/>
      <c r="N16" s="3"/>
      <c r="O16" s="3"/>
      <c r="P16" s="3"/>
      <c r="Q16" s="3"/>
    </row>
    <row r="17" spans="1:17" ht="16.5" customHeight="1">
      <c r="A17" s="3"/>
      <c r="B17" s="3"/>
      <c r="C17" s="3"/>
      <c r="I17" s="109" t="s">
        <v>215</v>
      </c>
      <c r="J17" s="103" t="s">
        <v>214</v>
      </c>
      <c r="K17" s="104">
        <v>0.124</v>
      </c>
      <c r="L17" s="104">
        <v>0.13400000000000001</v>
      </c>
      <c r="M17" s="3"/>
      <c r="N17" s="3"/>
      <c r="O17" s="3"/>
      <c r="P17" s="3"/>
      <c r="Q17" s="3"/>
    </row>
    <row r="18" spans="1:17" ht="16.5" customHeight="1">
      <c r="A18" s="3"/>
      <c r="B18" s="3"/>
      <c r="C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6.5" customHeight="1">
      <c r="A19" s="3"/>
      <c r="B19" s="3"/>
      <c r="C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6.5" customHeight="1">
      <c r="A20" s="3"/>
      <c r="B20" s="3"/>
      <c r="C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6.5" customHeight="1">
      <c r="A21" s="3"/>
      <c r="B21" s="3"/>
      <c r="C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6.5" customHeight="1">
      <c r="A22" s="3"/>
      <c r="B22" s="3"/>
      <c r="C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6.5" customHeight="1">
      <c r="A23" s="3"/>
      <c r="B23" s="3"/>
      <c r="C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6.5" customHeight="1">
      <c r="A24" s="3"/>
      <c r="B24" s="3"/>
      <c r="C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6.5" customHeight="1">
      <c r="A25" s="3"/>
      <c r="B25" s="3"/>
      <c r="C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6.5" customHeight="1">
      <c r="A26" s="3"/>
      <c r="B26" s="3"/>
      <c r="C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6.5" customHeight="1">
      <c r="A27" s="3"/>
      <c r="B27" s="3"/>
      <c r="C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6.5" customHeight="1">
      <c r="A28" s="3"/>
      <c r="B28" s="3"/>
      <c r="C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6.5" customHeight="1">
      <c r="A29" s="3"/>
      <c r="B29" s="3"/>
      <c r="C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6.5" customHeight="1">
      <c r="A30" s="3"/>
      <c r="B30" s="3"/>
      <c r="C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6.5" customHeight="1">
      <c r="A31" s="3"/>
      <c r="B31" s="3"/>
      <c r="C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6.5" customHeight="1">
      <c r="A32" s="3"/>
      <c r="B32" s="3"/>
      <c r="C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6.5" customHeight="1">
      <c r="A33" s="3"/>
      <c r="B33" s="3"/>
      <c r="C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6.5" customHeight="1">
      <c r="A34" s="3"/>
      <c r="B34" s="3"/>
      <c r="C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6.5" customHeight="1">
      <c r="A35" s="3"/>
      <c r="B35" s="3"/>
      <c r="C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6.5" customHeight="1">
      <c r="A36" s="3"/>
      <c r="B36" s="3"/>
      <c r="C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6.5" customHeight="1">
      <c r="A37" s="3"/>
      <c r="B37" s="3"/>
      <c r="C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6.5" customHeight="1">
      <c r="A38" s="3"/>
      <c r="B38" s="3"/>
      <c r="C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6.5" customHeight="1">
      <c r="A39" s="3"/>
      <c r="B39" s="3"/>
      <c r="C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6.5" customHeight="1">
      <c r="A40" s="3"/>
      <c r="B40" s="3"/>
      <c r="C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6.5" customHeight="1">
      <c r="A41" s="3"/>
      <c r="B41" s="3"/>
      <c r="C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6.5" customHeight="1">
      <c r="A42" s="3"/>
      <c r="B42" s="3"/>
      <c r="C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6.5" customHeight="1">
      <c r="A43" s="3"/>
      <c r="B43" s="3"/>
      <c r="C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6.5" customHeight="1">
      <c r="A44" s="3"/>
      <c r="B44" s="3"/>
      <c r="C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6.5" customHeight="1">
      <c r="A45" s="3"/>
      <c r="B45" s="3"/>
      <c r="C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6.5" customHeight="1">
      <c r="A46" s="3"/>
      <c r="B46" s="3"/>
      <c r="C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6.5" customHeight="1">
      <c r="A47" s="3"/>
      <c r="B47" s="3"/>
      <c r="C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6.5" customHeight="1">
      <c r="A48" s="3"/>
      <c r="B48" s="3"/>
      <c r="C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6.5" customHeight="1">
      <c r="A49" s="3"/>
      <c r="B49" s="3"/>
      <c r="C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6.5" customHeight="1">
      <c r="A50" s="3"/>
      <c r="B50" s="3"/>
      <c r="C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6.5" customHeight="1">
      <c r="A51" s="3"/>
      <c r="B51" s="3"/>
      <c r="C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6.5" customHeight="1">
      <c r="A52" s="3"/>
      <c r="B52" s="3"/>
      <c r="C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6.5" customHeight="1">
      <c r="A53" s="3"/>
      <c r="B53" s="3"/>
      <c r="C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6.5" customHeight="1">
      <c r="A54" s="3"/>
      <c r="B54" s="3"/>
      <c r="C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6.5" customHeight="1">
      <c r="A55" s="3"/>
      <c r="B55" s="3"/>
      <c r="C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6.5" customHeight="1">
      <c r="A56" s="3"/>
      <c r="B56" s="3"/>
      <c r="C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6.5" customHeight="1">
      <c r="A57" s="3"/>
      <c r="B57" s="3"/>
      <c r="C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6.5" customHeight="1">
      <c r="A58" s="3"/>
      <c r="B58" s="3"/>
      <c r="C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6.5" customHeight="1">
      <c r="A59" s="3"/>
      <c r="B59" s="3"/>
      <c r="C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6.5" customHeight="1">
      <c r="A60" s="3"/>
      <c r="B60" s="3"/>
      <c r="C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6.5" customHeight="1">
      <c r="A61" s="3"/>
      <c r="B61" s="3"/>
      <c r="C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6.5" customHeight="1">
      <c r="A62" s="3"/>
      <c r="B62" s="3"/>
      <c r="C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6.5" customHeight="1">
      <c r="A63" s="3"/>
      <c r="B63" s="3"/>
      <c r="C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6.5" customHeight="1">
      <c r="A64" s="3"/>
      <c r="B64" s="3"/>
      <c r="C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6.5" customHeight="1">
      <c r="A65" s="3"/>
      <c r="B65" s="3"/>
      <c r="C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6.5" customHeight="1">
      <c r="A66" s="3"/>
      <c r="B66" s="3"/>
      <c r="C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6.5" customHeight="1">
      <c r="A67" s="3"/>
      <c r="B67" s="3"/>
      <c r="C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6.5" customHeight="1">
      <c r="A68" s="3"/>
      <c r="B68" s="3"/>
      <c r="C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6.5" customHeight="1">
      <c r="A69" s="3"/>
      <c r="B69" s="3"/>
      <c r="C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6.5" customHeight="1">
      <c r="A70" s="3"/>
      <c r="B70" s="3"/>
      <c r="C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6.5" customHeight="1">
      <c r="A71" s="3"/>
      <c r="B71" s="3"/>
      <c r="C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6.5" customHeight="1">
      <c r="A72" s="3"/>
      <c r="B72" s="3"/>
      <c r="C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6.5" customHeight="1">
      <c r="A73" s="3"/>
      <c r="B73" s="3"/>
      <c r="C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6.5" customHeight="1">
      <c r="A74" s="3"/>
      <c r="B74" s="3"/>
      <c r="C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6.5" customHeight="1">
      <c r="A75" s="3"/>
      <c r="B75" s="3"/>
      <c r="C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6.5" customHeight="1">
      <c r="A76" s="3"/>
      <c r="B76" s="3"/>
      <c r="C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6.5" customHeight="1">
      <c r="A77" s="3"/>
      <c r="B77" s="3"/>
      <c r="C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6.5" customHeight="1">
      <c r="A78" s="3"/>
      <c r="B78" s="3"/>
      <c r="C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6.5" customHeight="1">
      <c r="A79" s="3"/>
      <c r="B79" s="3"/>
      <c r="C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6.5" customHeight="1">
      <c r="A80" s="3"/>
      <c r="B80" s="3"/>
      <c r="C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6.5" customHeight="1">
      <c r="A81" s="3"/>
      <c r="B81" s="3"/>
      <c r="C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6.5" customHeight="1">
      <c r="A82" s="3"/>
      <c r="B82" s="3"/>
      <c r="C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6.5" customHeight="1">
      <c r="A83" s="3"/>
      <c r="B83" s="3"/>
      <c r="C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6.5" customHeight="1">
      <c r="A84" s="3"/>
      <c r="B84" s="3"/>
      <c r="C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6.5" customHeight="1">
      <c r="A85" s="3"/>
      <c r="B85" s="3"/>
      <c r="C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6.5" customHeight="1">
      <c r="A86" s="3"/>
      <c r="B86" s="3"/>
      <c r="C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6.5" customHeight="1">
      <c r="A87" s="3"/>
      <c r="B87" s="3"/>
      <c r="C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6.5" customHeight="1">
      <c r="A88" s="3"/>
      <c r="B88" s="3"/>
      <c r="C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6.5" customHeight="1">
      <c r="A89" s="3"/>
      <c r="B89" s="3"/>
      <c r="C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6.5" customHeight="1">
      <c r="A90" s="3"/>
      <c r="B90" s="3"/>
      <c r="C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6.5" customHeight="1">
      <c r="A91" s="3"/>
      <c r="B91" s="3"/>
      <c r="C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6.5" customHeight="1">
      <c r="A92" s="3"/>
      <c r="B92" s="3"/>
      <c r="C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6.5" customHeight="1">
      <c r="A93" s="3"/>
      <c r="B93" s="3"/>
      <c r="C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6.5" customHeight="1">
      <c r="A94" s="3"/>
      <c r="B94" s="3"/>
      <c r="C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6.5" customHeight="1">
      <c r="A95" s="3"/>
      <c r="B95" s="3"/>
      <c r="C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6.5" customHeight="1">
      <c r="A96" s="3"/>
      <c r="B96" s="3"/>
      <c r="C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6.5" customHeight="1">
      <c r="A97" s="3"/>
      <c r="B97" s="3"/>
      <c r="C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6.5" customHeight="1">
      <c r="A98" s="3"/>
      <c r="B98" s="3"/>
      <c r="C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6.5" customHeight="1">
      <c r="A99" s="3"/>
      <c r="B99" s="3"/>
      <c r="C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6.5" customHeight="1">
      <c r="A100" s="3"/>
      <c r="B100" s="3"/>
      <c r="C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6.5" customHeight="1">
      <c r="A101" s="3"/>
      <c r="B101" s="3"/>
      <c r="C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6.5" customHeight="1">
      <c r="A102" s="3"/>
      <c r="B102" s="3"/>
      <c r="C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6.5" customHeight="1">
      <c r="A103" s="3"/>
      <c r="B103" s="3"/>
      <c r="C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6.5" customHeight="1">
      <c r="A104" s="3"/>
      <c r="B104" s="3"/>
      <c r="C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6.5" customHeight="1">
      <c r="A105" s="3"/>
      <c r="B105" s="3"/>
      <c r="C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6.5" customHeight="1">
      <c r="A106" s="3"/>
      <c r="B106" s="3"/>
      <c r="C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6.5" customHeight="1">
      <c r="A107" s="3"/>
      <c r="B107" s="3"/>
      <c r="C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6.5" customHeight="1">
      <c r="A108" s="3"/>
      <c r="B108" s="3"/>
      <c r="C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6.5" customHeight="1">
      <c r="A109" s="3"/>
      <c r="B109" s="3"/>
      <c r="C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6.5" customHeight="1">
      <c r="A110" s="3"/>
      <c r="B110" s="3"/>
      <c r="C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6.5" customHeight="1">
      <c r="A111" s="3"/>
      <c r="B111" s="3"/>
      <c r="C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6.5" customHeight="1">
      <c r="A112" s="3"/>
      <c r="B112" s="3"/>
      <c r="C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6.5" customHeight="1">
      <c r="A113" s="3"/>
      <c r="B113" s="3"/>
      <c r="C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6.5" customHeight="1">
      <c r="A114" s="3"/>
      <c r="B114" s="3"/>
      <c r="C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6.5" customHeight="1">
      <c r="A115" s="3"/>
      <c r="B115" s="3"/>
      <c r="C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6.5" customHeight="1">
      <c r="A116" s="3"/>
      <c r="B116" s="3"/>
      <c r="C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6.5" customHeight="1">
      <c r="A117" s="3"/>
      <c r="B117" s="3"/>
      <c r="C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6.5" customHeight="1">
      <c r="A118" s="3"/>
      <c r="B118" s="3"/>
      <c r="C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6.5" customHeight="1">
      <c r="A119" s="3"/>
      <c r="B119" s="3"/>
      <c r="C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6.5" customHeight="1">
      <c r="A120" s="3"/>
      <c r="B120" s="3"/>
      <c r="C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6.5" customHeight="1">
      <c r="A121" s="3"/>
      <c r="B121" s="3"/>
      <c r="C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6.5" customHeight="1">
      <c r="A122" s="3"/>
      <c r="B122" s="3"/>
      <c r="C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6.5" customHeight="1">
      <c r="A123" s="3"/>
      <c r="B123" s="3"/>
      <c r="C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6.5" customHeight="1">
      <c r="A124" s="3"/>
      <c r="B124" s="3"/>
      <c r="C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6.5" customHeight="1">
      <c r="A125" s="3"/>
      <c r="B125" s="3"/>
      <c r="C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6.5" customHeight="1">
      <c r="A126" s="3"/>
      <c r="B126" s="3"/>
      <c r="C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6.5" customHeight="1">
      <c r="A127" s="3"/>
      <c r="B127" s="3"/>
      <c r="C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6.5" customHeight="1">
      <c r="A128" s="3"/>
      <c r="B128" s="3"/>
      <c r="C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6.5" customHeight="1">
      <c r="A129" s="3"/>
      <c r="B129" s="3"/>
      <c r="C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6.5" customHeight="1">
      <c r="A130" s="3"/>
      <c r="B130" s="3"/>
      <c r="C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6.5" customHeight="1">
      <c r="A131" s="3"/>
      <c r="B131" s="3"/>
      <c r="C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6.5" customHeight="1">
      <c r="A132" s="3"/>
      <c r="B132" s="3"/>
      <c r="C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6.5" customHeight="1">
      <c r="A133" s="3"/>
      <c r="B133" s="3"/>
      <c r="C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6.5" customHeight="1">
      <c r="A134" s="3"/>
      <c r="B134" s="3"/>
      <c r="C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6.5" customHeight="1">
      <c r="A135" s="3"/>
      <c r="B135" s="3"/>
      <c r="C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6.5" customHeight="1">
      <c r="A136" s="3"/>
      <c r="B136" s="3"/>
      <c r="C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6.5" customHeight="1">
      <c r="A137" s="3"/>
      <c r="B137" s="3"/>
      <c r="C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6.5" customHeight="1">
      <c r="A138" s="3"/>
      <c r="B138" s="3"/>
      <c r="C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6.5" customHeight="1">
      <c r="A139" s="3"/>
      <c r="B139" s="3"/>
      <c r="C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6.5" customHeight="1">
      <c r="A140" s="3"/>
      <c r="B140" s="3"/>
      <c r="C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6.5" customHeight="1">
      <c r="A141" s="3"/>
      <c r="B141" s="3"/>
      <c r="C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6.5" customHeight="1">
      <c r="A142" s="3"/>
      <c r="B142" s="3"/>
      <c r="C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6.5" customHeight="1">
      <c r="A143" s="3"/>
      <c r="B143" s="3"/>
      <c r="C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6.5" customHeight="1">
      <c r="A144" s="3"/>
      <c r="B144" s="3"/>
      <c r="C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6.5" customHeight="1">
      <c r="A145" s="3"/>
      <c r="B145" s="3"/>
      <c r="C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6.5" customHeight="1">
      <c r="A146" s="3"/>
      <c r="B146" s="3"/>
      <c r="C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6.5" customHeight="1">
      <c r="A147" s="3"/>
      <c r="B147" s="3"/>
      <c r="C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6.5" customHeight="1">
      <c r="A148" s="3"/>
      <c r="B148" s="3"/>
      <c r="C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6.5" customHeight="1">
      <c r="A149" s="3"/>
      <c r="B149" s="3"/>
      <c r="C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6.5" customHeight="1">
      <c r="A150" s="3"/>
      <c r="B150" s="3"/>
      <c r="C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6.5" customHeight="1">
      <c r="A151" s="3"/>
      <c r="B151" s="3"/>
      <c r="C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6.5" customHeight="1">
      <c r="A152" s="3"/>
      <c r="B152" s="3"/>
      <c r="C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6.5" customHeight="1">
      <c r="A153" s="3"/>
      <c r="B153" s="3"/>
      <c r="C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6.5" customHeight="1">
      <c r="A154" s="3"/>
      <c r="B154" s="3"/>
      <c r="C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6.5" customHeight="1">
      <c r="A155" s="3"/>
      <c r="B155" s="3"/>
      <c r="C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6.5" customHeight="1">
      <c r="A156" s="3"/>
      <c r="B156" s="3"/>
      <c r="C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6.5" customHeight="1">
      <c r="A157" s="3"/>
      <c r="B157" s="3"/>
      <c r="C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6.5" customHeight="1">
      <c r="A158" s="3"/>
      <c r="B158" s="3"/>
      <c r="C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6.5" customHeight="1">
      <c r="A159" s="3"/>
      <c r="B159" s="3"/>
      <c r="C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6.5" customHeight="1">
      <c r="A160" s="3"/>
      <c r="B160" s="3"/>
      <c r="C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6.5" customHeight="1">
      <c r="A161" s="3"/>
      <c r="B161" s="3"/>
      <c r="C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6.5" customHeight="1">
      <c r="A162" s="3"/>
      <c r="B162" s="3"/>
      <c r="C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6.5" customHeight="1">
      <c r="A163" s="3"/>
      <c r="B163" s="3"/>
      <c r="C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6.5" customHeight="1">
      <c r="A164" s="3"/>
      <c r="B164" s="3"/>
      <c r="C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6.5" customHeight="1">
      <c r="A165" s="3"/>
      <c r="B165" s="3"/>
      <c r="C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6.5" customHeight="1">
      <c r="A166" s="3"/>
      <c r="B166" s="3"/>
      <c r="C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6.5" customHeight="1">
      <c r="A167" s="3"/>
      <c r="B167" s="3"/>
      <c r="C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6.5" customHeight="1">
      <c r="A168" s="3"/>
      <c r="B168" s="3"/>
      <c r="C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6.5" customHeight="1">
      <c r="A169" s="3"/>
      <c r="B169" s="3"/>
      <c r="C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6.5" customHeight="1">
      <c r="A170" s="3"/>
      <c r="B170" s="3"/>
      <c r="C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6.5" customHeight="1">
      <c r="A171" s="3"/>
      <c r="B171" s="3"/>
      <c r="C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6.5" customHeight="1">
      <c r="A172" s="3"/>
      <c r="B172" s="3"/>
      <c r="C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6.5" customHeight="1">
      <c r="A173" s="3"/>
      <c r="B173" s="3"/>
      <c r="C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6.5" customHeight="1">
      <c r="A174" s="3"/>
      <c r="B174" s="3"/>
      <c r="C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6.5" customHeight="1">
      <c r="A175" s="3"/>
      <c r="B175" s="3"/>
      <c r="C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6.5" customHeight="1">
      <c r="A176" s="3"/>
      <c r="B176" s="3"/>
      <c r="C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6.5" customHeight="1">
      <c r="A177" s="3"/>
      <c r="B177" s="3"/>
      <c r="C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6.5" customHeight="1">
      <c r="A178" s="3"/>
      <c r="B178" s="3"/>
      <c r="C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6.5" customHeight="1">
      <c r="A179" s="3"/>
      <c r="B179" s="3"/>
      <c r="C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6.5" customHeight="1">
      <c r="A180" s="3"/>
      <c r="B180" s="3"/>
      <c r="C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6.5" customHeight="1">
      <c r="A181" s="3"/>
      <c r="B181" s="3"/>
      <c r="C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6.5" customHeight="1">
      <c r="A182" s="3"/>
      <c r="B182" s="3"/>
      <c r="C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6.5" customHeight="1">
      <c r="A183" s="3"/>
      <c r="B183" s="3"/>
      <c r="C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6.5" customHeight="1">
      <c r="A184" s="3"/>
      <c r="B184" s="3"/>
      <c r="C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6.5" customHeight="1">
      <c r="A185" s="3"/>
      <c r="B185" s="3"/>
      <c r="C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6.5" customHeight="1">
      <c r="A186" s="3"/>
      <c r="B186" s="3"/>
      <c r="C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6.5" customHeight="1">
      <c r="A187" s="3"/>
      <c r="B187" s="3"/>
      <c r="C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6.5" customHeight="1">
      <c r="A188" s="3"/>
      <c r="B188" s="3"/>
      <c r="C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6.5" customHeight="1">
      <c r="A189" s="3"/>
      <c r="B189" s="3"/>
      <c r="C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6.5" customHeight="1">
      <c r="A190" s="3"/>
      <c r="B190" s="3"/>
      <c r="C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6.5" customHeight="1">
      <c r="A191" s="3"/>
      <c r="B191" s="3"/>
      <c r="C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6.5" customHeight="1">
      <c r="A192" s="3"/>
      <c r="B192" s="3"/>
      <c r="C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6.5" customHeight="1">
      <c r="A193" s="3"/>
      <c r="B193" s="3"/>
      <c r="C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6.5" customHeight="1">
      <c r="A194" s="3"/>
      <c r="B194" s="3"/>
      <c r="C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6.5" customHeight="1">
      <c r="A195" s="3"/>
      <c r="B195" s="3"/>
      <c r="C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6.5" customHeight="1">
      <c r="A196" s="3"/>
      <c r="B196" s="3"/>
      <c r="C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6.5" customHeight="1">
      <c r="A197" s="3"/>
      <c r="B197" s="3"/>
      <c r="C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6.5" customHeight="1">
      <c r="A198" s="3"/>
      <c r="B198" s="3"/>
      <c r="C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6.5" customHeight="1">
      <c r="A199" s="3"/>
      <c r="B199" s="3"/>
      <c r="C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6.5" customHeight="1">
      <c r="A200" s="3"/>
      <c r="B200" s="3"/>
      <c r="C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6.5" customHeight="1">
      <c r="A201" s="3"/>
      <c r="B201" s="3"/>
      <c r="C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6.5" customHeight="1">
      <c r="A202" s="3"/>
      <c r="B202" s="3"/>
      <c r="C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6.5" customHeight="1">
      <c r="A203" s="3"/>
      <c r="B203" s="3"/>
      <c r="C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6.5" customHeight="1">
      <c r="A204" s="3"/>
      <c r="B204" s="3"/>
      <c r="C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6.5" customHeight="1">
      <c r="A205" s="3"/>
      <c r="B205" s="3"/>
      <c r="C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6.5" customHeight="1">
      <c r="A206" s="3"/>
      <c r="B206" s="3"/>
      <c r="C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6.5" customHeight="1">
      <c r="A207" s="3"/>
      <c r="B207" s="3"/>
      <c r="C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6.5" customHeight="1">
      <c r="A208" s="3"/>
      <c r="B208" s="3"/>
      <c r="C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6.5" customHeight="1">
      <c r="A209" s="3"/>
      <c r="B209" s="3"/>
      <c r="C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6.5" customHeight="1">
      <c r="A210" s="3"/>
      <c r="B210" s="3"/>
      <c r="C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6.5" customHeight="1">
      <c r="A211" s="3"/>
      <c r="B211" s="3"/>
      <c r="C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6.5" customHeight="1">
      <c r="A212" s="3"/>
      <c r="B212" s="3"/>
      <c r="C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6.5" customHeight="1">
      <c r="A213" s="3"/>
      <c r="B213" s="3"/>
      <c r="C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6.5" customHeight="1">
      <c r="A214" s="3"/>
      <c r="B214" s="3"/>
      <c r="C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6.5" customHeight="1">
      <c r="A215" s="3"/>
      <c r="B215" s="3"/>
      <c r="C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6.5" customHeight="1">
      <c r="A216" s="3"/>
      <c r="B216" s="3"/>
      <c r="C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6.5" customHeight="1">
      <c r="A217" s="3"/>
      <c r="B217" s="3"/>
      <c r="C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6.5" customHeight="1">
      <c r="A218" s="3"/>
      <c r="B218" s="3"/>
      <c r="C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6.5" customHeight="1">
      <c r="A219" s="3"/>
      <c r="B219" s="3"/>
      <c r="C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6.5" customHeight="1">
      <c r="A220" s="3"/>
      <c r="B220" s="3"/>
      <c r="C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6.5" customHeight="1">
      <c r="A221" s="3"/>
      <c r="B221" s="3"/>
      <c r="C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6.5" customHeight="1">
      <c r="A222" s="3"/>
      <c r="B222" s="3"/>
      <c r="C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6.5" customHeight="1">
      <c r="A223" s="3"/>
      <c r="B223" s="3"/>
      <c r="C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6.5" customHeight="1">
      <c r="A224" s="3"/>
      <c r="B224" s="3"/>
      <c r="C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6.5" customHeight="1">
      <c r="A225" s="3"/>
      <c r="B225" s="3"/>
      <c r="C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6.5" customHeight="1">
      <c r="A226" s="3"/>
      <c r="B226" s="3"/>
      <c r="C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6.5" customHeight="1">
      <c r="A227" s="3"/>
      <c r="B227" s="3"/>
      <c r="C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6.5" customHeight="1">
      <c r="A228" s="3"/>
      <c r="B228" s="3"/>
      <c r="C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6.5" customHeight="1">
      <c r="A229" s="3"/>
      <c r="B229" s="3"/>
      <c r="C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6.5" customHeight="1">
      <c r="A230" s="3"/>
      <c r="B230" s="3"/>
      <c r="C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6.5" customHeight="1">
      <c r="A231" s="3"/>
      <c r="B231" s="3"/>
      <c r="C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6.5" customHeight="1">
      <c r="A232" s="3"/>
      <c r="B232" s="3"/>
      <c r="C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6.5" customHeight="1">
      <c r="A233" s="3"/>
      <c r="B233" s="3"/>
      <c r="C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6.5" customHeight="1">
      <c r="A234" s="3"/>
      <c r="B234" s="3"/>
      <c r="C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6.5" customHeight="1">
      <c r="A235" s="3"/>
      <c r="B235" s="3"/>
      <c r="C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6.5" customHeight="1">
      <c r="A236" s="3"/>
      <c r="B236" s="3"/>
      <c r="C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6.5" customHeight="1">
      <c r="A237" s="3"/>
      <c r="B237" s="3"/>
      <c r="C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6.5" customHeight="1">
      <c r="A238" s="3"/>
      <c r="B238" s="3"/>
      <c r="C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6.5" customHeight="1">
      <c r="A239" s="3"/>
      <c r="B239" s="3"/>
      <c r="C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6.5" customHeight="1">
      <c r="A240" s="3"/>
      <c r="B240" s="3"/>
      <c r="C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6.5" customHeight="1">
      <c r="A241" s="3"/>
      <c r="B241" s="3"/>
      <c r="C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6.5" customHeight="1">
      <c r="A242" s="3"/>
      <c r="B242" s="3"/>
      <c r="C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6.5" customHeight="1">
      <c r="A243" s="3"/>
      <c r="B243" s="3"/>
      <c r="C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6.5" customHeight="1">
      <c r="A244" s="3"/>
      <c r="B244" s="3"/>
      <c r="C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6.5" customHeight="1">
      <c r="A245" s="3"/>
      <c r="B245" s="3"/>
      <c r="C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6.5" customHeight="1">
      <c r="A246" s="3"/>
      <c r="B246" s="3"/>
      <c r="C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6.5" customHeight="1">
      <c r="A247" s="3"/>
      <c r="B247" s="3"/>
      <c r="C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6.5" customHeight="1">
      <c r="A248" s="3"/>
      <c r="B248" s="3"/>
      <c r="C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6.5" customHeight="1">
      <c r="A249" s="3"/>
      <c r="B249" s="3"/>
      <c r="C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6.5" customHeight="1">
      <c r="A250" s="3"/>
      <c r="B250" s="3"/>
      <c r="C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6.5" customHeight="1">
      <c r="A251" s="3"/>
      <c r="B251" s="3"/>
      <c r="C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6.5" customHeight="1">
      <c r="A252" s="3"/>
      <c r="B252" s="3"/>
      <c r="C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6.5" customHeight="1">
      <c r="A253" s="3"/>
      <c r="B253" s="3"/>
      <c r="C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6.5" customHeight="1">
      <c r="A254" s="3"/>
      <c r="B254" s="3"/>
      <c r="C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6.5" customHeight="1">
      <c r="A255" s="3"/>
      <c r="B255" s="3"/>
      <c r="C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6.5" customHeight="1">
      <c r="A256" s="3"/>
      <c r="B256" s="3"/>
      <c r="C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6.5" customHeight="1">
      <c r="A257" s="3"/>
      <c r="B257" s="3"/>
      <c r="C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6.5" customHeight="1">
      <c r="A258" s="3"/>
      <c r="B258" s="3"/>
      <c r="C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6.5" customHeight="1">
      <c r="A259" s="3"/>
      <c r="B259" s="3"/>
      <c r="C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6.5" customHeight="1">
      <c r="A260" s="3"/>
      <c r="B260" s="3"/>
      <c r="C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6.5" customHeight="1">
      <c r="A261" s="3"/>
      <c r="B261" s="3"/>
      <c r="C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6.5" customHeight="1">
      <c r="A262" s="3"/>
      <c r="B262" s="3"/>
      <c r="C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6.5" customHeight="1">
      <c r="A263" s="3"/>
      <c r="B263" s="3"/>
      <c r="C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6.5" customHeight="1">
      <c r="A264" s="3"/>
      <c r="B264" s="3"/>
      <c r="C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6.5" customHeight="1">
      <c r="A265" s="3"/>
      <c r="B265" s="3"/>
      <c r="C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6.5" customHeight="1">
      <c r="A266" s="3"/>
      <c r="B266" s="3"/>
      <c r="C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6.5" customHeight="1">
      <c r="A267" s="3"/>
      <c r="B267" s="3"/>
      <c r="C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6.5" customHeight="1">
      <c r="A268" s="3"/>
      <c r="B268" s="3"/>
      <c r="C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6.5" customHeight="1">
      <c r="A269" s="3"/>
      <c r="B269" s="3"/>
      <c r="C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6.5" customHeight="1">
      <c r="A270" s="3"/>
      <c r="B270" s="3"/>
      <c r="C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6.5" customHeight="1">
      <c r="A271" s="3"/>
      <c r="B271" s="3"/>
      <c r="C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6.5" customHeight="1">
      <c r="A272" s="3"/>
      <c r="B272" s="3"/>
      <c r="C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6.5" customHeight="1">
      <c r="A273" s="3"/>
      <c r="B273" s="3"/>
      <c r="C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6.5" customHeight="1">
      <c r="A274" s="3"/>
      <c r="B274" s="3"/>
      <c r="C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6.5" customHeight="1">
      <c r="A275" s="3"/>
      <c r="B275" s="3"/>
      <c r="C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6.5" customHeight="1">
      <c r="A276" s="3"/>
      <c r="B276" s="3"/>
      <c r="C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6.5" customHeight="1">
      <c r="A277" s="3"/>
      <c r="B277" s="3"/>
      <c r="C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6.5" customHeight="1">
      <c r="A278" s="3"/>
      <c r="B278" s="3"/>
      <c r="C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6.5" customHeight="1">
      <c r="A279" s="3"/>
      <c r="B279" s="3"/>
      <c r="C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6.5" customHeight="1">
      <c r="A280" s="3"/>
      <c r="B280" s="3"/>
      <c r="C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6.5" customHeight="1">
      <c r="A281" s="3"/>
      <c r="B281" s="3"/>
      <c r="C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6.5" customHeight="1">
      <c r="A282" s="3"/>
      <c r="B282" s="3"/>
      <c r="C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6.5" customHeight="1">
      <c r="A283" s="3"/>
      <c r="B283" s="3"/>
      <c r="C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6.5" customHeight="1">
      <c r="A284" s="3"/>
      <c r="B284" s="3"/>
      <c r="C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6.5" customHeight="1">
      <c r="A285" s="3"/>
      <c r="B285" s="3"/>
      <c r="C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6.5" customHeight="1">
      <c r="A286" s="3"/>
      <c r="B286" s="3"/>
      <c r="C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6.5" customHeight="1">
      <c r="A287" s="3"/>
      <c r="B287" s="3"/>
      <c r="C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6.5" customHeight="1">
      <c r="A288" s="3"/>
      <c r="B288" s="3"/>
      <c r="C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6.5" customHeight="1">
      <c r="A289" s="3"/>
      <c r="B289" s="3"/>
      <c r="C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6.5" customHeight="1">
      <c r="A290" s="3"/>
      <c r="B290" s="3"/>
      <c r="C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6.5" customHeight="1">
      <c r="A291" s="3"/>
      <c r="B291" s="3"/>
      <c r="C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6.5" customHeight="1">
      <c r="A292" s="3"/>
      <c r="B292" s="3"/>
      <c r="C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6.5" customHeight="1">
      <c r="A293" s="3"/>
      <c r="B293" s="3"/>
      <c r="C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6.5" customHeight="1">
      <c r="A294" s="3"/>
      <c r="B294" s="3"/>
      <c r="C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6.5" customHeight="1">
      <c r="A295" s="3"/>
      <c r="B295" s="3"/>
      <c r="C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6.5" customHeight="1">
      <c r="A296" s="3"/>
      <c r="B296" s="3"/>
      <c r="C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6.5" customHeight="1">
      <c r="A297" s="3"/>
      <c r="B297" s="3"/>
      <c r="C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6.5" customHeight="1">
      <c r="A298" s="3"/>
      <c r="B298" s="3"/>
      <c r="C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6.5" customHeight="1">
      <c r="A299" s="3"/>
      <c r="B299" s="3"/>
      <c r="C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6.5" customHeight="1">
      <c r="A300" s="3"/>
      <c r="B300" s="3"/>
      <c r="C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6.5" customHeight="1">
      <c r="A301" s="3"/>
      <c r="B301" s="3"/>
      <c r="C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6.5" customHeight="1">
      <c r="A302" s="3"/>
      <c r="B302" s="3"/>
      <c r="C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6.5" customHeight="1">
      <c r="A303" s="3"/>
      <c r="B303" s="3"/>
      <c r="C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6.5" customHeight="1">
      <c r="A304" s="3"/>
      <c r="B304" s="3"/>
      <c r="C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6.5" customHeight="1">
      <c r="A305" s="3"/>
      <c r="B305" s="3"/>
      <c r="C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6.5" customHeight="1">
      <c r="A306" s="3"/>
      <c r="B306" s="3"/>
      <c r="C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6.5" customHeight="1">
      <c r="A307" s="3"/>
      <c r="B307" s="3"/>
      <c r="C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6.5" customHeight="1">
      <c r="A308" s="3"/>
      <c r="B308" s="3"/>
      <c r="C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6.5" customHeight="1">
      <c r="A309" s="3"/>
      <c r="B309" s="3"/>
      <c r="C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6.5" customHeight="1">
      <c r="A310" s="3"/>
      <c r="B310" s="3"/>
      <c r="C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6.5" customHeight="1">
      <c r="A311" s="3"/>
      <c r="B311" s="3"/>
      <c r="C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6.5" customHeight="1">
      <c r="A312" s="3"/>
      <c r="B312" s="3"/>
      <c r="C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6.5" customHeight="1">
      <c r="A313" s="3"/>
      <c r="B313" s="3"/>
      <c r="C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6.5" customHeight="1">
      <c r="A314" s="3"/>
      <c r="B314" s="3"/>
      <c r="C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6.5" customHeight="1">
      <c r="A315" s="3"/>
      <c r="B315" s="3"/>
      <c r="C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6.5" customHeight="1">
      <c r="A316" s="3"/>
      <c r="B316" s="3"/>
      <c r="C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6.5" customHeight="1">
      <c r="A317" s="3"/>
      <c r="B317" s="3"/>
      <c r="C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6.5" customHeight="1">
      <c r="A318" s="3"/>
      <c r="B318" s="3"/>
      <c r="C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6.5" customHeight="1">
      <c r="A319" s="3"/>
      <c r="B319" s="3"/>
      <c r="C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6.5" customHeight="1">
      <c r="A320" s="3"/>
      <c r="B320" s="3"/>
      <c r="C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6.5" customHeight="1">
      <c r="A321" s="3"/>
      <c r="B321" s="3"/>
      <c r="C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6.5" customHeight="1">
      <c r="A322" s="3"/>
      <c r="B322" s="3"/>
      <c r="C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6.5" customHeight="1">
      <c r="A323" s="3"/>
      <c r="B323" s="3"/>
      <c r="C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6.5" customHeight="1">
      <c r="A324" s="3"/>
      <c r="B324" s="3"/>
      <c r="C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6.5" customHeight="1">
      <c r="A325" s="3"/>
      <c r="B325" s="3"/>
      <c r="C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6.5" customHeight="1">
      <c r="A326" s="3"/>
      <c r="B326" s="3"/>
      <c r="C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6.5" customHeight="1">
      <c r="A327" s="3"/>
      <c r="B327" s="3"/>
      <c r="C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6.5" customHeight="1">
      <c r="A328" s="3"/>
      <c r="B328" s="3"/>
      <c r="C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6.5" customHeight="1">
      <c r="A329" s="3"/>
      <c r="B329" s="3"/>
      <c r="C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6.5" customHeight="1">
      <c r="A330" s="3"/>
      <c r="B330" s="3"/>
      <c r="C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6.5" customHeight="1">
      <c r="A331" s="3"/>
      <c r="B331" s="3"/>
      <c r="C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6.5" customHeight="1">
      <c r="A332" s="3"/>
      <c r="B332" s="3"/>
      <c r="C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6.5" customHeight="1">
      <c r="A333" s="3"/>
      <c r="B333" s="3"/>
      <c r="C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6.5" customHeight="1">
      <c r="A334" s="3"/>
      <c r="B334" s="3"/>
      <c r="C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6.5" customHeight="1">
      <c r="A335" s="3"/>
      <c r="B335" s="3"/>
      <c r="C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6.5" customHeight="1">
      <c r="A336" s="3"/>
      <c r="B336" s="3"/>
      <c r="C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6.5" customHeight="1">
      <c r="A337" s="3"/>
      <c r="B337" s="3"/>
      <c r="C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6.5" customHeight="1">
      <c r="A338" s="3"/>
      <c r="B338" s="3"/>
      <c r="C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6.5" customHeight="1">
      <c r="A339" s="3"/>
      <c r="B339" s="3"/>
      <c r="C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6.5" customHeight="1">
      <c r="A340" s="3"/>
      <c r="B340" s="3"/>
      <c r="C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6.5" customHeight="1">
      <c r="A341" s="3"/>
      <c r="B341" s="3"/>
      <c r="C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6.5" customHeight="1">
      <c r="A342" s="3"/>
      <c r="B342" s="3"/>
      <c r="C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6.5" customHeight="1">
      <c r="A343" s="3"/>
      <c r="B343" s="3"/>
      <c r="C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6.5" customHeight="1">
      <c r="A344" s="3"/>
      <c r="B344" s="3"/>
      <c r="C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6.5" customHeight="1">
      <c r="A345" s="3"/>
      <c r="B345" s="3"/>
      <c r="C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6.5" customHeight="1">
      <c r="A346" s="3"/>
      <c r="B346" s="3"/>
      <c r="C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6.5" customHeight="1">
      <c r="A347" s="3"/>
      <c r="B347" s="3"/>
      <c r="C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6.5" customHeight="1">
      <c r="A348" s="3"/>
      <c r="B348" s="3"/>
      <c r="C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6.5" customHeight="1">
      <c r="A349" s="3"/>
      <c r="B349" s="3"/>
      <c r="C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6.5" customHeight="1">
      <c r="A350" s="3"/>
      <c r="B350" s="3"/>
      <c r="C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6.5" customHeight="1">
      <c r="A351" s="3"/>
      <c r="B351" s="3"/>
      <c r="C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6.5" customHeight="1">
      <c r="A352" s="3"/>
      <c r="B352" s="3"/>
      <c r="C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6.5" customHeight="1">
      <c r="A353" s="3"/>
      <c r="B353" s="3"/>
      <c r="C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6.5" customHeight="1">
      <c r="A354" s="3"/>
      <c r="B354" s="3"/>
      <c r="C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6.5" customHeight="1">
      <c r="A355" s="3"/>
      <c r="B355" s="3"/>
      <c r="C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6.5" customHeight="1">
      <c r="A356" s="3"/>
      <c r="B356" s="3"/>
      <c r="C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6.5" customHeight="1">
      <c r="A357" s="3"/>
      <c r="B357" s="3"/>
      <c r="C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6.5" customHeight="1">
      <c r="A358" s="3"/>
      <c r="B358" s="3"/>
      <c r="C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6.5" customHeight="1">
      <c r="A359" s="3"/>
      <c r="B359" s="3"/>
      <c r="C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6.5" customHeight="1">
      <c r="A360" s="3"/>
      <c r="B360" s="3"/>
      <c r="C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6.5" customHeight="1">
      <c r="A361" s="3"/>
      <c r="B361" s="3"/>
      <c r="C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6.5" customHeight="1">
      <c r="A362" s="3"/>
      <c r="B362" s="3"/>
      <c r="C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6.5" customHeight="1">
      <c r="A363" s="3"/>
      <c r="B363" s="3"/>
      <c r="C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6.5" customHeight="1">
      <c r="A364" s="3"/>
      <c r="B364" s="3"/>
      <c r="C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6.5" customHeight="1">
      <c r="A365" s="3"/>
      <c r="B365" s="3"/>
      <c r="C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6.5" customHeight="1">
      <c r="A366" s="3"/>
      <c r="B366" s="3"/>
      <c r="C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6.5" customHeight="1">
      <c r="A367" s="3"/>
      <c r="B367" s="3"/>
      <c r="C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6.5" customHeight="1">
      <c r="A368" s="3"/>
      <c r="B368" s="3"/>
      <c r="C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6.5" customHeight="1">
      <c r="A369" s="3"/>
      <c r="B369" s="3"/>
      <c r="C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6.5" customHeight="1">
      <c r="A370" s="3"/>
      <c r="B370" s="3"/>
      <c r="C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6.5" customHeight="1">
      <c r="A371" s="3"/>
      <c r="B371" s="3"/>
      <c r="C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6.5" customHeight="1">
      <c r="A372" s="3"/>
      <c r="B372" s="3"/>
      <c r="C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6.5" customHeight="1">
      <c r="A373" s="3"/>
      <c r="B373" s="3"/>
      <c r="C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6.5" customHeight="1">
      <c r="A374" s="3"/>
      <c r="B374" s="3"/>
      <c r="C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6.5" customHeight="1">
      <c r="A375" s="3"/>
      <c r="B375" s="3"/>
      <c r="C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6.5" customHeight="1">
      <c r="A376" s="3"/>
      <c r="B376" s="3"/>
      <c r="C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6.5" customHeight="1">
      <c r="A377" s="3"/>
      <c r="B377" s="3"/>
      <c r="C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6.5" customHeight="1">
      <c r="A378" s="3"/>
      <c r="B378" s="3"/>
      <c r="C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6.5" customHeight="1">
      <c r="A379" s="3"/>
      <c r="B379" s="3"/>
      <c r="C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6.5" customHeight="1">
      <c r="A380" s="3"/>
      <c r="B380" s="3"/>
      <c r="C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6.5" customHeight="1">
      <c r="A381" s="3"/>
      <c r="B381" s="3"/>
      <c r="C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6.5" customHeight="1">
      <c r="A382" s="3"/>
      <c r="B382" s="3"/>
      <c r="C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6.5" customHeight="1">
      <c r="A383" s="3"/>
      <c r="B383" s="3"/>
      <c r="C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6.5" customHeight="1">
      <c r="A384" s="3"/>
      <c r="B384" s="3"/>
      <c r="C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6.5" customHeight="1">
      <c r="A385" s="3"/>
      <c r="B385" s="3"/>
      <c r="C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6.5" customHeight="1">
      <c r="A386" s="3"/>
      <c r="B386" s="3"/>
      <c r="C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6.5" customHeight="1">
      <c r="A387" s="3"/>
      <c r="B387" s="3"/>
      <c r="C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6.5" customHeight="1">
      <c r="A388" s="3"/>
      <c r="B388" s="3"/>
      <c r="C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6.5" customHeight="1">
      <c r="A389" s="3"/>
      <c r="B389" s="3"/>
      <c r="C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6.5" customHeight="1">
      <c r="A390" s="3"/>
      <c r="B390" s="3"/>
      <c r="C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6.5" customHeight="1">
      <c r="A391" s="3"/>
      <c r="B391" s="3"/>
      <c r="C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6.5" customHeight="1">
      <c r="A392" s="3"/>
      <c r="B392" s="3"/>
      <c r="C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6.5" customHeight="1">
      <c r="A393" s="3"/>
      <c r="B393" s="3"/>
      <c r="C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6.5" customHeight="1">
      <c r="A394" s="3"/>
      <c r="B394" s="3"/>
      <c r="C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6.5" customHeight="1">
      <c r="A395" s="3"/>
      <c r="B395" s="3"/>
      <c r="C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6.5" customHeight="1">
      <c r="A396" s="3"/>
      <c r="B396" s="3"/>
      <c r="C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6.5" customHeight="1">
      <c r="A397" s="3"/>
      <c r="B397" s="3"/>
      <c r="C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6.5" customHeight="1">
      <c r="A398" s="3"/>
      <c r="B398" s="3"/>
      <c r="C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6.5" customHeight="1">
      <c r="A399" s="3"/>
      <c r="B399" s="3"/>
      <c r="C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6.5" customHeight="1">
      <c r="A400" s="3"/>
      <c r="B400" s="3"/>
      <c r="C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6.5" customHeight="1">
      <c r="A401" s="3"/>
      <c r="B401" s="3"/>
      <c r="C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6.5" customHeight="1">
      <c r="A402" s="3"/>
      <c r="B402" s="3"/>
      <c r="C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6.5" customHeight="1">
      <c r="A403" s="3"/>
      <c r="B403" s="3"/>
      <c r="C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6.5" customHeight="1">
      <c r="A404" s="3"/>
      <c r="B404" s="3"/>
      <c r="C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6.5" customHeight="1">
      <c r="A405" s="3"/>
      <c r="B405" s="3"/>
      <c r="C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6.5" customHeight="1">
      <c r="A406" s="3"/>
      <c r="B406" s="3"/>
      <c r="C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6.5" customHeight="1">
      <c r="A407" s="3"/>
      <c r="B407" s="3"/>
      <c r="C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6.5" customHeight="1">
      <c r="A408" s="3"/>
      <c r="B408" s="3"/>
      <c r="C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6.5" customHeight="1">
      <c r="A409" s="3"/>
      <c r="B409" s="3"/>
      <c r="C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6.5" customHeight="1">
      <c r="A410" s="3"/>
      <c r="B410" s="3"/>
      <c r="C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6.5" customHeight="1">
      <c r="A411" s="3"/>
      <c r="B411" s="3"/>
      <c r="C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6.5" customHeight="1">
      <c r="A412" s="3"/>
      <c r="B412" s="3"/>
      <c r="C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6.5" customHeight="1">
      <c r="A413" s="3"/>
      <c r="B413" s="3"/>
      <c r="C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6.5" customHeight="1">
      <c r="A414" s="3"/>
      <c r="B414" s="3"/>
      <c r="C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6.5" customHeight="1">
      <c r="A415" s="3"/>
      <c r="B415" s="3"/>
      <c r="C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6.5" customHeight="1">
      <c r="A416" s="3"/>
      <c r="B416" s="3"/>
      <c r="C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6.5" customHeight="1">
      <c r="A417" s="3"/>
      <c r="B417" s="3"/>
      <c r="C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6.5" customHeight="1">
      <c r="A418" s="3"/>
      <c r="B418" s="3"/>
      <c r="C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6.5" customHeight="1">
      <c r="A419" s="3"/>
      <c r="B419" s="3"/>
      <c r="C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6.5" customHeight="1">
      <c r="A420" s="3"/>
      <c r="B420" s="3"/>
      <c r="C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6.5" customHeight="1">
      <c r="A421" s="3"/>
      <c r="B421" s="3"/>
      <c r="C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6.5" customHeight="1">
      <c r="A422" s="3"/>
      <c r="B422" s="3"/>
      <c r="C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6.5" customHeight="1">
      <c r="A423" s="3"/>
      <c r="B423" s="3"/>
      <c r="C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6.5" customHeight="1">
      <c r="A424" s="3"/>
      <c r="B424" s="3"/>
      <c r="C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6.5" customHeight="1">
      <c r="A425" s="3"/>
      <c r="B425" s="3"/>
      <c r="C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6.5" customHeight="1">
      <c r="A426" s="3"/>
      <c r="B426" s="3"/>
      <c r="C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6.5" customHeight="1">
      <c r="A427" s="3"/>
      <c r="B427" s="3"/>
      <c r="C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6.5" customHeight="1">
      <c r="A428" s="3"/>
      <c r="B428" s="3"/>
      <c r="C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6.5" customHeight="1">
      <c r="A429" s="3"/>
      <c r="B429" s="3"/>
      <c r="C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6.5" customHeight="1">
      <c r="A430" s="3"/>
      <c r="B430" s="3"/>
      <c r="C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6.5" customHeight="1">
      <c r="A431" s="3"/>
      <c r="B431" s="3"/>
      <c r="C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6.5" customHeight="1">
      <c r="A432" s="3"/>
      <c r="B432" s="3"/>
      <c r="C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6.5" customHeight="1">
      <c r="A433" s="3"/>
      <c r="B433" s="3"/>
      <c r="C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6.5" customHeight="1">
      <c r="A434" s="3"/>
      <c r="B434" s="3"/>
      <c r="C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6.5" customHeight="1">
      <c r="A435" s="3"/>
      <c r="B435" s="3"/>
      <c r="C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6.5" customHeight="1">
      <c r="A436" s="3"/>
      <c r="B436" s="3"/>
      <c r="C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6.5" customHeight="1">
      <c r="A437" s="3"/>
      <c r="B437" s="3"/>
      <c r="C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6.5" customHeight="1">
      <c r="A438" s="3"/>
      <c r="B438" s="3"/>
      <c r="C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6.5" customHeight="1">
      <c r="A439" s="3"/>
      <c r="B439" s="3"/>
      <c r="C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6.5" customHeight="1">
      <c r="A440" s="3"/>
      <c r="B440" s="3"/>
      <c r="C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6.5" customHeight="1">
      <c r="A441" s="3"/>
      <c r="B441" s="3"/>
      <c r="C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6.5" customHeight="1">
      <c r="A442" s="3"/>
      <c r="B442" s="3"/>
      <c r="C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6.5" customHeight="1">
      <c r="A443" s="3"/>
      <c r="B443" s="3"/>
      <c r="C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6.5" customHeight="1">
      <c r="A444" s="3"/>
      <c r="B444" s="3"/>
      <c r="C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6.5" customHeight="1">
      <c r="A445" s="3"/>
      <c r="B445" s="3"/>
      <c r="C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6.5" customHeight="1">
      <c r="A446" s="3"/>
      <c r="B446" s="3"/>
      <c r="C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6.5" customHeight="1">
      <c r="A447" s="3"/>
      <c r="B447" s="3"/>
      <c r="C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6.5" customHeight="1">
      <c r="A448" s="3"/>
      <c r="B448" s="3"/>
      <c r="C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6.5" customHeight="1">
      <c r="A449" s="3"/>
      <c r="B449" s="3"/>
      <c r="C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6.5" customHeight="1">
      <c r="A450" s="3"/>
      <c r="B450" s="3"/>
      <c r="C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6.5" customHeight="1">
      <c r="A451" s="3"/>
      <c r="B451" s="3"/>
      <c r="C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6.5" customHeight="1">
      <c r="A452" s="3"/>
      <c r="B452" s="3"/>
      <c r="C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6.5" customHeight="1">
      <c r="A453" s="3"/>
      <c r="B453" s="3"/>
      <c r="C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6.5" customHeight="1">
      <c r="A454" s="3"/>
      <c r="B454" s="3"/>
      <c r="C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6.5" customHeight="1">
      <c r="A455" s="3"/>
      <c r="B455" s="3"/>
      <c r="C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6.5" customHeight="1">
      <c r="A456" s="3"/>
      <c r="B456" s="3"/>
      <c r="C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6.5" customHeight="1">
      <c r="A457" s="3"/>
      <c r="B457" s="3"/>
      <c r="C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6.5" customHeight="1">
      <c r="A458" s="3"/>
      <c r="B458" s="3"/>
      <c r="C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6.5" customHeight="1">
      <c r="A459" s="3"/>
      <c r="B459" s="3"/>
      <c r="C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6.5" customHeight="1">
      <c r="A460" s="3"/>
      <c r="B460" s="3"/>
      <c r="C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6.5" customHeight="1">
      <c r="A461" s="3"/>
      <c r="B461" s="3"/>
      <c r="C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6.5" customHeight="1">
      <c r="A462" s="3"/>
      <c r="B462" s="3"/>
      <c r="C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6.5" customHeight="1">
      <c r="A463" s="3"/>
      <c r="B463" s="3"/>
      <c r="C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6.5" customHeight="1">
      <c r="A464" s="3"/>
      <c r="B464" s="3"/>
      <c r="C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6.5" customHeight="1">
      <c r="A465" s="3"/>
      <c r="B465" s="3"/>
      <c r="C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6.5" customHeight="1">
      <c r="A466" s="3"/>
      <c r="B466" s="3"/>
      <c r="C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6.5" customHeight="1">
      <c r="A467" s="3"/>
      <c r="B467" s="3"/>
      <c r="C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6.5" customHeight="1">
      <c r="A468" s="3"/>
      <c r="B468" s="3"/>
      <c r="C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6.5" customHeight="1">
      <c r="A469" s="3"/>
      <c r="B469" s="3"/>
      <c r="C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6.5" customHeight="1">
      <c r="A470" s="3"/>
      <c r="B470" s="3"/>
      <c r="C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6.5" customHeight="1">
      <c r="A471" s="3"/>
      <c r="B471" s="3"/>
      <c r="C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6.5" customHeight="1">
      <c r="A472" s="3"/>
      <c r="B472" s="3"/>
      <c r="C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6.5" customHeight="1">
      <c r="A473" s="3"/>
      <c r="B473" s="3"/>
      <c r="C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6.5" customHeight="1">
      <c r="A474" s="3"/>
      <c r="B474" s="3"/>
      <c r="C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6.5" customHeight="1">
      <c r="A475" s="3"/>
      <c r="B475" s="3"/>
      <c r="C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6.5" customHeight="1">
      <c r="A476" s="3"/>
      <c r="B476" s="3"/>
      <c r="C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6.5" customHeight="1">
      <c r="A477" s="3"/>
      <c r="B477" s="3"/>
      <c r="C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6.5" customHeight="1">
      <c r="A478" s="3"/>
      <c r="B478" s="3"/>
      <c r="C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6.5" customHeight="1">
      <c r="A479" s="3"/>
      <c r="B479" s="3"/>
      <c r="C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6.5" customHeight="1">
      <c r="A480" s="3"/>
      <c r="B480" s="3"/>
      <c r="C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6.5" customHeight="1">
      <c r="A481" s="3"/>
      <c r="B481" s="3"/>
      <c r="C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6.5" customHeight="1">
      <c r="A482" s="3"/>
      <c r="B482" s="3"/>
      <c r="C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6.5" customHeight="1">
      <c r="A483" s="3"/>
      <c r="B483" s="3"/>
      <c r="C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6.5" customHeight="1">
      <c r="A484" s="3"/>
      <c r="B484" s="3"/>
      <c r="C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6.5" customHeight="1">
      <c r="A485" s="3"/>
      <c r="B485" s="3"/>
      <c r="C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6.5" customHeight="1">
      <c r="A486" s="3"/>
      <c r="B486" s="3"/>
      <c r="C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6.5" customHeight="1">
      <c r="A487" s="3"/>
      <c r="B487" s="3"/>
      <c r="C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6.5" customHeight="1">
      <c r="A488" s="3"/>
      <c r="B488" s="3"/>
      <c r="C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6.5" customHeight="1">
      <c r="A489" s="3"/>
      <c r="B489" s="3"/>
      <c r="C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6.5" customHeight="1">
      <c r="A490" s="3"/>
      <c r="B490" s="3"/>
      <c r="C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6.5" customHeight="1">
      <c r="A491" s="3"/>
      <c r="B491" s="3"/>
      <c r="C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6.5" customHeight="1">
      <c r="A492" s="3"/>
      <c r="B492" s="3"/>
      <c r="C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6.5" customHeight="1">
      <c r="A493" s="3"/>
      <c r="B493" s="3"/>
      <c r="C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6.5" customHeight="1">
      <c r="A494" s="3"/>
      <c r="B494" s="3"/>
      <c r="C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6.5" customHeight="1">
      <c r="A495" s="3"/>
      <c r="B495" s="3"/>
      <c r="C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6.5" customHeight="1">
      <c r="A496" s="3"/>
      <c r="B496" s="3"/>
      <c r="C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6.5" customHeight="1">
      <c r="A497" s="3"/>
      <c r="B497" s="3"/>
      <c r="C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6.5" customHeight="1">
      <c r="A498" s="3"/>
      <c r="B498" s="3"/>
      <c r="C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6.5" customHeight="1">
      <c r="A499" s="3"/>
      <c r="B499" s="3"/>
      <c r="C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6.5" customHeight="1">
      <c r="A500" s="3"/>
      <c r="B500" s="3"/>
      <c r="C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6.5" customHeight="1">
      <c r="A501" s="3"/>
      <c r="B501" s="3"/>
      <c r="C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6.5" customHeight="1">
      <c r="A502" s="3"/>
      <c r="B502" s="3"/>
      <c r="C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6.5" customHeight="1">
      <c r="A503" s="3"/>
      <c r="B503" s="3"/>
      <c r="C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6.5" customHeight="1">
      <c r="A504" s="3"/>
      <c r="B504" s="3"/>
      <c r="C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6.5" customHeight="1">
      <c r="A505" s="3"/>
      <c r="B505" s="3"/>
      <c r="C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6.5" customHeight="1">
      <c r="A506" s="3"/>
      <c r="B506" s="3"/>
      <c r="C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6.5" customHeight="1">
      <c r="A507" s="3"/>
      <c r="B507" s="3"/>
      <c r="C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6.5" customHeight="1">
      <c r="A508" s="3"/>
      <c r="B508" s="3"/>
      <c r="C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6.5" customHeight="1">
      <c r="A509" s="3"/>
      <c r="B509" s="3"/>
      <c r="C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6.5" customHeight="1">
      <c r="A510" s="3"/>
      <c r="B510" s="3"/>
      <c r="C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6.5" customHeight="1">
      <c r="A511" s="3"/>
      <c r="B511" s="3"/>
      <c r="C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6.5" customHeight="1">
      <c r="A512" s="3"/>
      <c r="B512" s="3"/>
      <c r="C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6.5" customHeight="1">
      <c r="A513" s="3"/>
      <c r="B513" s="3"/>
      <c r="C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6.5" customHeight="1">
      <c r="A514" s="3"/>
      <c r="B514" s="3"/>
      <c r="C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6.5" customHeight="1">
      <c r="A515" s="3"/>
      <c r="B515" s="3"/>
      <c r="C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6.5" customHeight="1">
      <c r="A516" s="3"/>
      <c r="B516" s="3"/>
      <c r="C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6.5" customHeight="1">
      <c r="A517" s="3"/>
      <c r="B517" s="3"/>
      <c r="C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6.5" customHeight="1">
      <c r="A518" s="3"/>
      <c r="B518" s="3"/>
      <c r="C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6.5" customHeight="1">
      <c r="A519" s="3"/>
      <c r="B519" s="3"/>
      <c r="C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6.5" customHeight="1">
      <c r="A520" s="3"/>
      <c r="B520" s="3"/>
      <c r="C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6.5" customHeight="1">
      <c r="A521" s="3"/>
      <c r="B521" s="3"/>
      <c r="C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6.5" customHeight="1">
      <c r="A522" s="3"/>
      <c r="B522" s="3"/>
      <c r="C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6.5" customHeight="1">
      <c r="A523" s="3"/>
      <c r="B523" s="3"/>
      <c r="C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6.5" customHeight="1">
      <c r="A524" s="3"/>
      <c r="B524" s="3"/>
      <c r="C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6.5" customHeight="1">
      <c r="A525" s="3"/>
      <c r="B525" s="3"/>
      <c r="C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6.5" customHeight="1">
      <c r="A526" s="3"/>
      <c r="B526" s="3"/>
      <c r="C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6.5" customHeight="1">
      <c r="A527" s="3"/>
      <c r="B527" s="3"/>
      <c r="C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6.5" customHeight="1">
      <c r="A528" s="3"/>
      <c r="B528" s="3"/>
      <c r="C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6.5" customHeight="1">
      <c r="A529" s="3"/>
      <c r="B529" s="3"/>
      <c r="C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6.5" customHeight="1">
      <c r="A530" s="3"/>
      <c r="B530" s="3"/>
      <c r="C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6.5" customHeight="1">
      <c r="A531" s="3"/>
      <c r="B531" s="3"/>
      <c r="C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6.5" customHeight="1">
      <c r="A532" s="3"/>
      <c r="B532" s="3"/>
      <c r="C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6.5" customHeight="1">
      <c r="A533" s="3"/>
      <c r="B533" s="3"/>
      <c r="C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6.5" customHeight="1">
      <c r="A534" s="3"/>
      <c r="B534" s="3"/>
      <c r="C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6.5" customHeight="1">
      <c r="A535" s="3"/>
      <c r="B535" s="3"/>
      <c r="C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6.5" customHeight="1">
      <c r="A536" s="3"/>
      <c r="B536" s="3"/>
      <c r="C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6.5" customHeight="1">
      <c r="A537" s="3"/>
      <c r="B537" s="3"/>
      <c r="C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6.5" customHeight="1">
      <c r="A538" s="3"/>
      <c r="B538" s="3"/>
      <c r="C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6.5" customHeight="1">
      <c r="A539" s="3"/>
      <c r="B539" s="3"/>
      <c r="C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6.5" customHeight="1">
      <c r="A540" s="3"/>
      <c r="B540" s="3"/>
      <c r="C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6.5" customHeight="1">
      <c r="A541" s="3"/>
      <c r="B541" s="3"/>
      <c r="C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6.5" customHeight="1">
      <c r="A542" s="3"/>
      <c r="B542" s="3"/>
      <c r="C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6.5" customHeight="1">
      <c r="A543" s="3"/>
      <c r="B543" s="3"/>
      <c r="C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6.5" customHeight="1">
      <c r="A544" s="3"/>
      <c r="B544" s="3"/>
      <c r="C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6.5" customHeight="1">
      <c r="A545" s="3"/>
      <c r="B545" s="3"/>
      <c r="C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6.5" customHeight="1">
      <c r="A546" s="3"/>
      <c r="B546" s="3"/>
      <c r="C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6.5" customHeight="1">
      <c r="A547" s="3"/>
      <c r="B547" s="3"/>
      <c r="C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6.5" customHeight="1">
      <c r="A548" s="3"/>
      <c r="B548" s="3"/>
      <c r="C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6.5" customHeight="1">
      <c r="A549" s="3"/>
      <c r="B549" s="3"/>
      <c r="C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6.5" customHeight="1">
      <c r="A550" s="3"/>
      <c r="B550" s="3"/>
      <c r="C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6.5" customHeight="1">
      <c r="A551" s="3"/>
      <c r="B551" s="3"/>
      <c r="C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6.5" customHeight="1">
      <c r="A552" s="3"/>
      <c r="B552" s="3"/>
      <c r="C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6.5" customHeight="1">
      <c r="A553" s="3"/>
      <c r="B553" s="3"/>
      <c r="C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6.5" customHeight="1">
      <c r="A554" s="3"/>
      <c r="B554" s="3"/>
      <c r="C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6.5" customHeight="1">
      <c r="A555" s="3"/>
      <c r="B555" s="3"/>
      <c r="C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6.5" customHeight="1">
      <c r="A556" s="3"/>
      <c r="B556" s="3"/>
      <c r="C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6.5" customHeight="1">
      <c r="A557" s="3"/>
      <c r="B557" s="3"/>
      <c r="C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6.5" customHeight="1">
      <c r="A558" s="3"/>
      <c r="B558" s="3"/>
      <c r="C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6.5" customHeight="1">
      <c r="A559" s="3"/>
      <c r="B559" s="3"/>
      <c r="C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6.5" customHeight="1">
      <c r="A560" s="3"/>
      <c r="B560" s="3"/>
      <c r="C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6.5" customHeight="1">
      <c r="A561" s="3"/>
      <c r="B561" s="3"/>
      <c r="C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6.5" customHeight="1">
      <c r="A562" s="3"/>
      <c r="B562" s="3"/>
      <c r="C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6.5" customHeight="1">
      <c r="A563" s="3"/>
      <c r="B563" s="3"/>
      <c r="C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6.5" customHeight="1">
      <c r="A564" s="3"/>
      <c r="B564" s="3"/>
      <c r="C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6.5" customHeight="1">
      <c r="A565" s="3"/>
      <c r="B565" s="3"/>
      <c r="C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6.5" customHeight="1">
      <c r="A566" s="3"/>
      <c r="B566" s="3"/>
      <c r="C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6.5" customHeight="1">
      <c r="A567" s="3"/>
      <c r="B567" s="3"/>
      <c r="C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6.5" customHeight="1">
      <c r="A568" s="3"/>
      <c r="B568" s="3"/>
      <c r="C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6.5" customHeight="1">
      <c r="A569" s="3"/>
      <c r="B569" s="3"/>
      <c r="C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6.5" customHeight="1">
      <c r="A570" s="3"/>
      <c r="B570" s="3"/>
      <c r="C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6.5" customHeight="1">
      <c r="A571" s="3"/>
      <c r="B571" s="3"/>
      <c r="C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6.5" customHeight="1">
      <c r="A572" s="3"/>
      <c r="B572" s="3"/>
      <c r="C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6.5" customHeight="1">
      <c r="A573" s="3"/>
      <c r="B573" s="3"/>
      <c r="C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6.5" customHeight="1">
      <c r="A574" s="3"/>
      <c r="B574" s="3"/>
      <c r="C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6.5" customHeight="1">
      <c r="A575" s="3"/>
      <c r="B575" s="3"/>
      <c r="C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6.5" customHeight="1">
      <c r="A576" s="3"/>
      <c r="B576" s="3"/>
      <c r="C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6.5" customHeight="1">
      <c r="A577" s="3"/>
      <c r="B577" s="3"/>
      <c r="C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6.5" customHeight="1">
      <c r="A578" s="3"/>
      <c r="B578" s="3"/>
      <c r="C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6.5" customHeight="1">
      <c r="A579" s="3"/>
      <c r="B579" s="3"/>
      <c r="C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6.5" customHeight="1">
      <c r="A580" s="3"/>
      <c r="B580" s="3"/>
      <c r="C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6.5" customHeight="1">
      <c r="A581" s="3"/>
      <c r="B581" s="3"/>
      <c r="C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6.5" customHeight="1">
      <c r="A582" s="3"/>
      <c r="B582" s="3"/>
      <c r="C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6.5" customHeight="1">
      <c r="A583" s="3"/>
      <c r="B583" s="3"/>
      <c r="C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6.5" customHeight="1">
      <c r="A584" s="3"/>
      <c r="B584" s="3"/>
      <c r="C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6.5" customHeight="1">
      <c r="A585" s="3"/>
      <c r="B585" s="3"/>
      <c r="C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6.5" customHeight="1">
      <c r="A586" s="3"/>
      <c r="B586" s="3"/>
      <c r="C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6.5" customHeight="1">
      <c r="A587" s="3"/>
      <c r="B587" s="3"/>
      <c r="C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6.5" customHeight="1">
      <c r="A588" s="3"/>
      <c r="B588" s="3"/>
      <c r="C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6.5" customHeight="1">
      <c r="A589" s="3"/>
      <c r="B589" s="3"/>
      <c r="C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6.5" customHeight="1">
      <c r="A590" s="3"/>
      <c r="B590" s="3"/>
      <c r="C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6.5" customHeight="1">
      <c r="A591" s="3"/>
      <c r="B591" s="3"/>
      <c r="C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6.5" customHeight="1">
      <c r="A592" s="3"/>
      <c r="B592" s="3"/>
      <c r="C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6.5" customHeight="1">
      <c r="A593" s="3"/>
      <c r="B593" s="3"/>
      <c r="C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6.5" customHeight="1">
      <c r="A594" s="3"/>
      <c r="B594" s="3"/>
      <c r="C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6.5" customHeight="1">
      <c r="A595" s="3"/>
      <c r="B595" s="3"/>
      <c r="C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6.5" customHeight="1">
      <c r="A596" s="3"/>
      <c r="B596" s="3"/>
      <c r="C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6.5" customHeight="1">
      <c r="A597" s="3"/>
      <c r="B597" s="3"/>
      <c r="C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6.5" customHeight="1">
      <c r="A598" s="3"/>
      <c r="B598" s="3"/>
      <c r="C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6.5" customHeight="1">
      <c r="A599" s="3"/>
      <c r="B599" s="3"/>
      <c r="C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6.5" customHeight="1">
      <c r="A600" s="3"/>
      <c r="B600" s="3"/>
      <c r="C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6.5" customHeight="1">
      <c r="A601" s="3"/>
      <c r="B601" s="3"/>
      <c r="C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6.5" customHeight="1">
      <c r="A602" s="3"/>
      <c r="B602" s="3"/>
      <c r="C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6.5" customHeight="1">
      <c r="A603" s="3"/>
      <c r="B603" s="3"/>
      <c r="C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6.5" customHeight="1">
      <c r="A604" s="3"/>
      <c r="B604" s="3"/>
      <c r="C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6.5" customHeight="1">
      <c r="A605" s="3"/>
      <c r="B605" s="3"/>
      <c r="C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6.5" customHeight="1">
      <c r="A606" s="3"/>
      <c r="B606" s="3"/>
      <c r="C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6.5" customHeight="1">
      <c r="A607" s="3"/>
      <c r="B607" s="3"/>
      <c r="C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6.5" customHeight="1">
      <c r="A608" s="3"/>
      <c r="B608" s="3"/>
      <c r="C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6.5" customHeight="1">
      <c r="A609" s="3"/>
      <c r="B609" s="3"/>
      <c r="C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6.5" customHeight="1">
      <c r="A610" s="3"/>
      <c r="B610" s="3"/>
      <c r="C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6.5" customHeight="1">
      <c r="A611" s="3"/>
      <c r="B611" s="3"/>
      <c r="C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6.5" customHeight="1">
      <c r="A612" s="3"/>
      <c r="B612" s="3"/>
      <c r="C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6.5" customHeight="1">
      <c r="A613" s="3"/>
      <c r="B613" s="3"/>
      <c r="C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6.5" customHeight="1">
      <c r="A614" s="3"/>
      <c r="B614" s="3"/>
      <c r="C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6.5" customHeight="1">
      <c r="A615" s="3"/>
      <c r="B615" s="3"/>
      <c r="C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6.5" customHeight="1">
      <c r="A616" s="3"/>
      <c r="B616" s="3"/>
      <c r="C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6.5" customHeight="1">
      <c r="A617" s="3"/>
      <c r="B617" s="3"/>
      <c r="C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6.5" customHeight="1">
      <c r="A618" s="3"/>
      <c r="B618" s="3"/>
      <c r="C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6.5" customHeight="1">
      <c r="A619" s="3"/>
      <c r="B619" s="3"/>
      <c r="C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6.5" customHeight="1">
      <c r="A620" s="3"/>
      <c r="B620" s="3"/>
      <c r="C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6.5" customHeight="1">
      <c r="A621" s="3"/>
      <c r="B621" s="3"/>
      <c r="C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6.5" customHeight="1">
      <c r="A622" s="3"/>
      <c r="B622" s="3"/>
      <c r="C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6.5" customHeight="1">
      <c r="A623" s="3"/>
      <c r="B623" s="3"/>
      <c r="C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6.5" customHeight="1">
      <c r="A624" s="3"/>
      <c r="B624" s="3"/>
      <c r="C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6.5" customHeight="1">
      <c r="A625" s="3"/>
      <c r="B625" s="3"/>
      <c r="C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6.5" customHeight="1">
      <c r="A626" s="3"/>
      <c r="B626" s="3"/>
      <c r="C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6.5" customHeight="1">
      <c r="A627" s="3"/>
      <c r="B627" s="3"/>
      <c r="C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6.5" customHeight="1">
      <c r="A628" s="3"/>
      <c r="B628" s="3"/>
      <c r="C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6.5" customHeight="1">
      <c r="A629" s="3"/>
      <c r="B629" s="3"/>
      <c r="C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6.5" customHeight="1">
      <c r="A630" s="3"/>
      <c r="B630" s="3"/>
      <c r="C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6.5" customHeight="1">
      <c r="A631" s="3"/>
      <c r="B631" s="3"/>
      <c r="C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6.5" customHeight="1">
      <c r="A632" s="3"/>
      <c r="B632" s="3"/>
      <c r="C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6.5" customHeight="1">
      <c r="A633" s="3"/>
      <c r="B633" s="3"/>
      <c r="C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6.5" customHeight="1">
      <c r="A634" s="3"/>
      <c r="B634" s="3"/>
      <c r="C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6.5" customHeight="1">
      <c r="A635" s="3"/>
      <c r="B635" s="3"/>
      <c r="C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6.5" customHeight="1">
      <c r="A636" s="3"/>
      <c r="B636" s="3"/>
      <c r="C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6.5" customHeight="1">
      <c r="A637" s="3"/>
      <c r="B637" s="3"/>
      <c r="C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6.5" customHeight="1">
      <c r="A638" s="3"/>
      <c r="B638" s="3"/>
      <c r="C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6.5" customHeight="1">
      <c r="A639" s="3"/>
      <c r="B639" s="3"/>
      <c r="C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6.5" customHeight="1">
      <c r="A640" s="3"/>
      <c r="B640" s="3"/>
      <c r="C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6.5" customHeight="1">
      <c r="A641" s="3"/>
      <c r="B641" s="3"/>
      <c r="C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6.5" customHeight="1">
      <c r="A642" s="3"/>
      <c r="B642" s="3"/>
      <c r="C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6.5" customHeight="1">
      <c r="A643" s="3"/>
      <c r="B643" s="3"/>
      <c r="C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6.5" customHeight="1">
      <c r="A644" s="3"/>
      <c r="B644" s="3"/>
      <c r="C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6.5" customHeight="1">
      <c r="A645" s="3"/>
      <c r="B645" s="3"/>
      <c r="C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6.5" customHeight="1">
      <c r="A646" s="3"/>
      <c r="B646" s="3"/>
      <c r="C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6.5" customHeight="1">
      <c r="A647" s="3"/>
      <c r="B647" s="3"/>
      <c r="C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6.5" customHeight="1">
      <c r="A648" s="3"/>
      <c r="B648" s="3"/>
      <c r="C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6.5" customHeight="1">
      <c r="A649" s="3"/>
      <c r="B649" s="3"/>
      <c r="C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6.5" customHeight="1">
      <c r="A650" s="3"/>
      <c r="B650" s="3"/>
      <c r="C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6.5" customHeight="1">
      <c r="A651" s="3"/>
      <c r="B651" s="3"/>
      <c r="C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6.5" customHeight="1">
      <c r="A652" s="3"/>
      <c r="B652" s="3"/>
      <c r="C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6.5" customHeight="1">
      <c r="A653" s="3"/>
      <c r="B653" s="3"/>
      <c r="C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6.5" customHeight="1">
      <c r="A654" s="3"/>
      <c r="B654" s="3"/>
      <c r="C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6.5" customHeight="1">
      <c r="A655" s="3"/>
      <c r="B655" s="3"/>
      <c r="C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6.5" customHeight="1">
      <c r="A656" s="3"/>
      <c r="B656" s="3"/>
      <c r="C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6.5" customHeight="1">
      <c r="A657" s="3"/>
      <c r="B657" s="3"/>
      <c r="C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6.5" customHeight="1">
      <c r="A658" s="3"/>
      <c r="B658" s="3"/>
      <c r="C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6.5" customHeight="1">
      <c r="A659" s="3"/>
      <c r="B659" s="3"/>
      <c r="C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6.5" customHeight="1">
      <c r="A660" s="3"/>
      <c r="B660" s="3"/>
      <c r="C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6.5" customHeight="1">
      <c r="A661" s="3"/>
      <c r="B661" s="3"/>
      <c r="C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6.5" customHeight="1">
      <c r="A662" s="3"/>
      <c r="B662" s="3"/>
      <c r="C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6.5" customHeight="1">
      <c r="A663" s="3"/>
      <c r="B663" s="3"/>
      <c r="C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6.5" customHeight="1">
      <c r="A664" s="3"/>
      <c r="B664" s="3"/>
      <c r="C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6.5" customHeight="1">
      <c r="A665" s="3"/>
      <c r="B665" s="3"/>
      <c r="C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6.5" customHeight="1">
      <c r="A666" s="3"/>
      <c r="B666" s="3"/>
      <c r="C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6.5" customHeight="1">
      <c r="A667" s="3"/>
      <c r="B667" s="3"/>
      <c r="C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6.5" customHeight="1">
      <c r="A668" s="3"/>
      <c r="B668" s="3"/>
      <c r="C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6.5" customHeight="1">
      <c r="A669" s="3"/>
      <c r="B669" s="3"/>
      <c r="C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6.5" customHeight="1">
      <c r="A670" s="3"/>
      <c r="B670" s="3"/>
      <c r="C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6.5" customHeight="1">
      <c r="A671" s="3"/>
      <c r="B671" s="3"/>
      <c r="C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6.5" customHeight="1">
      <c r="A672" s="3"/>
      <c r="B672" s="3"/>
      <c r="C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6.5" customHeight="1">
      <c r="A673" s="3"/>
      <c r="B673" s="3"/>
      <c r="C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6.5" customHeight="1">
      <c r="A674" s="3"/>
      <c r="B674" s="3"/>
      <c r="C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6.5" customHeight="1">
      <c r="A675" s="3"/>
      <c r="B675" s="3"/>
      <c r="C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6.5" customHeight="1">
      <c r="A676" s="3"/>
      <c r="B676" s="3"/>
      <c r="C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6.5" customHeight="1">
      <c r="A677" s="3"/>
      <c r="B677" s="3"/>
      <c r="C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6.5" customHeight="1">
      <c r="A678" s="3"/>
      <c r="B678" s="3"/>
      <c r="C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6.5" customHeight="1">
      <c r="A679" s="3"/>
      <c r="B679" s="3"/>
      <c r="C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6.5" customHeight="1">
      <c r="A680" s="3"/>
      <c r="B680" s="3"/>
      <c r="C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6.5" customHeight="1">
      <c r="A681" s="3"/>
      <c r="B681" s="3"/>
      <c r="C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6.5" customHeight="1">
      <c r="A682" s="3"/>
      <c r="B682" s="3"/>
      <c r="C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6.5" customHeight="1">
      <c r="A683" s="3"/>
      <c r="B683" s="3"/>
      <c r="C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6.5" customHeight="1">
      <c r="A684" s="3"/>
      <c r="B684" s="3"/>
      <c r="C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6.5" customHeight="1">
      <c r="A685" s="3"/>
      <c r="B685" s="3"/>
      <c r="C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6.5" customHeight="1">
      <c r="A686" s="3"/>
      <c r="B686" s="3"/>
      <c r="C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6.5" customHeight="1">
      <c r="A687" s="3"/>
      <c r="B687" s="3"/>
      <c r="C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6.5" customHeight="1">
      <c r="A688" s="3"/>
      <c r="B688" s="3"/>
      <c r="C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6.5" customHeight="1">
      <c r="A689" s="3"/>
      <c r="B689" s="3"/>
      <c r="C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6.5" customHeight="1">
      <c r="A690" s="3"/>
      <c r="B690" s="3"/>
      <c r="C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6.5" customHeight="1">
      <c r="A691" s="3"/>
      <c r="B691" s="3"/>
      <c r="C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6.5" customHeight="1">
      <c r="A692" s="3"/>
      <c r="B692" s="3"/>
      <c r="C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6.5" customHeight="1">
      <c r="A693" s="3"/>
      <c r="B693" s="3"/>
      <c r="C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6.5" customHeight="1">
      <c r="A694" s="3"/>
      <c r="B694" s="3"/>
      <c r="C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6.5" customHeight="1">
      <c r="A695" s="3"/>
      <c r="B695" s="3"/>
      <c r="C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6.5" customHeight="1">
      <c r="A696" s="3"/>
      <c r="B696" s="3"/>
      <c r="C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6.5" customHeight="1">
      <c r="A697" s="3"/>
      <c r="B697" s="3"/>
      <c r="C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6.5" customHeight="1">
      <c r="A698" s="3"/>
      <c r="B698" s="3"/>
      <c r="C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6.5" customHeight="1">
      <c r="A699" s="3"/>
      <c r="B699" s="3"/>
      <c r="C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6.5" customHeight="1">
      <c r="A700" s="3"/>
      <c r="B700" s="3"/>
      <c r="C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6.5" customHeight="1">
      <c r="A701" s="3"/>
      <c r="B701" s="3"/>
      <c r="C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6.5" customHeight="1">
      <c r="A702" s="3"/>
      <c r="B702" s="3"/>
      <c r="C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6.5" customHeight="1">
      <c r="A703" s="3"/>
      <c r="B703" s="3"/>
      <c r="C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6.5" customHeight="1">
      <c r="A704" s="3"/>
      <c r="B704" s="3"/>
      <c r="C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6.5" customHeight="1">
      <c r="A705" s="3"/>
      <c r="B705" s="3"/>
      <c r="C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6.5" customHeight="1">
      <c r="A706" s="3"/>
      <c r="B706" s="3"/>
      <c r="C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6.5" customHeight="1">
      <c r="A707" s="3"/>
      <c r="B707" s="3"/>
      <c r="C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6.5" customHeight="1">
      <c r="A708" s="3"/>
      <c r="B708" s="3"/>
      <c r="C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6.5" customHeight="1">
      <c r="A709" s="3"/>
      <c r="B709" s="3"/>
      <c r="C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6.5" customHeight="1">
      <c r="A710" s="3"/>
      <c r="B710" s="3"/>
      <c r="C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6.5" customHeight="1">
      <c r="A711" s="3"/>
      <c r="B711" s="3"/>
      <c r="C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6.5" customHeight="1">
      <c r="A712" s="3"/>
      <c r="B712" s="3"/>
      <c r="C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6.5" customHeight="1">
      <c r="A713" s="3"/>
      <c r="B713" s="3"/>
      <c r="C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6.5" customHeight="1">
      <c r="A714" s="3"/>
      <c r="B714" s="3"/>
      <c r="C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6.5" customHeight="1">
      <c r="A715" s="3"/>
      <c r="B715" s="3"/>
      <c r="C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6.5" customHeight="1">
      <c r="A716" s="3"/>
      <c r="B716" s="3"/>
      <c r="C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6.5" customHeight="1">
      <c r="A717" s="3"/>
      <c r="B717" s="3"/>
      <c r="C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6.5" customHeight="1">
      <c r="A718" s="3"/>
      <c r="B718" s="3"/>
      <c r="C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6.5" customHeight="1">
      <c r="A719" s="3"/>
      <c r="B719" s="3"/>
      <c r="C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6.5" customHeight="1">
      <c r="A720" s="3"/>
      <c r="B720" s="3"/>
      <c r="C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6.5" customHeight="1">
      <c r="A721" s="3"/>
      <c r="B721" s="3"/>
      <c r="C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6.5" customHeight="1">
      <c r="A722" s="3"/>
      <c r="B722" s="3"/>
      <c r="C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6.5" customHeight="1">
      <c r="A723" s="3"/>
      <c r="B723" s="3"/>
      <c r="C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6.5" customHeight="1">
      <c r="A724" s="3"/>
      <c r="B724" s="3"/>
      <c r="C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6.5" customHeight="1">
      <c r="A725" s="3"/>
      <c r="B725" s="3"/>
      <c r="C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6.5" customHeight="1">
      <c r="A726" s="3"/>
      <c r="B726" s="3"/>
      <c r="C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6.5" customHeight="1">
      <c r="A727" s="3"/>
      <c r="B727" s="3"/>
      <c r="C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6.5" customHeight="1">
      <c r="A728" s="3"/>
      <c r="B728" s="3"/>
      <c r="C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6.5" customHeight="1">
      <c r="A729" s="3"/>
      <c r="B729" s="3"/>
      <c r="C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6.5" customHeight="1">
      <c r="A730" s="3"/>
      <c r="B730" s="3"/>
      <c r="C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6.5" customHeight="1">
      <c r="A731" s="3"/>
      <c r="B731" s="3"/>
      <c r="C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6.5" customHeight="1">
      <c r="A732" s="3"/>
      <c r="B732" s="3"/>
      <c r="C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6.5" customHeight="1">
      <c r="A733" s="3"/>
      <c r="B733" s="3"/>
      <c r="C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6.5" customHeight="1">
      <c r="A734" s="3"/>
      <c r="B734" s="3"/>
      <c r="C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6.5" customHeight="1">
      <c r="A735" s="3"/>
      <c r="B735" s="3"/>
      <c r="C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6.5" customHeight="1">
      <c r="A736" s="3"/>
      <c r="B736" s="3"/>
      <c r="C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6.5" customHeight="1">
      <c r="A737" s="3"/>
      <c r="B737" s="3"/>
      <c r="C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6.5" customHeight="1">
      <c r="A738" s="3"/>
      <c r="B738" s="3"/>
      <c r="C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6.5" customHeight="1">
      <c r="A739" s="3"/>
      <c r="B739" s="3"/>
      <c r="C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6.5" customHeight="1">
      <c r="A740" s="3"/>
      <c r="B740" s="3"/>
      <c r="C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6.5" customHeight="1">
      <c r="A741" s="3"/>
      <c r="B741" s="3"/>
      <c r="C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6.5" customHeight="1">
      <c r="A742" s="3"/>
      <c r="B742" s="3"/>
      <c r="C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6.5" customHeight="1">
      <c r="A743" s="3"/>
      <c r="B743" s="3"/>
      <c r="C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6.5" customHeight="1">
      <c r="A744" s="3"/>
      <c r="B744" s="3"/>
      <c r="C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6.5" customHeight="1">
      <c r="A745" s="3"/>
      <c r="B745" s="3"/>
      <c r="C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6.5" customHeight="1">
      <c r="A746" s="3"/>
      <c r="B746" s="3"/>
      <c r="C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6.5" customHeight="1">
      <c r="A747" s="3"/>
      <c r="B747" s="3"/>
      <c r="C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6.5" customHeight="1">
      <c r="A748" s="3"/>
      <c r="B748" s="3"/>
      <c r="C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6.5" customHeight="1">
      <c r="A749" s="3"/>
      <c r="B749" s="3"/>
      <c r="C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6.5" customHeight="1">
      <c r="A750" s="3"/>
      <c r="B750" s="3"/>
      <c r="C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6.5" customHeight="1">
      <c r="A751" s="3"/>
      <c r="B751" s="3"/>
      <c r="C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6.5" customHeight="1">
      <c r="A752" s="3"/>
      <c r="B752" s="3"/>
      <c r="C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6.5" customHeight="1">
      <c r="A753" s="3"/>
      <c r="B753" s="3"/>
      <c r="C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6.5" customHeight="1">
      <c r="A754" s="3"/>
      <c r="B754" s="3"/>
      <c r="C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6.5" customHeight="1">
      <c r="A755" s="3"/>
      <c r="B755" s="3"/>
      <c r="C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6.5" customHeight="1">
      <c r="A756" s="3"/>
      <c r="B756" s="3"/>
      <c r="C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6.5" customHeight="1">
      <c r="A757" s="3"/>
      <c r="B757" s="3"/>
      <c r="C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6.5" customHeight="1">
      <c r="A758" s="3"/>
      <c r="B758" s="3"/>
      <c r="C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6.5" customHeight="1">
      <c r="A759" s="3"/>
      <c r="B759" s="3"/>
      <c r="C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6.5" customHeight="1">
      <c r="A760" s="3"/>
      <c r="B760" s="3"/>
      <c r="C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6.5" customHeight="1">
      <c r="A761" s="3"/>
      <c r="B761" s="3"/>
      <c r="C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6.5" customHeight="1">
      <c r="A762" s="3"/>
      <c r="B762" s="3"/>
      <c r="C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6.5" customHeight="1">
      <c r="A763" s="3"/>
      <c r="B763" s="3"/>
      <c r="C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6.5" customHeight="1">
      <c r="A764" s="3"/>
      <c r="B764" s="3"/>
      <c r="C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6.5" customHeight="1">
      <c r="A765" s="3"/>
      <c r="B765" s="3"/>
      <c r="C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6.5" customHeight="1">
      <c r="A766" s="3"/>
      <c r="B766" s="3"/>
      <c r="C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6.5" customHeight="1">
      <c r="A767" s="3"/>
      <c r="B767" s="3"/>
      <c r="C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6.5" customHeight="1">
      <c r="A768" s="3"/>
      <c r="B768" s="3"/>
      <c r="C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6.5" customHeight="1">
      <c r="A769" s="3"/>
      <c r="B769" s="3"/>
      <c r="C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6.5" customHeight="1">
      <c r="A770" s="3"/>
      <c r="B770" s="3"/>
      <c r="C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6.5" customHeight="1">
      <c r="A771" s="3"/>
      <c r="B771" s="3"/>
      <c r="C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6.5" customHeight="1">
      <c r="A772" s="3"/>
      <c r="B772" s="3"/>
      <c r="C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6.5" customHeight="1">
      <c r="A773" s="3"/>
      <c r="B773" s="3"/>
      <c r="C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6.5" customHeight="1">
      <c r="A774" s="3"/>
      <c r="B774" s="3"/>
      <c r="C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6.5" customHeight="1">
      <c r="A775" s="3"/>
      <c r="B775" s="3"/>
      <c r="C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6.5" customHeight="1">
      <c r="A776" s="3"/>
      <c r="B776" s="3"/>
      <c r="C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6.5" customHeight="1">
      <c r="A777" s="3"/>
      <c r="B777" s="3"/>
      <c r="C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6.5" customHeight="1">
      <c r="A778" s="3"/>
      <c r="B778" s="3"/>
      <c r="C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6.5" customHeight="1">
      <c r="A779" s="3"/>
      <c r="B779" s="3"/>
      <c r="C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6.5" customHeight="1">
      <c r="A780" s="3"/>
      <c r="B780" s="3"/>
      <c r="C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6.5" customHeight="1">
      <c r="A781" s="3"/>
      <c r="B781" s="3"/>
      <c r="C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6.5" customHeight="1">
      <c r="A782" s="3"/>
      <c r="B782" s="3"/>
      <c r="C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6.5" customHeight="1">
      <c r="A783" s="3"/>
      <c r="B783" s="3"/>
      <c r="C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6.5" customHeight="1">
      <c r="A784" s="3"/>
      <c r="B784" s="3"/>
      <c r="C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6.5" customHeight="1">
      <c r="A785" s="3"/>
      <c r="B785" s="3"/>
      <c r="C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6.5" customHeight="1">
      <c r="A786" s="3"/>
      <c r="B786" s="3"/>
      <c r="C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6.5" customHeight="1">
      <c r="A787" s="3"/>
      <c r="B787" s="3"/>
      <c r="C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6.5" customHeight="1">
      <c r="A788" s="3"/>
      <c r="B788" s="3"/>
      <c r="C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6.5" customHeight="1">
      <c r="A789" s="3"/>
      <c r="B789" s="3"/>
      <c r="C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6.5" customHeight="1">
      <c r="A790" s="3"/>
      <c r="B790" s="3"/>
      <c r="C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6.5" customHeight="1">
      <c r="A791" s="3"/>
      <c r="B791" s="3"/>
      <c r="C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6.5" customHeight="1">
      <c r="A792" s="3"/>
      <c r="B792" s="3"/>
      <c r="C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6.5" customHeight="1">
      <c r="A793" s="3"/>
      <c r="B793" s="3"/>
      <c r="C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6.5" customHeight="1">
      <c r="A794" s="3"/>
      <c r="B794" s="3"/>
      <c r="C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6.5" customHeight="1">
      <c r="A795" s="3"/>
      <c r="B795" s="3"/>
      <c r="C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6.5" customHeight="1">
      <c r="A796" s="3"/>
      <c r="B796" s="3"/>
      <c r="C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6.5" customHeight="1">
      <c r="A797" s="3"/>
      <c r="B797" s="3"/>
      <c r="C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6.5" customHeight="1">
      <c r="A798" s="3"/>
      <c r="B798" s="3"/>
      <c r="C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6.5" customHeight="1">
      <c r="A799" s="3"/>
      <c r="B799" s="3"/>
      <c r="C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6.5" customHeight="1">
      <c r="A800" s="3"/>
      <c r="B800" s="3"/>
      <c r="C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6.5" customHeight="1">
      <c r="A801" s="3"/>
      <c r="B801" s="3"/>
      <c r="C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6.5" customHeight="1">
      <c r="A802" s="3"/>
      <c r="B802" s="3"/>
      <c r="C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6.5" customHeight="1">
      <c r="A803" s="3"/>
      <c r="B803" s="3"/>
      <c r="C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6.5" customHeight="1">
      <c r="A804" s="3"/>
      <c r="B804" s="3"/>
      <c r="C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6.5" customHeight="1">
      <c r="A805" s="3"/>
      <c r="B805" s="3"/>
      <c r="C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6.5" customHeight="1">
      <c r="A806" s="3"/>
      <c r="B806" s="3"/>
      <c r="C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6.5" customHeight="1">
      <c r="A807" s="3"/>
      <c r="B807" s="3"/>
      <c r="C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6.5" customHeight="1">
      <c r="A808" s="3"/>
      <c r="B808" s="3"/>
      <c r="C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6.5" customHeight="1">
      <c r="A809" s="3"/>
      <c r="B809" s="3"/>
      <c r="C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6.5" customHeight="1">
      <c r="A810" s="3"/>
      <c r="B810" s="3"/>
      <c r="C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6.5" customHeight="1">
      <c r="A811" s="3"/>
      <c r="B811" s="3"/>
      <c r="C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6.5" customHeight="1">
      <c r="A812" s="3"/>
      <c r="B812" s="3"/>
      <c r="C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6.5" customHeight="1">
      <c r="A813" s="3"/>
      <c r="B813" s="3"/>
      <c r="C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6.5" customHeight="1">
      <c r="A814" s="3"/>
      <c r="B814" s="3"/>
      <c r="C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6.5" customHeight="1">
      <c r="A815" s="3"/>
      <c r="B815" s="3"/>
      <c r="C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6.5" customHeight="1">
      <c r="A816" s="3"/>
      <c r="B816" s="3"/>
      <c r="C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6.5" customHeight="1">
      <c r="A817" s="3"/>
      <c r="B817" s="3"/>
      <c r="C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6.5" customHeight="1">
      <c r="A818" s="3"/>
      <c r="B818" s="3"/>
      <c r="C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6.5" customHeight="1">
      <c r="A819" s="3"/>
      <c r="B819" s="3"/>
      <c r="C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6.5" customHeight="1">
      <c r="A820" s="3"/>
      <c r="B820" s="3"/>
      <c r="C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6.5" customHeight="1">
      <c r="A821" s="3"/>
      <c r="B821" s="3"/>
      <c r="C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6.5" customHeight="1">
      <c r="A822" s="3"/>
      <c r="B822" s="3"/>
      <c r="C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6.5" customHeight="1">
      <c r="A823" s="3"/>
      <c r="B823" s="3"/>
      <c r="C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6.5" customHeight="1">
      <c r="A824" s="3"/>
      <c r="B824" s="3"/>
      <c r="C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6.5" customHeight="1">
      <c r="A825" s="3"/>
      <c r="B825" s="3"/>
      <c r="C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6.5" customHeight="1">
      <c r="A826" s="3"/>
      <c r="B826" s="3"/>
      <c r="C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6.5" customHeight="1">
      <c r="A827" s="3"/>
      <c r="B827" s="3"/>
      <c r="C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6.5" customHeight="1">
      <c r="A828" s="3"/>
      <c r="B828" s="3"/>
      <c r="C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6.5" customHeight="1">
      <c r="A829" s="3"/>
      <c r="B829" s="3"/>
      <c r="C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6.5" customHeight="1">
      <c r="A830" s="3"/>
      <c r="B830" s="3"/>
      <c r="C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6.5" customHeight="1">
      <c r="A831" s="3"/>
      <c r="B831" s="3"/>
      <c r="C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6.5" customHeight="1">
      <c r="A832" s="3"/>
      <c r="B832" s="3"/>
      <c r="C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6.5" customHeight="1">
      <c r="A833" s="3"/>
      <c r="B833" s="3"/>
      <c r="C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6.5" customHeight="1">
      <c r="A834" s="3"/>
      <c r="B834" s="3"/>
      <c r="C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6.5" customHeight="1">
      <c r="A835" s="3"/>
      <c r="B835" s="3"/>
      <c r="C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6.5" customHeight="1">
      <c r="A836" s="3"/>
      <c r="B836" s="3"/>
      <c r="C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6.5" customHeight="1">
      <c r="A837" s="3"/>
      <c r="B837" s="3"/>
      <c r="C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6.5" customHeight="1">
      <c r="A838" s="3"/>
      <c r="B838" s="3"/>
      <c r="C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6.5" customHeight="1">
      <c r="A839" s="3"/>
      <c r="B839" s="3"/>
      <c r="C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6.5" customHeight="1">
      <c r="A840" s="3"/>
      <c r="B840" s="3"/>
      <c r="C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6.5" customHeight="1">
      <c r="A841" s="3"/>
      <c r="B841" s="3"/>
      <c r="C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6.5" customHeight="1">
      <c r="A842" s="3"/>
      <c r="B842" s="3"/>
      <c r="C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6.5" customHeight="1">
      <c r="A843" s="3"/>
      <c r="B843" s="3"/>
      <c r="C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6.5" customHeight="1">
      <c r="A844" s="3"/>
      <c r="B844" s="3"/>
      <c r="C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6.5" customHeight="1">
      <c r="A845" s="3"/>
      <c r="B845" s="3"/>
      <c r="C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6.5" customHeight="1">
      <c r="A846" s="3"/>
      <c r="B846" s="3"/>
      <c r="C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6.5" customHeight="1">
      <c r="A847" s="3"/>
      <c r="B847" s="3"/>
      <c r="C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6.5" customHeight="1">
      <c r="A848" s="3"/>
      <c r="B848" s="3"/>
      <c r="C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6.5" customHeight="1">
      <c r="A849" s="3"/>
      <c r="B849" s="3"/>
      <c r="C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6.5" customHeight="1">
      <c r="A850" s="3"/>
      <c r="B850" s="3"/>
      <c r="C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6.5" customHeight="1">
      <c r="A851" s="3"/>
      <c r="B851" s="3"/>
      <c r="C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6.5" customHeight="1">
      <c r="A852" s="3"/>
      <c r="B852" s="3"/>
      <c r="C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6.5" customHeight="1">
      <c r="A853" s="3"/>
      <c r="B853" s="3"/>
      <c r="C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6.5" customHeight="1">
      <c r="A854" s="3"/>
      <c r="B854" s="3"/>
      <c r="C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6.5" customHeight="1">
      <c r="A855" s="3"/>
      <c r="B855" s="3"/>
      <c r="C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6.5" customHeight="1">
      <c r="A856" s="3"/>
      <c r="B856" s="3"/>
      <c r="C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6.5" customHeight="1">
      <c r="A857" s="3"/>
      <c r="B857" s="3"/>
      <c r="C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6.5" customHeight="1">
      <c r="A858" s="3"/>
      <c r="B858" s="3"/>
      <c r="C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6.5" customHeight="1">
      <c r="A859" s="3"/>
      <c r="B859" s="3"/>
      <c r="C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6.5" customHeight="1">
      <c r="A860" s="3"/>
      <c r="B860" s="3"/>
      <c r="C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6.5" customHeight="1">
      <c r="A861" s="3"/>
      <c r="B861" s="3"/>
      <c r="C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6.5" customHeight="1">
      <c r="A862" s="3"/>
      <c r="B862" s="3"/>
      <c r="C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6.5" customHeight="1">
      <c r="A863" s="3"/>
      <c r="B863" s="3"/>
      <c r="C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6.5" customHeight="1">
      <c r="A864" s="3"/>
      <c r="B864" s="3"/>
      <c r="C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6.5" customHeight="1">
      <c r="A865" s="3"/>
      <c r="B865" s="3"/>
      <c r="C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6.5" customHeight="1">
      <c r="A866" s="3"/>
      <c r="B866" s="3"/>
      <c r="C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6.5" customHeight="1">
      <c r="A867" s="3"/>
      <c r="B867" s="3"/>
      <c r="C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6.5" customHeight="1">
      <c r="A868" s="3"/>
      <c r="B868" s="3"/>
      <c r="C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6.5" customHeight="1">
      <c r="A869" s="3"/>
      <c r="B869" s="3"/>
      <c r="C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6.5" customHeight="1">
      <c r="A870" s="3"/>
      <c r="B870" s="3"/>
      <c r="C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6.5" customHeight="1">
      <c r="A871" s="3"/>
      <c r="B871" s="3"/>
      <c r="C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6.5" customHeight="1">
      <c r="A872" s="3"/>
      <c r="B872" s="3"/>
      <c r="C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6.5" customHeight="1">
      <c r="A873" s="3"/>
      <c r="B873" s="3"/>
      <c r="C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6.5" customHeight="1">
      <c r="A874" s="3"/>
      <c r="B874" s="3"/>
      <c r="C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6.5" customHeight="1">
      <c r="A875" s="3"/>
      <c r="B875" s="3"/>
      <c r="C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6.5" customHeight="1">
      <c r="A876" s="3"/>
      <c r="B876" s="3"/>
      <c r="C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6.5" customHeight="1">
      <c r="A877" s="3"/>
      <c r="B877" s="3"/>
      <c r="C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6.5" customHeight="1">
      <c r="A878" s="3"/>
      <c r="B878" s="3"/>
      <c r="C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6.5" customHeight="1">
      <c r="A879" s="3"/>
      <c r="B879" s="3"/>
      <c r="C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6.5" customHeight="1">
      <c r="A880" s="3"/>
      <c r="B880" s="3"/>
      <c r="C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6.5" customHeight="1">
      <c r="A881" s="3"/>
      <c r="B881" s="3"/>
      <c r="C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6.5" customHeight="1">
      <c r="A882" s="3"/>
      <c r="B882" s="3"/>
      <c r="C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6.5" customHeight="1">
      <c r="A883" s="3"/>
      <c r="B883" s="3"/>
      <c r="C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6.5" customHeight="1">
      <c r="A884" s="3"/>
      <c r="B884" s="3"/>
      <c r="C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6.5" customHeight="1">
      <c r="A885" s="3"/>
      <c r="B885" s="3"/>
      <c r="C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6.5" customHeight="1">
      <c r="A886" s="3"/>
      <c r="B886" s="3"/>
      <c r="C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6.5" customHeight="1">
      <c r="A887" s="3"/>
      <c r="B887" s="3"/>
      <c r="C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6.5" customHeight="1">
      <c r="A888" s="3"/>
      <c r="B888" s="3"/>
      <c r="C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6.5" customHeight="1">
      <c r="A889" s="3"/>
      <c r="B889" s="3"/>
      <c r="C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6.5" customHeight="1">
      <c r="A890" s="3"/>
      <c r="B890" s="3"/>
      <c r="C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6.5" customHeight="1">
      <c r="A891" s="3"/>
      <c r="B891" s="3"/>
      <c r="C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6.5" customHeight="1">
      <c r="A892" s="3"/>
      <c r="B892" s="3"/>
      <c r="C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6.5" customHeight="1">
      <c r="A893" s="3"/>
      <c r="B893" s="3"/>
      <c r="C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6.5" customHeight="1">
      <c r="A894" s="3"/>
      <c r="B894" s="3"/>
      <c r="C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6.5" customHeight="1">
      <c r="A895" s="3"/>
      <c r="B895" s="3"/>
      <c r="C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6.5" customHeight="1">
      <c r="A896" s="3"/>
      <c r="B896" s="3"/>
      <c r="C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6.5" customHeight="1">
      <c r="A897" s="3"/>
      <c r="B897" s="3"/>
      <c r="C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6.5" customHeight="1">
      <c r="A898" s="3"/>
      <c r="B898" s="3"/>
      <c r="C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6.5" customHeight="1">
      <c r="A899" s="3"/>
      <c r="B899" s="3"/>
      <c r="C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6.5" customHeight="1">
      <c r="A900" s="3"/>
      <c r="B900" s="3"/>
      <c r="C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6.5" customHeight="1">
      <c r="A901" s="3"/>
      <c r="B901" s="3"/>
      <c r="C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6.5" customHeight="1">
      <c r="A902" s="3"/>
      <c r="B902" s="3"/>
      <c r="C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6.5" customHeight="1">
      <c r="A903" s="3"/>
      <c r="B903" s="3"/>
      <c r="C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6.5" customHeight="1">
      <c r="A904" s="3"/>
      <c r="B904" s="3"/>
      <c r="C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6.5" customHeight="1">
      <c r="A905" s="3"/>
      <c r="B905" s="3"/>
      <c r="C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6.5" customHeight="1">
      <c r="A906" s="3"/>
      <c r="B906" s="3"/>
      <c r="C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6.5" customHeight="1">
      <c r="A907" s="3"/>
      <c r="B907" s="3"/>
      <c r="C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6.5" customHeight="1">
      <c r="A908" s="3"/>
      <c r="B908" s="3"/>
      <c r="C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6.5" customHeight="1">
      <c r="A909" s="3"/>
      <c r="B909" s="3"/>
      <c r="C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6.5" customHeight="1">
      <c r="A910" s="3"/>
      <c r="B910" s="3"/>
      <c r="C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6.5" customHeight="1">
      <c r="A911" s="3"/>
      <c r="B911" s="3"/>
      <c r="C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6.5" customHeight="1">
      <c r="A912" s="3"/>
      <c r="B912" s="3"/>
      <c r="C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6.5" customHeight="1">
      <c r="A913" s="3"/>
      <c r="B913" s="3"/>
      <c r="C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6.5" customHeight="1">
      <c r="A914" s="3"/>
      <c r="B914" s="3"/>
      <c r="C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6.5" customHeight="1">
      <c r="A915" s="3"/>
      <c r="B915" s="3"/>
      <c r="C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6.5" customHeight="1">
      <c r="A916" s="3"/>
      <c r="B916" s="3"/>
      <c r="C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6.5" customHeight="1">
      <c r="A917" s="3"/>
      <c r="B917" s="3"/>
      <c r="C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6.5" customHeight="1">
      <c r="A918" s="3"/>
      <c r="B918" s="3"/>
      <c r="C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6.5" customHeight="1">
      <c r="A919" s="3"/>
      <c r="B919" s="3"/>
      <c r="C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6.5" customHeight="1">
      <c r="A920" s="3"/>
      <c r="B920" s="3"/>
      <c r="C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6.5" customHeight="1">
      <c r="A921" s="3"/>
      <c r="B921" s="3"/>
      <c r="C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6.5" customHeight="1">
      <c r="A922" s="3"/>
      <c r="B922" s="3"/>
      <c r="C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6.5" customHeight="1">
      <c r="A923" s="3"/>
      <c r="B923" s="3"/>
      <c r="C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6.5" customHeight="1">
      <c r="A924" s="3"/>
      <c r="B924" s="3"/>
      <c r="C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6.5" customHeight="1">
      <c r="A925" s="3"/>
      <c r="B925" s="3"/>
      <c r="C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6.5" customHeight="1">
      <c r="A926" s="3"/>
      <c r="B926" s="3"/>
      <c r="C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6.5" customHeight="1">
      <c r="A927" s="3"/>
      <c r="B927" s="3"/>
      <c r="C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6.5" customHeight="1">
      <c r="A928" s="3"/>
      <c r="B928" s="3"/>
      <c r="C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6.5" customHeight="1">
      <c r="A929" s="3"/>
      <c r="B929" s="3"/>
      <c r="C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6.5" customHeight="1">
      <c r="A930" s="3"/>
      <c r="B930" s="3"/>
      <c r="C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6.5" customHeight="1">
      <c r="A931" s="3"/>
      <c r="B931" s="3"/>
      <c r="C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6.5" customHeight="1">
      <c r="A932" s="3"/>
      <c r="B932" s="3"/>
      <c r="C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6.5" customHeight="1">
      <c r="A933" s="3"/>
      <c r="B933" s="3"/>
      <c r="C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6.5" customHeight="1">
      <c r="A934" s="3"/>
      <c r="B934" s="3"/>
      <c r="C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6.5" customHeight="1">
      <c r="A935" s="3"/>
      <c r="B935" s="3"/>
      <c r="C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6.5" customHeight="1">
      <c r="A936" s="3"/>
      <c r="B936" s="3"/>
      <c r="C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6.5" customHeight="1">
      <c r="A937" s="3"/>
      <c r="B937" s="3"/>
      <c r="C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6.5" customHeight="1">
      <c r="A938" s="3"/>
      <c r="B938" s="3"/>
      <c r="C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6.5" customHeight="1">
      <c r="A939" s="3"/>
      <c r="B939" s="3"/>
      <c r="C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6.5" customHeight="1">
      <c r="A940" s="3"/>
      <c r="B940" s="3"/>
      <c r="C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6.5" customHeight="1">
      <c r="A941" s="3"/>
      <c r="B941" s="3"/>
      <c r="C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6.5" customHeight="1">
      <c r="A942" s="3"/>
      <c r="B942" s="3"/>
      <c r="C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6.5" customHeight="1">
      <c r="A943" s="3"/>
      <c r="B943" s="3"/>
      <c r="C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6.5" customHeight="1">
      <c r="A944" s="3"/>
      <c r="B944" s="3"/>
      <c r="C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6.5" customHeight="1">
      <c r="A945" s="3"/>
      <c r="B945" s="3"/>
      <c r="C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6.5" customHeight="1">
      <c r="A946" s="3"/>
      <c r="B946" s="3"/>
      <c r="C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6.5" customHeight="1">
      <c r="A947" s="3"/>
      <c r="B947" s="3"/>
      <c r="C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6.5" customHeight="1">
      <c r="A948" s="3"/>
      <c r="B948" s="3"/>
      <c r="C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6.5" customHeight="1">
      <c r="A949" s="3"/>
      <c r="B949" s="3"/>
      <c r="C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6.5" customHeight="1">
      <c r="A950" s="3"/>
      <c r="B950" s="3"/>
      <c r="C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6.5" customHeight="1">
      <c r="A951" s="3"/>
      <c r="B951" s="3"/>
      <c r="C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6.5" customHeight="1">
      <c r="A952" s="3"/>
      <c r="B952" s="3"/>
      <c r="C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6.5" customHeight="1">
      <c r="A953" s="3"/>
      <c r="B953" s="3"/>
      <c r="C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6.5" customHeight="1">
      <c r="A954" s="3"/>
      <c r="B954" s="3"/>
      <c r="C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6.5" customHeight="1">
      <c r="A955" s="3"/>
      <c r="B955" s="3"/>
      <c r="C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6.5" customHeight="1">
      <c r="A956" s="3"/>
      <c r="B956" s="3"/>
      <c r="C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6.5" customHeight="1">
      <c r="A957" s="3"/>
      <c r="B957" s="3"/>
      <c r="C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6.5" customHeight="1">
      <c r="A958" s="3"/>
      <c r="B958" s="3"/>
      <c r="C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6.5" customHeight="1">
      <c r="A959" s="3"/>
      <c r="B959" s="3"/>
      <c r="C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6.5" customHeight="1">
      <c r="A960" s="3"/>
      <c r="B960" s="3"/>
      <c r="C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6.5" customHeight="1">
      <c r="A961" s="3"/>
      <c r="B961" s="3"/>
      <c r="C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6.5" customHeight="1">
      <c r="A962" s="3"/>
      <c r="B962" s="3"/>
      <c r="C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6.5" customHeight="1">
      <c r="A963" s="3"/>
      <c r="B963" s="3"/>
      <c r="C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6.5" customHeight="1">
      <c r="A964" s="3"/>
      <c r="B964" s="3"/>
      <c r="C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6.5" customHeight="1">
      <c r="A965" s="3"/>
      <c r="B965" s="3"/>
      <c r="C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6.5" customHeight="1">
      <c r="A966" s="3"/>
      <c r="B966" s="3"/>
      <c r="C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6.5" customHeight="1">
      <c r="A967" s="3"/>
      <c r="B967" s="3"/>
      <c r="C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6.5" customHeight="1">
      <c r="A968" s="3"/>
      <c r="B968" s="3"/>
      <c r="C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6.5" customHeight="1">
      <c r="A969" s="3"/>
      <c r="B969" s="3"/>
      <c r="C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6.5" customHeight="1">
      <c r="A970" s="3"/>
      <c r="B970" s="3"/>
      <c r="C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6.5" customHeight="1">
      <c r="A971" s="3"/>
      <c r="B971" s="3"/>
      <c r="C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6.5" customHeight="1">
      <c r="A972" s="3"/>
      <c r="B972" s="3"/>
      <c r="C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6.5" customHeight="1">
      <c r="A973" s="3"/>
      <c r="B973" s="3"/>
      <c r="C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6.5" customHeight="1">
      <c r="A974" s="3"/>
      <c r="B974" s="3"/>
      <c r="C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6.5" customHeight="1">
      <c r="A975" s="3"/>
      <c r="B975" s="3"/>
      <c r="C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6.5" customHeight="1">
      <c r="A976" s="3"/>
      <c r="B976" s="3"/>
      <c r="C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6.5" customHeight="1">
      <c r="A977" s="3"/>
      <c r="B977" s="3"/>
      <c r="C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6.5" customHeight="1">
      <c r="A978" s="3"/>
      <c r="B978" s="3"/>
      <c r="C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6.5" customHeight="1">
      <c r="A979" s="3"/>
      <c r="B979" s="3"/>
      <c r="C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6.5" customHeight="1">
      <c r="A980" s="3"/>
      <c r="B980" s="3"/>
      <c r="C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6.5" customHeight="1">
      <c r="A981" s="3"/>
      <c r="B981" s="3"/>
      <c r="C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6.5" customHeight="1">
      <c r="A982" s="3"/>
      <c r="B982" s="3"/>
      <c r="C982" s="3"/>
      <c r="I982" s="3"/>
      <c r="J982" s="3"/>
      <c r="K982" s="3"/>
      <c r="L982" s="3"/>
      <c r="M982" s="3"/>
      <c r="N982" s="3"/>
      <c r="O982" s="3"/>
      <c r="P982" s="3"/>
      <c r="Q982" s="3"/>
    </row>
  </sheetData>
  <mergeCells count="4">
    <mergeCell ref="A4:A5"/>
    <mergeCell ref="B4:D4"/>
    <mergeCell ref="E4:F4"/>
    <mergeCell ref="G4:G5"/>
  </mergeCells>
  <phoneticPr fontId="16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E4D5"/>
  </sheetPr>
  <dimension ref="A1:Y999"/>
  <sheetViews>
    <sheetView workbookViewId="0">
      <selection activeCell="H25" sqref="H25"/>
    </sheetView>
    <sheetView workbookViewId="1"/>
  </sheetViews>
  <sheetFormatPr defaultColWidth="14.42578125" defaultRowHeight="15" customHeight="1"/>
  <cols>
    <col min="1" max="1" width="20.5703125" customWidth="1"/>
    <col min="2" max="2" width="16.85546875" style="111" bestFit="1" customWidth="1"/>
    <col min="3" max="25" width="8.7109375" customWidth="1"/>
  </cols>
  <sheetData>
    <row r="1" spans="1:2" ht="16.5" customHeight="1">
      <c r="A1" s="67" t="s">
        <v>101</v>
      </c>
      <c r="B1" s="3"/>
    </row>
    <row r="2" spans="1:2" ht="16.5" customHeight="1">
      <c r="A2" s="39" t="s">
        <v>196</v>
      </c>
      <c r="B2" s="39">
        <f ca="1">B22+B26</f>
        <v>1702860000</v>
      </c>
    </row>
    <row r="3" spans="1:2" ht="16.5" customHeight="1">
      <c r="A3" s="3"/>
      <c r="B3" s="3"/>
    </row>
    <row r="4" spans="1:2" ht="16.5" customHeight="1">
      <c r="A4" s="3" t="s">
        <v>218</v>
      </c>
      <c r="B4" s="110" t="s">
        <v>279</v>
      </c>
    </row>
    <row r="5" spans="1:2" ht="16.5" customHeight="1">
      <c r="A5" s="3" t="s">
        <v>217</v>
      </c>
      <c r="B5" s="111" t="str">
        <f ca="1">INDIRECT("기초!B"&amp;(MATCH(B4,기초!$B:$B,0)+1))</f>
        <v>직계존비속</v>
      </c>
    </row>
    <row r="6" spans="1:2" ht="16.5" customHeight="1">
      <c r="A6" s="3" t="s">
        <v>56</v>
      </c>
      <c r="B6" s="112">
        <v>1</v>
      </c>
    </row>
    <row r="7" spans="1:2" ht="16.5" customHeight="1">
      <c r="A7" s="3"/>
      <c r="B7"/>
    </row>
    <row r="8" spans="1:2" ht="16.5" customHeight="1">
      <c r="A8" s="3"/>
      <c r="B8" s="3" t="s">
        <v>8</v>
      </c>
    </row>
    <row r="9" spans="1:2" ht="16.5" customHeight="1">
      <c r="A9" s="114" t="s">
        <v>219</v>
      </c>
      <c r="B9" s="116" t="str">
        <f>HLOOKUP(B$8,기초!$C$5:$I$16,MATCH($A9,기초!$A$5:$A$16,0),0)</f>
        <v>조정대상지역</v>
      </c>
    </row>
    <row r="10" spans="1:2" ht="16.5" customHeight="1">
      <c r="A10" s="114" t="s">
        <v>177</v>
      </c>
      <c r="B10" s="116" t="str">
        <f>HLOOKUP(B$8,기초!$C$5:$I$16,MATCH($A10,기초!$A$5:$A$16,0),0)</f>
        <v>국평</v>
      </c>
    </row>
    <row r="11" spans="1:2" ht="16.5" customHeight="1">
      <c r="A11" s="3"/>
    </row>
    <row r="12" spans="1:2" ht="16.5" customHeight="1">
      <c r="A12" s="3"/>
      <c r="B12" s="3"/>
    </row>
    <row r="13" spans="1:2" ht="16.5" customHeight="1">
      <c r="A13" s="3" t="s">
        <v>57</v>
      </c>
      <c r="B13" s="14">
        <f>기초!C9</f>
        <v>4000000000</v>
      </c>
    </row>
    <row r="14" spans="1:2" ht="16.5" customHeight="1">
      <c r="A14" s="3" t="s">
        <v>58</v>
      </c>
      <c r="B14" s="14">
        <f>B6*B13</f>
        <v>4000000000</v>
      </c>
    </row>
    <row r="15" spans="1:2" ht="16.5" customHeight="1">
      <c r="A15" s="28" t="s">
        <v>30</v>
      </c>
      <c r="B15" s="113">
        <f>SUMIF(기초!$A:$A,B4,기초!$S:$S)</f>
        <v>0</v>
      </c>
    </row>
    <row r="16" spans="1:2" ht="16.5" customHeight="1">
      <c r="A16" s="29" t="s">
        <v>59</v>
      </c>
      <c r="B16" s="30">
        <f t="shared" ref="B16" si="0">B14-B15</f>
        <v>4000000000</v>
      </c>
    </row>
    <row r="17" spans="1:25" ht="16.5" customHeight="1">
      <c r="A17" s="31" t="s">
        <v>60</v>
      </c>
      <c r="B17" s="32">
        <f ca="1">VLOOKUP(B5,t!$AR$2:$AS$5,2,0)</f>
        <v>50000000</v>
      </c>
    </row>
    <row r="18" spans="1:25" ht="16.5" customHeight="1">
      <c r="A18" s="33" t="s">
        <v>61</v>
      </c>
      <c r="B18" s="34">
        <f t="shared" ref="B18" ca="1" si="1">B16-B17</f>
        <v>3950000000</v>
      </c>
    </row>
    <row r="19" spans="1:25" ht="16.5" customHeight="1">
      <c r="A19" s="3" t="s">
        <v>62</v>
      </c>
      <c r="B19" s="16">
        <f t="array" aca="1" ref="B19" ca="1">INDEX(t!$AW$3:$AW$7,MATCH(TRUE,B18&lt;=t!$AV$3:$AV$7,0))</f>
        <v>0.5</v>
      </c>
    </row>
    <row r="20" spans="1:25" ht="16.5" customHeight="1">
      <c r="A20" s="3" t="s">
        <v>63</v>
      </c>
      <c r="B20" s="14">
        <f ca="1">B18*B19-VLOOKUP(B19,t!$AW$3:$AX$7,2,0)</f>
        <v>1515000000</v>
      </c>
    </row>
    <row r="21" spans="1:25" ht="16.5" customHeight="1">
      <c r="A21" s="28" t="s">
        <v>64</v>
      </c>
      <c r="B21" s="113">
        <f>SUMIF(기초!$A:$A,B14,기초!$T:$T)</f>
        <v>0</v>
      </c>
    </row>
    <row r="22" spans="1:25" ht="16.5" customHeight="1">
      <c r="A22" s="35" t="s">
        <v>224</v>
      </c>
      <c r="B22" s="36">
        <f t="shared" ref="B22" ca="1" si="2">B20-B21</f>
        <v>1515000000</v>
      </c>
    </row>
    <row r="23" spans="1:25" ht="16.5" customHeight="1">
      <c r="A23" s="3"/>
      <c r="B23" s="16"/>
    </row>
    <row r="24" spans="1:25" ht="16.5" customHeight="1">
      <c r="A24" s="37"/>
      <c r="B24" s="16"/>
    </row>
    <row r="25" spans="1:25" ht="16.5" customHeight="1">
      <c r="A25" s="3" t="s">
        <v>233</v>
      </c>
      <c r="B25" s="19">
        <f ca="1">OFFSET(취득!$J$15,MATCH($B9,취득!$J$16:$J$17,0),MATCH(B10,취득!$K$15:$L$15,0))</f>
        <v>0.124</v>
      </c>
    </row>
    <row r="26" spans="1:25" ht="16.5" customHeight="1">
      <c r="A26" s="35" t="s">
        <v>223</v>
      </c>
      <c r="B26" s="36">
        <f ca="1">B22*B25</f>
        <v>187860000</v>
      </c>
    </row>
    <row r="27" spans="1:25" ht="16.5" customHeight="1">
      <c r="A27" s="3"/>
      <c r="B27" s="3"/>
    </row>
    <row r="28" spans="1:25" ht="16.5" customHeight="1">
      <c r="A28" s="3"/>
      <c r="B28" s="3"/>
    </row>
    <row r="29" spans="1:25" ht="16.5" customHeight="1">
      <c r="A29" s="3"/>
      <c r="B29" s="3"/>
    </row>
    <row r="30" spans="1:25" ht="16.5" customHeight="1">
      <c r="A30" s="3"/>
      <c r="B30" s="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6.5" customHeight="1">
      <c r="A31" s="3"/>
      <c r="B31" s="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6.5" customHeight="1">
      <c r="A32" s="3"/>
      <c r="B32" s="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6.5" customHeight="1">
      <c r="A33" s="3"/>
      <c r="B33" s="3"/>
    </row>
    <row r="34" spans="1:25" ht="16.5" customHeight="1">
      <c r="A34" s="3"/>
      <c r="B34" s="3"/>
    </row>
    <row r="35" spans="1:25" ht="16.5" customHeight="1">
      <c r="A35" s="3"/>
      <c r="B35" s="3"/>
    </row>
    <row r="36" spans="1:25" ht="16.5" customHeight="1">
      <c r="A36" s="3"/>
      <c r="B36" s="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6.5" customHeight="1">
      <c r="A37" s="3"/>
      <c r="B37" s="3"/>
    </row>
    <row r="38" spans="1:25" ht="16.5" customHeight="1">
      <c r="A38" s="3"/>
      <c r="B38" s="3"/>
    </row>
    <row r="39" spans="1:25" ht="16.5" customHeight="1">
      <c r="A39" s="3"/>
      <c r="B39" s="3"/>
    </row>
    <row r="40" spans="1:25" ht="16.5" customHeight="1">
      <c r="A40" s="40"/>
      <c r="B40" s="40"/>
    </row>
    <row r="41" spans="1:25" ht="16.5" customHeight="1">
      <c r="A41" s="3"/>
      <c r="B41" s="3"/>
    </row>
    <row r="42" spans="1:25" ht="16.5" customHeight="1">
      <c r="A42" s="3"/>
      <c r="B42" s="3"/>
    </row>
    <row r="43" spans="1:25" ht="16.5" customHeight="1">
      <c r="A43" s="3"/>
      <c r="B43" s="3"/>
    </row>
    <row r="44" spans="1:25" ht="16.5" customHeight="1">
      <c r="A44" s="3"/>
      <c r="B44" s="3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6.5" customHeight="1">
      <c r="A45" s="3"/>
      <c r="B45" s="3"/>
    </row>
    <row r="46" spans="1:25" ht="16.5" customHeight="1">
      <c r="A46" s="3"/>
      <c r="B46" s="3"/>
    </row>
    <row r="47" spans="1:25" ht="16.5" customHeight="1">
      <c r="A47" s="3"/>
      <c r="B47" s="3"/>
    </row>
    <row r="48" spans="1:25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  <row r="999" spans="1:2" ht="16.5" customHeight="1">
      <c r="A999" s="3"/>
      <c r="B999" s="3"/>
    </row>
  </sheetData>
  <phoneticPr fontId="16" type="noConversion"/>
  <conditionalFormatting sqref="B9:B10">
    <cfRule type="cellIs" dxfId="95" priority="1" operator="lessThan">
      <formula>1</formula>
    </cfRule>
    <cfRule type="cellIs" dxfId="94" priority="2" operator="lessThan">
      <formula>2</formula>
    </cfRule>
  </conditionalFormatting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CAAC"/>
  </sheetPr>
  <dimension ref="A1:AE993"/>
  <sheetViews>
    <sheetView tabSelected="1" topLeftCell="F1" zoomScaleNormal="100" workbookViewId="0">
      <selection activeCell="U17" sqref="U17"/>
    </sheetView>
    <sheetView workbookViewId="1"/>
  </sheetViews>
  <sheetFormatPr defaultColWidth="14.42578125" defaultRowHeight="15" customHeight="1"/>
  <cols>
    <col min="1" max="3" width="16.85546875" style="1" customWidth="1"/>
    <col min="4" max="4" width="16.85546875" style="84" customWidth="1"/>
    <col min="5" max="5" width="7.42578125" style="555" customWidth="1"/>
    <col min="6" max="6" width="25.5703125" style="84" bestFit="1" customWidth="1"/>
    <col min="7" max="10" width="16.85546875" style="1" bestFit="1" customWidth="1"/>
    <col min="11" max="11" width="4.28515625" style="1" customWidth="1"/>
    <col min="12" max="12" width="20.42578125" style="1" bestFit="1" customWidth="1"/>
    <col min="13" max="13" width="19.28515625" style="1" bestFit="1" customWidth="1"/>
    <col min="14" max="16" width="16.85546875" style="1" bestFit="1" customWidth="1"/>
    <col min="17" max="17" width="3.7109375" style="1" customWidth="1"/>
    <col min="18" max="18" width="17.85546875" style="1" customWidth="1"/>
    <col min="19" max="21" width="19.140625" style="1" customWidth="1"/>
    <col min="22" max="22" width="15.42578125" style="1" customWidth="1"/>
    <col min="23" max="23" width="4.28515625" style="1" customWidth="1"/>
    <col min="24" max="24" width="17.85546875" style="1" customWidth="1"/>
    <col min="25" max="27" width="19.140625" style="1" customWidth="1"/>
    <col min="28" max="28" width="15.42578125" style="1" customWidth="1"/>
    <col min="29" max="29" width="8.7109375" style="1" customWidth="1"/>
    <col min="30" max="30" width="15.42578125" style="1" customWidth="1"/>
    <col min="31" max="31" width="8.7109375" style="1" customWidth="1"/>
    <col min="32" max="16384" width="14.42578125" style="1"/>
  </cols>
  <sheetData>
    <row r="1" spans="1:30" ht="15" customHeight="1">
      <c r="A1" s="510" t="s">
        <v>366</v>
      </c>
      <c r="B1" s="510" t="s">
        <v>366</v>
      </c>
      <c r="C1" s="510" t="s">
        <v>366</v>
      </c>
      <c r="D1" s="510" t="s">
        <v>366</v>
      </c>
      <c r="E1" s="549"/>
      <c r="F1" s="561" t="s">
        <v>291</v>
      </c>
      <c r="G1" s="495" t="s">
        <v>330</v>
      </c>
      <c r="M1" s="495" t="s">
        <v>331</v>
      </c>
      <c r="S1" s="495" t="s">
        <v>332</v>
      </c>
    </row>
    <row r="2" spans="1:30" ht="16.5" customHeight="1" thickBot="1">
      <c r="A2" s="246"/>
      <c r="B2" s="246"/>
      <c r="C2" s="246"/>
      <c r="D2" s="498"/>
      <c r="E2" s="551"/>
      <c r="F2" s="562" t="s">
        <v>333</v>
      </c>
      <c r="G2" s="84"/>
      <c r="H2" s="246"/>
      <c r="I2" s="246"/>
      <c r="J2" s="246"/>
      <c r="L2" s="496" t="s">
        <v>334</v>
      </c>
      <c r="M2" s="504"/>
      <c r="N2" s="246"/>
      <c r="O2" s="246"/>
      <c r="P2" s="246"/>
      <c r="R2" s="496" t="s">
        <v>335</v>
      </c>
      <c r="S2" s="497">
        <v>2000000000</v>
      </c>
      <c r="T2" s="497">
        <v>2000000000</v>
      </c>
      <c r="U2" s="497">
        <v>2000000000</v>
      </c>
      <c r="V2" s="497">
        <v>2000000000</v>
      </c>
      <c r="X2" s="496" t="s">
        <v>335</v>
      </c>
      <c r="Y2" s="497">
        <v>1000000000</v>
      </c>
      <c r="Z2" s="497">
        <v>1000000000</v>
      </c>
      <c r="AA2" s="497">
        <v>1000000000</v>
      </c>
      <c r="AB2" s="497">
        <v>1000000000</v>
      </c>
    </row>
    <row r="3" spans="1:30" ht="16.5" customHeight="1">
      <c r="A3" s="508" t="s">
        <v>362</v>
      </c>
      <c r="B3" s="508" t="s">
        <v>362</v>
      </c>
      <c r="C3" s="508" t="s">
        <v>362</v>
      </c>
      <c r="D3" s="508" t="s">
        <v>362</v>
      </c>
      <c r="E3" s="550"/>
      <c r="F3" s="530">
        <v>2026</v>
      </c>
      <c r="G3" s="498" t="s">
        <v>336</v>
      </c>
      <c r="H3" s="290" t="s">
        <v>359</v>
      </c>
      <c r="I3" s="274" t="s">
        <v>360</v>
      </c>
      <c r="J3" s="274" t="s">
        <v>361</v>
      </c>
      <c r="L3" s="495">
        <v>2027</v>
      </c>
      <c r="M3" s="246" t="str">
        <f>G3</f>
        <v>주택1</v>
      </c>
      <c r="N3" s="246" t="str">
        <f>H3</f>
        <v>주택2</v>
      </c>
      <c r="O3" s="246" t="str">
        <f>I3</f>
        <v>주택3</v>
      </c>
      <c r="P3" s="246" t="str">
        <f>J3</f>
        <v>주택4</v>
      </c>
      <c r="R3" s="495">
        <v>2028</v>
      </c>
      <c r="S3" s="246" t="str">
        <f>M3</f>
        <v>주택1</v>
      </c>
      <c r="T3" s="246" t="str">
        <f>N3</f>
        <v>주택2</v>
      </c>
      <c r="U3" s="246" t="str">
        <f>O3</f>
        <v>주택3</v>
      </c>
      <c r="V3" s="246" t="str">
        <f>P3</f>
        <v>주택4</v>
      </c>
      <c r="X3" s="495">
        <v>2029</v>
      </c>
      <c r="Y3" s="246" t="str">
        <f>S3</f>
        <v>주택1</v>
      </c>
      <c r="Z3" s="246" t="str">
        <f t="shared" ref="Z3" si="0">T3</f>
        <v>주택2</v>
      </c>
      <c r="AA3" s="246" t="str">
        <f t="shared" ref="AA3" si="1">U3</f>
        <v>주택3</v>
      </c>
      <c r="AB3" s="246" t="str">
        <f t="shared" ref="AB3" si="2">V3</f>
        <v>주택4</v>
      </c>
    </row>
    <row r="4" spans="1:30" ht="16.5" customHeight="1">
      <c r="A4" s="515" t="s">
        <v>0</v>
      </c>
      <c r="B4" s="515"/>
      <c r="C4" s="515"/>
      <c r="D4" s="556"/>
      <c r="E4" s="551"/>
      <c r="F4" s="519"/>
      <c r="G4" s="514" t="s">
        <v>337</v>
      </c>
      <c r="H4" s="514" t="s">
        <v>338</v>
      </c>
      <c r="I4" s="514" t="s">
        <v>339</v>
      </c>
      <c r="J4" s="514" t="s">
        <v>340</v>
      </c>
      <c r="L4" s="583" t="s">
        <v>71</v>
      </c>
      <c r="M4" s="514" t="s">
        <v>337</v>
      </c>
      <c r="N4" s="514" t="s">
        <v>338</v>
      </c>
      <c r="O4" s="514" t="s">
        <v>339</v>
      </c>
      <c r="P4" s="514" t="s">
        <v>340</v>
      </c>
      <c r="R4" s="583"/>
      <c r="S4" s="514" t="s">
        <v>337</v>
      </c>
      <c r="T4" s="514" t="s">
        <v>338</v>
      </c>
      <c r="U4" s="514" t="s">
        <v>339</v>
      </c>
      <c r="V4" s="514" t="s">
        <v>340</v>
      </c>
      <c r="X4" s="583" t="s">
        <v>341</v>
      </c>
      <c r="Y4" s="514" t="s">
        <v>337</v>
      </c>
      <c r="Z4" s="514" t="s">
        <v>338</v>
      </c>
      <c r="AA4" s="514" t="s">
        <v>339</v>
      </c>
      <c r="AB4" s="514" t="s">
        <v>340</v>
      </c>
    </row>
    <row r="5" spans="1:30" ht="16.5" customHeight="1">
      <c r="A5" s="509"/>
      <c r="B5" s="509"/>
      <c r="C5" s="509"/>
      <c r="D5" s="541"/>
      <c r="E5" s="552"/>
      <c r="F5" s="157" t="s">
        <v>342</v>
      </c>
      <c r="G5" s="499" t="str">
        <f>HLOOKUP(G$3,기초!$C$5:$I$16,MATCH($F5,기초!$A$5:$A$16,0),0)</f>
        <v>조정대상지역</v>
      </c>
      <c r="H5" s="499" t="str">
        <f>HLOOKUP(H$3,기초!$C$5:$I$16,MATCH($F5,기초!$A$5:$A$16,0),0)</f>
        <v>조정대상지역</v>
      </c>
      <c r="I5" s="499" t="str">
        <f>HLOOKUP(I$3,기초!$C$5:$I$16,MATCH($F5,기초!$A$5:$A$16,0),0)</f>
        <v>일반지역</v>
      </c>
      <c r="J5" s="499" t="str">
        <f>HLOOKUP(J$3,기초!$C$5:$I$16,MATCH($F5,기초!$A$5:$A$16,0),0)</f>
        <v>일반지역</v>
      </c>
      <c r="L5" s="157" t="s">
        <v>342</v>
      </c>
      <c r="M5" s="499" t="str">
        <f>HLOOKUP(M$3,기초!$C$5:$I$16,MATCH($F5,기초!$A$5:$A$16,0),0)</f>
        <v>조정대상지역</v>
      </c>
      <c r="N5" s="499" t="str">
        <f>HLOOKUP(N$3,기초!$C$5:$I$16,MATCH($F5,기초!$A$5:$A$16,0),0)</f>
        <v>조정대상지역</v>
      </c>
      <c r="O5" s="499" t="str">
        <f>HLOOKUP(O$3,기초!$C$5:$I$16,MATCH($F5,기초!$A$5:$A$16,0),0)</f>
        <v>일반지역</v>
      </c>
      <c r="P5" s="499" t="str">
        <f>HLOOKUP(P$3,기초!$C$5:$I$16,MATCH($F5,기초!$A$5:$A$16,0),0)</f>
        <v>일반지역</v>
      </c>
      <c r="R5" s="157" t="s">
        <v>342</v>
      </c>
      <c r="S5" s="499" t="str">
        <f>HLOOKUP(S$3,기초!$C$5:$I$16,MATCH($F5,기초!$A$5:$A$16,0),0)</f>
        <v>조정대상지역</v>
      </c>
      <c r="T5" s="499" t="str">
        <f>HLOOKUP(T$3,기초!$C$5:$I$16,MATCH($F5,기초!$A$5:$A$16,0),0)</f>
        <v>조정대상지역</v>
      </c>
      <c r="U5" s="499" t="str">
        <f>HLOOKUP(U$3,기초!$C$5:$I$16,MATCH($F5,기초!$A$5:$A$16,0),0)</f>
        <v>일반지역</v>
      </c>
      <c r="V5" s="499" t="str">
        <f>HLOOKUP(V$3,기초!$C$5:$I$16,MATCH($F5,기초!$A$5:$A$16,0),0)</f>
        <v>일반지역</v>
      </c>
      <c r="X5" s="157" t="s">
        <v>342</v>
      </c>
      <c r="Y5" s="499" t="str">
        <f>HLOOKUP(Y$3,기초!$C$5:$I$16,MATCH($F5,기초!$A$5:$A$16,0),0)</f>
        <v>조정대상지역</v>
      </c>
      <c r="Z5" s="499" t="str">
        <f>HLOOKUP(Z$3,기초!$C$5:$I$16,MATCH($F5,기초!$A$5:$A$16,0),0)</f>
        <v>조정대상지역</v>
      </c>
      <c r="AA5" s="499" t="str">
        <f>HLOOKUP(AA$3,기초!$C$5:$I$16,MATCH($F5,기초!$A$5:$A$16,0),0)</f>
        <v>일반지역</v>
      </c>
      <c r="AB5" s="499" t="str">
        <f>HLOOKUP(AB$3,기초!$C$5:$I$16,MATCH($F5,기초!$A$5:$A$16,0),0)</f>
        <v>일반지역</v>
      </c>
    </row>
    <row r="6" spans="1:30" ht="16.5" customHeight="1">
      <c r="A6" s="509">
        <f>HLOOKUP(A$3,기초!$C$5:$I$16,MATCH($F6,기초!$A$5:$A$16,0),0)</f>
        <v>15</v>
      </c>
      <c r="B6" s="509">
        <f>HLOOKUP(B$3,기초!$C$5:$I$16,MATCH($F6,기초!$A$5:$A$16,0),0)</f>
        <v>15</v>
      </c>
      <c r="C6" s="509">
        <f>HLOOKUP(C$3,기초!$C$5:$I$16,MATCH($F6,기초!$A$5:$A$16,0),0)</f>
        <v>15</v>
      </c>
      <c r="D6" s="541">
        <f>HLOOKUP(D$3,기초!$C$5:$I$16,MATCH($F6,기초!$A$5:$A$16,0),0)</f>
        <v>15</v>
      </c>
      <c r="E6" s="552"/>
      <c r="F6" s="157" t="s">
        <v>343</v>
      </c>
      <c r="G6" s="499">
        <f>HLOOKUP(G$3,기초!$C$5:$I$16,MATCH($F6,기초!$A$5:$A$16,0),0)</f>
        <v>15</v>
      </c>
      <c r="H6" s="499">
        <f>HLOOKUP(H$3,기초!$C$5:$I$16,MATCH($F6,기초!$A$5:$A$16,0),0)</f>
        <v>4</v>
      </c>
      <c r="I6" s="499">
        <f>HLOOKUP(I$3,기초!$C$5:$I$16,MATCH($F6,기초!$A$5:$A$16,0),0)</f>
        <v>5</v>
      </c>
      <c r="J6" s="499">
        <f>HLOOKUP(J$3,기초!$C$5:$I$16,MATCH($F6,기초!$A$5:$A$16,0),0)</f>
        <v>6</v>
      </c>
      <c r="L6" s="157" t="s">
        <v>369</v>
      </c>
      <c r="M6" s="499">
        <f>G6+1</f>
        <v>16</v>
      </c>
      <c r="N6" s="499">
        <f>H6+1</f>
        <v>5</v>
      </c>
      <c r="O6" s="499">
        <f>I6+1</f>
        <v>6</v>
      </c>
      <c r="P6" s="499">
        <f>J6+1</f>
        <v>7</v>
      </c>
      <c r="R6" s="157" t="s">
        <v>369</v>
      </c>
      <c r="S6" s="499">
        <f t="shared" ref="S6:V7" si="3">M6+1</f>
        <v>17</v>
      </c>
      <c r="T6" s="499">
        <f t="shared" si="3"/>
        <v>6</v>
      </c>
      <c r="U6" s="499">
        <f t="shared" si="3"/>
        <v>7</v>
      </c>
      <c r="V6" s="499">
        <f t="shared" si="3"/>
        <v>8</v>
      </c>
      <c r="X6" s="157" t="s">
        <v>369</v>
      </c>
      <c r="Y6" s="499">
        <f>S6+1</f>
        <v>18</v>
      </c>
      <c r="Z6" s="499">
        <f t="shared" ref="Z6:Z7" si="4">T6+1</f>
        <v>7</v>
      </c>
      <c r="AA6" s="499">
        <f t="shared" ref="AA6:AA7" si="5">U6+1</f>
        <v>8</v>
      </c>
      <c r="AB6" s="499">
        <f t="shared" ref="AB6:AB7" si="6">V6+1</f>
        <v>9</v>
      </c>
    </row>
    <row r="7" spans="1:30" ht="16.5" customHeight="1">
      <c r="A7" s="509">
        <f>HLOOKUP(A$3,기초!$C$5:$I$16,MATCH($F7,기초!$A$5:$A$16,0),0)</f>
        <v>10</v>
      </c>
      <c r="B7" s="509">
        <f>HLOOKUP(B$3,기초!$C$5:$I$16,MATCH($F7,기초!$A$5:$A$16,0),0)</f>
        <v>10</v>
      </c>
      <c r="C7" s="509">
        <f>HLOOKUP(C$3,기초!$C$5:$I$16,MATCH($F7,기초!$A$5:$A$16,0),0)</f>
        <v>10</v>
      </c>
      <c r="D7" s="541">
        <f>HLOOKUP(D$3,기초!$C$5:$I$16,MATCH($F7,기초!$A$5:$A$16,0),0)</f>
        <v>10</v>
      </c>
      <c r="E7" s="552"/>
      <c r="F7" s="157" t="s">
        <v>344</v>
      </c>
      <c r="G7" s="499">
        <f>HLOOKUP(G$3,기초!$C$5:$I$16,MATCH($F7,기초!$A$5:$A$16,0),0)</f>
        <v>10</v>
      </c>
      <c r="H7" s="499">
        <f>HLOOKUP(H$3,기초!$C$5:$I$16,MATCH($F7,기초!$A$5:$A$16,0),0)</f>
        <v>4</v>
      </c>
      <c r="I7" s="499">
        <f>HLOOKUP(I$3,기초!$C$5:$I$16,MATCH($F7,기초!$A$5:$A$16,0),0)</f>
        <v>4</v>
      </c>
      <c r="J7" s="499">
        <f>HLOOKUP(J$3,기초!$C$5:$I$16,MATCH($F7,기초!$A$5:$A$16,0),0)</f>
        <v>3</v>
      </c>
      <c r="L7" s="157" t="s">
        <v>370</v>
      </c>
      <c r="M7" s="499">
        <f>G7+1</f>
        <v>11</v>
      </c>
      <c r="N7" s="499">
        <f>H7+1</f>
        <v>5</v>
      </c>
      <c r="O7" s="499">
        <f>I7+1</f>
        <v>5</v>
      </c>
      <c r="P7" s="499">
        <f>J7+1</f>
        <v>4</v>
      </c>
      <c r="R7" s="157" t="s">
        <v>370</v>
      </c>
      <c r="S7" s="499">
        <f t="shared" si="3"/>
        <v>12</v>
      </c>
      <c r="T7" s="499">
        <f t="shared" si="3"/>
        <v>6</v>
      </c>
      <c r="U7" s="499">
        <f t="shared" si="3"/>
        <v>6</v>
      </c>
      <c r="V7" s="499">
        <f t="shared" si="3"/>
        <v>5</v>
      </c>
      <c r="X7" s="157" t="s">
        <v>370</v>
      </c>
      <c r="Y7" s="499">
        <f>S7+1</f>
        <v>13</v>
      </c>
      <c r="Z7" s="499">
        <f t="shared" si="4"/>
        <v>7</v>
      </c>
      <c r="AA7" s="499">
        <f t="shared" si="5"/>
        <v>7</v>
      </c>
      <c r="AB7" s="499">
        <f t="shared" si="6"/>
        <v>6</v>
      </c>
    </row>
    <row r="8" spans="1:30" ht="16.5" customHeight="1">
      <c r="A8" s="516" t="s">
        <v>363</v>
      </c>
      <c r="B8" s="516" t="s">
        <v>363</v>
      </c>
      <c r="C8" s="516" t="s">
        <v>364</v>
      </c>
      <c r="D8" s="557" t="s">
        <v>365</v>
      </c>
      <c r="E8" s="549"/>
      <c r="F8" s="157" t="s">
        <v>345</v>
      </c>
      <c r="G8" s="157" t="str">
        <f t="shared" ref="G8:I8" si="7">IF(AND(G4="3주택",G5="조정대상지역"),"기본세율+30%",IF(G4="비사토","기본세율+10%",IF(AND(G4="2주택",G5="조정대상지역"),"기본세율+20%","기본세율")))</f>
        <v>기본세율</v>
      </c>
      <c r="H8" s="157" t="str">
        <f t="shared" si="7"/>
        <v>기본세율</v>
      </c>
      <c r="I8" s="157" t="str">
        <f t="shared" si="7"/>
        <v>기본세율</v>
      </c>
      <c r="J8" s="157" t="str">
        <f t="shared" ref="J8" si="8">IF(AND(J4="3주택",J5="조정대상지역"),"기본세율+30%",IF(J4="비사토","기본세율+10%",IF(AND(J4="2주택",J5="조정대상지역"),"기본세율+20%","기본세율")))</f>
        <v>기본세율</v>
      </c>
      <c r="L8" s="157" t="s">
        <v>345</v>
      </c>
      <c r="M8" s="157" t="str">
        <f t="shared" ref="M8:P8" si="9">IF(AND(M4="3주택",M5="조정대상지역"),"기본세율+30%",IF(M4="비사토","기본세율+10%",IF(AND(M4="2주택",M5="조정대상지역"),"기본세율+20%","기본세율")))</f>
        <v>기본세율</v>
      </c>
      <c r="N8" s="157" t="str">
        <f t="shared" si="9"/>
        <v>기본세율</v>
      </c>
      <c r="O8" s="157" t="str">
        <f t="shared" si="9"/>
        <v>기본세율</v>
      </c>
      <c r="P8" s="157" t="str">
        <f t="shared" si="9"/>
        <v>기본세율</v>
      </c>
      <c r="R8" s="157" t="s">
        <v>345</v>
      </c>
      <c r="S8" s="157" t="str">
        <f t="shared" ref="S8:V8" si="10">IF(AND(S4="3주택",S5="조정대상지역"),"기본세율+30%",IF(S4="비사토","기본세율+10%",IF(AND(S4="2주택",S5="조정대상지역"),"기본세율+20%","기본세율")))</f>
        <v>기본세율</v>
      </c>
      <c r="T8" s="157" t="str">
        <f t="shared" si="10"/>
        <v>기본세율</v>
      </c>
      <c r="U8" s="157" t="str">
        <f t="shared" si="10"/>
        <v>기본세율</v>
      </c>
      <c r="V8" s="157" t="str">
        <f t="shared" si="10"/>
        <v>기본세율</v>
      </c>
      <c r="X8" s="157" t="s">
        <v>345</v>
      </c>
      <c r="Y8" s="157" t="str">
        <f t="shared" ref="Y8:AB8" si="11">IF(AND(Y4="3주택",Y5="조정대상지역"),"기본세율+30%",IF(Y4="비사토","기본세율+10%",IF(AND(Y4="2주택",Y5="조정대상지역"),"기본세율+20%","기본세율")))</f>
        <v>기본세율</v>
      </c>
      <c r="Z8" s="157" t="str">
        <f t="shared" si="11"/>
        <v>기본세율</v>
      </c>
      <c r="AA8" s="157" t="str">
        <f t="shared" si="11"/>
        <v>기본세율</v>
      </c>
      <c r="AB8" s="157" t="str">
        <f t="shared" si="11"/>
        <v>기본세율</v>
      </c>
    </row>
    <row r="9" spans="1:30" ht="16.5" customHeight="1">
      <c r="A9" s="511">
        <f>HLOOKUP(A$3,기초!$C$5:$I$16,MATCH($F9,기초!$A$5:$A$16,0),0)</f>
        <v>1</v>
      </c>
      <c r="B9" s="511">
        <f>HLOOKUP(B$3,기초!$C$5:$I$16,MATCH($F9,기초!$A$5:$A$16,0),0)</f>
        <v>1</v>
      </c>
      <c r="C9" s="511">
        <f>HLOOKUP(C$3,기초!$C$5:$I$16,MATCH($F9,기초!$A$5:$A$16,0),0)</f>
        <v>1</v>
      </c>
      <c r="D9" s="558">
        <f>HLOOKUP(D$3,기초!$C$5:$I$16,MATCH($F9,기초!$A$5:$A$16,0),0)</f>
        <v>1</v>
      </c>
      <c r="E9" s="553"/>
      <c r="F9" s="582" t="s">
        <v>221</v>
      </c>
      <c r="G9" s="540">
        <f>HLOOKUP(G$3,기초!$C$5:$I$16,MATCH($F9,기초!$A$5:$A$16,0),0)</f>
        <v>1</v>
      </c>
      <c r="H9" s="540">
        <f>HLOOKUP(H$3,기초!$C$5:$I$16,MATCH($F9,기초!$A$5:$A$16,0),0)</f>
        <v>0.5</v>
      </c>
      <c r="I9" s="540">
        <f>HLOOKUP(I$3,기초!$C$5:$I$16,MATCH($F9,기초!$A$5:$A$16,0),0)</f>
        <v>1</v>
      </c>
      <c r="J9" s="540">
        <f>HLOOKUP(J$3,기초!$C$5:$I$16,MATCH($F9,기초!$A$5:$A$16,0),0)</f>
        <v>1</v>
      </c>
      <c r="L9" s="582" t="s">
        <v>371</v>
      </c>
      <c r="M9" s="540">
        <f>HLOOKUP(M$3,기초!$C$5:$I$16,MATCH($F9,기초!$A$5:$A$16,0),0)</f>
        <v>1</v>
      </c>
      <c r="N9" s="540">
        <f>HLOOKUP(N$3,기초!$C$5:$I$16,MATCH($F9,기초!$A$5:$A$16,0),0)</f>
        <v>0.5</v>
      </c>
      <c r="O9" s="540">
        <f>HLOOKUP(O$3,기초!$C$5:$I$16,MATCH($F9,기초!$A$5:$A$16,0),0)</f>
        <v>1</v>
      </c>
      <c r="P9" s="540">
        <f>HLOOKUP(P$3,기초!$C$5:$I$16,MATCH($F9,기초!$A$5:$A$16,0),0)</f>
        <v>1</v>
      </c>
      <c r="R9" s="582" t="s">
        <v>371</v>
      </c>
      <c r="S9" s="540">
        <f>HLOOKUP(S$3,기초!$C$5:$I$16,MATCH($F9,기초!$A$5:$A$16,0),0)</f>
        <v>1</v>
      </c>
      <c r="T9" s="540">
        <f>HLOOKUP(T$3,기초!$C$5:$I$16,MATCH($F9,기초!$A$5:$A$16,0),0)</f>
        <v>0.5</v>
      </c>
      <c r="U9" s="540">
        <f>HLOOKUP(U$3,기초!$C$5:$I$16,MATCH($F9,기초!$A$5:$A$16,0),0)</f>
        <v>1</v>
      </c>
      <c r="V9" s="540">
        <f>HLOOKUP(V$3,기초!$C$5:$I$16,MATCH($F9,기초!$A$5:$A$16,0),0)</f>
        <v>1</v>
      </c>
      <c r="X9" s="582" t="s">
        <v>371</v>
      </c>
      <c r="Y9" s="540">
        <f>HLOOKUP(Y$3,기초!$C$5:$I$16,MATCH($F9,기초!$A$5:$A$16,0),0)</f>
        <v>1</v>
      </c>
      <c r="Z9" s="540">
        <f>HLOOKUP(Z$3,기초!$C$5:$I$16,MATCH($F9,기초!$A$5:$A$16,0),0)</f>
        <v>0.5</v>
      </c>
      <c r="AA9" s="540">
        <f>HLOOKUP(AA$3,기초!$C$5:$I$16,MATCH($F9,기초!$A$5:$A$16,0),0)</f>
        <v>1</v>
      </c>
      <c r="AB9" s="540">
        <f>HLOOKUP(AB$3,기초!$C$5:$I$16,MATCH($F9,기초!$A$5:$A$16,0),0)</f>
        <v>1</v>
      </c>
    </row>
    <row r="10" spans="1:30" ht="16.5" customHeight="1">
      <c r="A10" s="512"/>
      <c r="B10" s="512"/>
      <c r="C10" s="512"/>
      <c r="D10" s="512"/>
      <c r="E10" s="554"/>
      <c r="F10" s="498"/>
      <c r="G10" s="506"/>
      <c r="H10" s="506"/>
      <c r="I10" s="500"/>
      <c r="J10" s="500"/>
      <c r="L10" s="157" t="s">
        <v>346</v>
      </c>
      <c r="M10" s="584"/>
      <c r="N10" s="584"/>
      <c r="O10" s="584"/>
      <c r="P10" s="584"/>
      <c r="R10" s="157" t="s">
        <v>346</v>
      </c>
      <c r="S10" s="584"/>
      <c r="T10" s="584"/>
      <c r="U10" s="584"/>
      <c r="V10" s="584"/>
      <c r="X10" s="157" t="s">
        <v>346</v>
      </c>
      <c r="Y10" s="584"/>
      <c r="Z10" s="584"/>
      <c r="AA10" s="584"/>
      <c r="AB10" s="584"/>
    </row>
    <row r="11" spans="1:30" ht="16.5" customHeight="1">
      <c r="A11" s="513"/>
      <c r="B11" s="513"/>
      <c r="C11" s="513"/>
      <c r="D11" s="513"/>
      <c r="G11" s="84"/>
      <c r="H11" s="84"/>
      <c r="L11" s="84"/>
      <c r="M11" s="84"/>
      <c r="N11" s="84"/>
      <c r="R11" s="84"/>
      <c r="S11" s="84"/>
      <c r="T11" s="84"/>
      <c r="X11" s="84"/>
      <c r="Y11" s="84"/>
      <c r="Z11" s="84"/>
    </row>
    <row r="12" spans="1:30" ht="16.5" customHeight="1">
      <c r="A12" s="509">
        <f>HLOOKUP(A$3,기초!$C$5:$I$16,MATCH($F12,기초!$A$5:$A$16,0),0)</f>
        <v>4000000000</v>
      </c>
      <c r="B12" s="509">
        <f>HLOOKUP(B$3,기초!$C$5:$I$16,MATCH($F12,기초!$A$5:$A$16,0),0)</f>
        <v>4000000000</v>
      </c>
      <c r="C12" s="509">
        <f>HLOOKUP(C$3,기초!$C$5:$I$16,MATCH($F12,기초!$A$5:$A$16,0),0)</f>
        <v>4000000000</v>
      </c>
      <c r="D12" s="541">
        <f>HLOOKUP(D$3,기초!$C$5:$I$16,MATCH($F12,기초!$A$5:$A$16,0),0)</f>
        <v>4000000000</v>
      </c>
      <c r="E12" s="552"/>
      <c r="F12" s="563" t="s">
        <v>347</v>
      </c>
      <c r="G12" s="574">
        <f>HLOOKUP(G$3,기초!$C$5:$I$16,MATCH($F12,기초!$A$5:$A$16,0),0)</f>
        <v>4000000000</v>
      </c>
      <c r="H12" s="505">
        <f>HLOOKUP(H$3,기초!$C$5:$I$16,MATCH($F12,기초!$A$5:$A$16,0),0)</f>
        <v>1300000000</v>
      </c>
      <c r="I12" s="499">
        <f>HLOOKUP(I$3,기초!$C$5:$I$16,MATCH($F12,기초!$A$5:$A$16,0),0)</f>
        <v>2000000000</v>
      </c>
      <c r="J12" s="499">
        <f>HLOOKUP(J$3,기초!$C$5:$I$16,MATCH($F12,기초!$A$5:$A$16,0),0)</f>
        <v>2500000000</v>
      </c>
      <c r="L12" s="563" t="s">
        <v>347</v>
      </c>
      <c r="M12" s="574">
        <f>G12</f>
        <v>4000000000</v>
      </c>
      <c r="N12" s="505">
        <f>H12</f>
        <v>1300000000</v>
      </c>
      <c r="O12" s="499">
        <f>I12</f>
        <v>2000000000</v>
      </c>
      <c r="P12" s="499">
        <f>J12</f>
        <v>2500000000</v>
      </c>
      <c r="R12" s="563" t="s">
        <v>347</v>
      </c>
      <c r="S12" s="574">
        <f>M12</f>
        <v>4000000000</v>
      </c>
      <c r="T12" s="505">
        <f>N12</f>
        <v>1300000000</v>
      </c>
      <c r="U12" s="499">
        <f>O12</f>
        <v>2000000000</v>
      </c>
      <c r="V12" s="499">
        <f>P12</f>
        <v>2500000000</v>
      </c>
      <c r="X12" s="563" t="s">
        <v>347</v>
      </c>
      <c r="Y12" s="574">
        <f>S12</f>
        <v>4000000000</v>
      </c>
      <c r="Z12" s="505">
        <f t="shared" ref="Z12" si="12">T12</f>
        <v>1300000000</v>
      </c>
      <c r="AA12" s="499">
        <f t="shared" ref="AA12" si="13">U12</f>
        <v>2000000000</v>
      </c>
      <c r="AB12" s="499">
        <f t="shared" ref="AB12" si="14">V12</f>
        <v>2500000000</v>
      </c>
    </row>
    <row r="13" spans="1:30" ht="16.5" customHeight="1">
      <c r="A13" s="518">
        <f>A9*A12</f>
        <v>4000000000</v>
      </c>
      <c r="B13" s="518">
        <f>B9*B12</f>
        <v>4000000000</v>
      </c>
      <c r="C13" s="518">
        <f>C9*C12</f>
        <v>4000000000</v>
      </c>
      <c r="D13" s="542">
        <f>D9*D12</f>
        <v>4000000000</v>
      </c>
      <c r="E13" s="571"/>
      <c r="F13" s="564" t="s">
        <v>367</v>
      </c>
      <c r="G13" s="575">
        <f>G12</f>
        <v>4000000000</v>
      </c>
      <c r="H13" s="531">
        <f>H12</f>
        <v>1300000000</v>
      </c>
      <c r="I13" s="517">
        <f t="shared" ref="I13:J13" si="15">I12</f>
        <v>2000000000</v>
      </c>
      <c r="J13" s="517">
        <f t="shared" si="15"/>
        <v>2500000000</v>
      </c>
      <c r="L13" s="564" t="s">
        <v>367</v>
      </c>
      <c r="M13" s="575">
        <f t="shared" ref="M13:P13" si="16">M12</f>
        <v>4000000000</v>
      </c>
      <c r="N13" s="531">
        <f t="shared" si="16"/>
        <v>1300000000</v>
      </c>
      <c r="O13" s="517">
        <f t="shared" si="16"/>
        <v>2000000000</v>
      </c>
      <c r="P13" s="517">
        <f t="shared" si="16"/>
        <v>2500000000</v>
      </c>
      <c r="R13" s="564" t="s">
        <v>367</v>
      </c>
      <c r="S13" s="575">
        <f t="shared" ref="S13" si="17">S12</f>
        <v>4000000000</v>
      </c>
      <c r="T13" s="531">
        <f t="shared" ref="T13" si="18">T12</f>
        <v>1300000000</v>
      </c>
      <c r="U13" s="517">
        <f t="shared" ref="U13" si="19">U12</f>
        <v>2000000000</v>
      </c>
      <c r="V13" s="517">
        <f t="shared" ref="V13" si="20">V12</f>
        <v>2500000000</v>
      </c>
      <c r="X13" s="564" t="s">
        <v>367</v>
      </c>
      <c r="Y13" s="575">
        <f t="shared" ref="Y13" si="21">Y12</f>
        <v>4000000000</v>
      </c>
      <c r="Z13" s="531">
        <f t="shared" ref="Z13" si="22">Z12</f>
        <v>1300000000</v>
      </c>
      <c r="AA13" s="517">
        <f t="shared" ref="AA13" si="23">AA12</f>
        <v>2000000000</v>
      </c>
      <c r="AB13" s="517">
        <f t="shared" ref="AB13" si="24">AB12</f>
        <v>2500000000</v>
      </c>
    </row>
    <row r="14" spans="1:30" ht="16.5" customHeight="1">
      <c r="A14" s="509">
        <f>HLOOKUP(A$3,기초!$C$5:$I$16,MATCH($F14,기초!$A$5:$A$16,0),0)</f>
        <v>1000000000</v>
      </c>
      <c r="B14" s="509">
        <f>HLOOKUP(B$3,기초!$C$5:$I$16,MATCH($F14,기초!$A$5:$A$16,0),0)</f>
        <v>1000000000</v>
      </c>
      <c r="C14" s="509">
        <f>HLOOKUP(C$3,기초!$C$5:$I$16,MATCH($F14,기초!$A$5:$A$16,0),0)</f>
        <v>1000000000</v>
      </c>
      <c r="D14" s="541">
        <f>HLOOKUP(D$3,기초!$C$5:$I$16,MATCH($F14,기초!$A$5:$A$16,0),0)</f>
        <v>1000000000</v>
      </c>
      <c r="E14" s="552"/>
      <c r="F14" s="565" t="s">
        <v>348</v>
      </c>
      <c r="G14" s="574">
        <f>HLOOKUP(G$3,기초!$C$5:$I$16,MATCH($F14,기초!$A$5:$A$16,0),0)</f>
        <v>1000000000</v>
      </c>
      <c r="H14" s="505">
        <f>HLOOKUP(H$3,기초!$C$5:$I$16,MATCH($F14,기초!$A$5:$A$16,0),0)</f>
        <v>700000000</v>
      </c>
      <c r="I14" s="499">
        <f>HLOOKUP(I$3,기초!$C$5:$I$16,MATCH($F14,기초!$A$5:$A$16,0),0)</f>
        <v>1500000000</v>
      </c>
      <c r="J14" s="499">
        <f>HLOOKUP(J$3,기초!$C$5:$I$16,MATCH($F14,기초!$A$5:$A$16,0),0)</f>
        <v>2000000000</v>
      </c>
      <c r="L14" s="565" t="s">
        <v>348</v>
      </c>
      <c r="M14" s="574">
        <f>G14</f>
        <v>1000000000</v>
      </c>
      <c r="N14" s="505">
        <f>H14</f>
        <v>700000000</v>
      </c>
      <c r="O14" s="499">
        <f>I14</f>
        <v>1500000000</v>
      </c>
      <c r="P14" s="499">
        <f>J14</f>
        <v>2000000000</v>
      </c>
      <c r="R14" s="565" t="s">
        <v>348</v>
      </c>
      <c r="S14" s="574">
        <f>M14</f>
        <v>1000000000</v>
      </c>
      <c r="T14" s="505">
        <f>N14</f>
        <v>700000000</v>
      </c>
      <c r="U14" s="499">
        <f>O14</f>
        <v>1500000000</v>
      </c>
      <c r="V14" s="499">
        <f>P14</f>
        <v>2000000000</v>
      </c>
      <c r="X14" s="565" t="s">
        <v>348</v>
      </c>
      <c r="Y14" s="574">
        <f>S14</f>
        <v>1000000000</v>
      </c>
      <c r="Z14" s="505">
        <f t="shared" ref="Z14" si="25">T14</f>
        <v>700000000</v>
      </c>
      <c r="AA14" s="499">
        <f t="shared" ref="AA14" si="26">U14</f>
        <v>1500000000</v>
      </c>
      <c r="AB14" s="499">
        <f t="shared" ref="AB14" si="27">V14</f>
        <v>2000000000</v>
      </c>
      <c r="AD14" s="502"/>
    </row>
    <row r="15" spans="1:30" ht="16.5" customHeight="1">
      <c r="A15" s="518">
        <f>A13-A14</f>
        <v>3000000000</v>
      </c>
      <c r="B15" s="518">
        <f t="shared" ref="B15" si="28">B13-B14</f>
        <v>3000000000</v>
      </c>
      <c r="C15" s="518">
        <f>C13-C14</f>
        <v>3000000000</v>
      </c>
      <c r="D15" s="542">
        <f>D13-D14</f>
        <v>3000000000</v>
      </c>
      <c r="E15" s="571"/>
      <c r="F15" s="565" t="s">
        <v>349</v>
      </c>
      <c r="G15" s="575">
        <f t="shared" ref="G15:I15" si="29">G13-G14</f>
        <v>3000000000</v>
      </c>
      <c r="H15" s="531">
        <f t="shared" si="29"/>
        <v>600000000</v>
      </c>
      <c r="I15" s="517">
        <f t="shared" si="29"/>
        <v>500000000</v>
      </c>
      <c r="J15" s="517">
        <f t="shared" ref="J15" si="30">J13-J14</f>
        <v>500000000</v>
      </c>
      <c r="L15" s="565" t="s">
        <v>349</v>
      </c>
      <c r="M15" s="575">
        <f t="shared" ref="M15:P15" si="31">M13-M14</f>
        <v>3000000000</v>
      </c>
      <c r="N15" s="531">
        <f t="shared" si="31"/>
        <v>600000000</v>
      </c>
      <c r="O15" s="517">
        <f t="shared" si="31"/>
        <v>500000000</v>
      </c>
      <c r="P15" s="517">
        <f t="shared" si="31"/>
        <v>500000000</v>
      </c>
      <c r="R15" s="565" t="s">
        <v>349</v>
      </c>
      <c r="S15" s="575">
        <f t="shared" ref="S15:V15" si="32">S13-S14</f>
        <v>3000000000</v>
      </c>
      <c r="T15" s="531">
        <f t="shared" si="32"/>
        <v>600000000</v>
      </c>
      <c r="U15" s="517">
        <f t="shared" si="32"/>
        <v>500000000</v>
      </c>
      <c r="V15" s="517">
        <f t="shared" si="32"/>
        <v>500000000</v>
      </c>
      <c r="X15" s="565" t="s">
        <v>349</v>
      </c>
      <c r="Y15" s="575">
        <f t="shared" ref="Y15:AB15" si="33">Y13-Y14</f>
        <v>3000000000</v>
      </c>
      <c r="Z15" s="531">
        <f t="shared" si="33"/>
        <v>600000000</v>
      </c>
      <c r="AA15" s="517">
        <f t="shared" si="33"/>
        <v>500000000</v>
      </c>
      <c r="AB15" s="517">
        <f t="shared" si="33"/>
        <v>500000000</v>
      </c>
    </row>
    <row r="16" spans="1:30" ht="16.5" customHeight="1">
      <c r="A16" s="518">
        <f>IF(A4="1세대1주택",MAX(0,A15*(A13-1200000000)/A13),A15)*A9</f>
        <v>2100000000</v>
      </c>
      <c r="B16" s="518">
        <f>IF(B4="1세대1주택",MAX(0,B15*(B13-1200000000)/B13),B15)*B9</f>
        <v>3000000000</v>
      </c>
      <c r="C16" s="518">
        <f>IF(C4="1세대1주택",MAX(0,C15*(C13-1200000000)/C13),C15)*C9</f>
        <v>3000000000</v>
      </c>
      <c r="D16" s="542">
        <f>IF(D4="1세대1주택",MAX(0,D15*(D13-1200000000)/D13),D15)*D9</f>
        <v>3000000000</v>
      </c>
      <c r="E16" s="571"/>
      <c r="F16" s="566" t="s">
        <v>368</v>
      </c>
      <c r="G16" s="575">
        <f>IF(G4="1세대1주택",MAX(0,G15*(G13-1200000000)/G13),G15)*G9</f>
        <v>2100000000</v>
      </c>
      <c r="H16" s="531">
        <f t="shared" ref="H16:J16" si="34">IF(H4="1세대1주택",MAX(0,H15*(H13-1200000000)/H13),H15)*H9</f>
        <v>300000000</v>
      </c>
      <c r="I16" s="517">
        <f t="shared" si="34"/>
        <v>500000000</v>
      </c>
      <c r="J16" s="517">
        <f t="shared" si="34"/>
        <v>500000000</v>
      </c>
      <c r="L16" s="566" t="s">
        <v>368</v>
      </c>
      <c r="M16" s="575">
        <f t="shared" ref="M16:P16" si="35">IF(M4="1세대1주택",MAX(0,M15*(M13-1200000000)/M13),M15)*M9</f>
        <v>2100000000</v>
      </c>
      <c r="N16" s="531">
        <f t="shared" si="35"/>
        <v>300000000</v>
      </c>
      <c r="O16" s="517">
        <f t="shared" si="35"/>
        <v>500000000</v>
      </c>
      <c r="P16" s="517">
        <f t="shared" si="35"/>
        <v>500000000</v>
      </c>
      <c r="R16" s="566" t="s">
        <v>368</v>
      </c>
      <c r="S16" s="575">
        <f t="shared" ref="S16" si="36">IF(S4="1세대1주택",MAX(0,S15*(S13-1200000000)/S13),S15)*S9</f>
        <v>2100000000</v>
      </c>
      <c r="T16" s="531">
        <f t="shared" ref="T16" si="37">IF(T4="1세대1주택",MAX(0,T15*(T13-1200000000)/T13),T15)*T9</f>
        <v>300000000</v>
      </c>
      <c r="U16" s="517">
        <f t="shared" ref="U16" si="38">IF(U4="1세대1주택",MAX(0,U15*(U13-1200000000)/U13),U15)*U9</f>
        <v>500000000</v>
      </c>
      <c r="V16" s="517">
        <f t="shared" ref="V16" si="39">IF(V4="1세대1주택",MAX(0,V15*(V13-1200000000)/V13),V15)*V9</f>
        <v>500000000</v>
      </c>
      <c r="X16" s="566" t="s">
        <v>368</v>
      </c>
      <c r="Y16" s="575">
        <f t="shared" ref="Y16" si="40">IF(Y4="1세대1주택",MAX(0,Y15*(Y13-1200000000)/Y13),Y15)*Y9</f>
        <v>2100000000</v>
      </c>
      <c r="Z16" s="531">
        <f t="shared" ref="Z16" si="41">IF(Z4="1세대1주택",MAX(0,Z15*(Z13-1200000000)/Z13),Z15)*Z9</f>
        <v>300000000</v>
      </c>
      <c r="AA16" s="517">
        <f t="shared" ref="AA16" si="42">IF(AA4="1세대1주택",MAX(0,AA15*(AA13-1200000000)/AA13),AA15)*AA9</f>
        <v>500000000</v>
      </c>
      <c r="AB16" s="517">
        <f t="shared" ref="AB16" si="43">IF(AB4="1세대1주택",MAX(0,AB15*(AB13-1200000000)/AB13),AB15)*AB9</f>
        <v>500000000</v>
      </c>
    </row>
    <row r="17" spans="1:28" ht="16.5" customHeight="1">
      <c r="A17" s="521">
        <f>IF(A6&gt;=3,IF(AND(A4="1세대1주택",A7&gt;=2),MIN(40%,A6*4%)+MIN(40%,A7*4%),IF(A8="기본세율",MIN(30%,A6*2%),0)))</f>
        <v>0.8</v>
      </c>
      <c r="B17" s="521">
        <f>IF(B6&gt;=3,IF(AND(B4="1세대1주택",B7&gt;=2),MIN(40%,B6*4%)+MIN(40%,B7*4%),IF(B8="기본세율",MIN(30%,B6*2%),0)))</f>
        <v>0.3</v>
      </c>
      <c r="C17" s="521">
        <f>IF(C6&gt;=3,IF(AND(C4="1세대1주택",C7&gt;=2),MIN(40%,C6*4%)+MIN(40%,C7*4%),IF(C8="기본세율",MIN(30%,C6*2%),0)))</f>
        <v>0</v>
      </c>
      <c r="D17" s="543">
        <f>IF(D6&gt;=3,IF(AND(D4="1세대1주택",D7&gt;=2),MIN(40%,D6*4%)+MIN(40%,D7*4%),IF(D8="기본세율",MIN(30%,D6*2%),0)))</f>
        <v>0</v>
      </c>
      <c r="E17" s="572"/>
      <c r="F17" s="565" t="s">
        <v>350</v>
      </c>
      <c r="G17" s="576">
        <f>IF(G6&gt;=3,IF(AND(G4="1세대1주택",G7&gt;=2),MIN(40%,G6*4%)+MIN(40%,G7*4%),IF(G8="기본세율",MIN(30%,G6*2%),0)))</f>
        <v>0.8</v>
      </c>
      <c r="H17" s="532">
        <f>IF(H6&gt;=3,IF(AND(H4="1세대1주택",H7&gt;=2),MIN(40%,H6*4%)+MIN(40%,H7*4%),IF(H8="기본세율",MIN(30%,H6*2%),0)))</f>
        <v>0.08</v>
      </c>
      <c r="I17" s="520">
        <f>IF(I6&gt;=3,IF(AND(I4="1세대1주택",I7&gt;=2),MIN(40%,I6*4%)+MIN(40%,I7*4%),IF(I8="기본세율",MIN(30%,I6*2%),0)))</f>
        <v>0.1</v>
      </c>
      <c r="J17" s="520">
        <f>IF(J6&gt;=3,IF(AND(J4="1세대1주택",J7&gt;=2),MIN(40%,J6*4%)+MIN(40%,J7*4%),IF(J8="기본세율",MIN(30%,J6*2%),0)))</f>
        <v>0.12</v>
      </c>
      <c r="L17" s="585" t="s">
        <v>372</v>
      </c>
      <c r="M17" s="576">
        <f>IF(M6&gt;=3,IF(AND(M4="1세대1주택",M7&gt;=2),MIN(40%,M6*4%)+MIN(40%,M7*4%),IF(M8="기본세율",MIN(30%,M6*2%),0)))</f>
        <v>0.8</v>
      </c>
      <c r="N17" s="532">
        <f>IF(N6&gt;=3,IF(AND(N4="1세대1주택",N7&gt;=2),MIN(40%,N6*4%)+MIN(40%,N7*4%),IF(N8="기본세율",MIN(30%,N6*2%),0)))</f>
        <v>0.1</v>
      </c>
      <c r="O17" s="520">
        <f>IF(O6&gt;=3,IF(AND(O4="1세대1주택",O7&gt;=2),MIN(40%,O6*4%)+MIN(40%,O7*4%),IF(O8="기본세율",MIN(30%,O6*2%),0)))</f>
        <v>0.12</v>
      </c>
      <c r="P17" s="520">
        <f>IF(P6&gt;=3,IF(AND(P4="1세대1주택",P7&gt;=2),MIN(40%,P6*4%)+MIN(40%,P7*4%),IF(P8="기본세율",MIN(30%,P6*2%),0)))</f>
        <v>0.14000000000000001</v>
      </c>
      <c r="R17" s="585" t="s">
        <v>372</v>
      </c>
      <c r="S17" s="576">
        <f>IF(S6&gt;=3,IF(AND(S4="1세대1주택",S7&gt;=2),MIN(20%,S6*2%)+MIN(60%,S7*6%),IF(S8="기본세율",MAX(MIN(15%,S6*1%),MIN(30%,S7*2%)),0)))</f>
        <v>0.8</v>
      </c>
      <c r="T17" s="576">
        <f>IF(T6&gt;=3,IF(AND(T4="1세대1주택",T7&gt;=2),MIN(20%,T6*2%)+MIN(60%,T7*6%),IF(T8="기본세율",MAX(MIN(15%,T6*1%),MIN(30%,T7*2%)),0)))</f>
        <v>0.12</v>
      </c>
      <c r="U17" s="576">
        <f>IF(U6&gt;=3,IF(AND(U4="1세대1주택",U7&gt;=2),MIN(20%,U6*2%)+MIN(60%,U7*6%),IF(U8="기본세율",MAX(MIN(15%,U6*1%),MIN(30%,U7*2%)),0)))</f>
        <v>0.12</v>
      </c>
      <c r="V17" s="576">
        <f>IF(V6&gt;=3,IF(AND(V4="1세대1주택",V7&gt;=2),MIN(20%,V6*2%)+MIN(60%,V7*6%),IF(V8="기본세율",MAX(MIN(15%,V6*1%),MIN(30%,V7*2%)),0)))</f>
        <v>0.1</v>
      </c>
      <c r="W17" s="576"/>
      <c r="X17" s="585" t="s">
        <v>372</v>
      </c>
      <c r="Y17" s="576">
        <f>IF(Y6&gt;=3,IF(AND(Y4="1세대1주택",Y7&gt;=2),MIN(80%,Y7*8%),IF(Y8="기본세율",MIN(30%,Y7*2%),0)))</f>
        <v>0.8</v>
      </c>
      <c r="Z17" s="532">
        <f>IF(Z6&gt;=3,IF(AND(Z4="1세대1주택",Z7&gt;=2),MIN(80%,Z7*8%),IF(Z8="기본세율",MIN(30%,Z7*2%),0)))</f>
        <v>0.14000000000000001</v>
      </c>
      <c r="AA17" s="520">
        <f>IF(AA6&gt;=3,IF(AND(AA4="1세대1주택",AA7&gt;=2),MIN(80%,AA7*8%),IF(AA8="기본세율",MIN(30%,AA7*2%),0)))</f>
        <v>0.14000000000000001</v>
      </c>
      <c r="AB17" s="520">
        <f>IF(AB6&gt;=3,IF(AND(AB4="1세대1주택",AB7&gt;=2),MIN(80%,AB7*8%),IF(AB8="기본세율",MIN(30%,AB7*2%),0)))</f>
        <v>0.12</v>
      </c>
    </row>
    <row r="18" spans="1:28" ht="16.5" customHeight="1" thickBot="1">
      <c r="A18" s="525">
        <f>A16*(1-A17)</f>
        <v>419999999.99999988</v>
      </c>
      <c r="B18" s="525">
        <f>B16*(1-B17)</f>
        <v>2099999999.9999998</v>
      </c>
      <c r="C18" s="525">
        <f>C16*(1-C17)</f>
        <v>3000000000</v>
      </c>
      <c r="D18" s="544">
        <f>D16*(1-D17)</f>
        <v>3000000000</v>
      </c>
      <c r="E18" s="571"/>
      <c r="F18" s="567" t="s">
        <v>351</v>
      </c>
      <c r="G18" s="577">
        <f>G16*(1-G17)</f>
        <v>419999999.99999988</v>
      </c>
      <c r="H18" s="533">
        <f>H16*(1-H17)</f>
        <v>276000000</v>
      </c>
      <c r="I18" s="524">
        <f>I16*(1-I17)</f>
        <v>450000000</v>
      </c>
      <c r="J18" s="524">
        <f>J16*(1-J17)</f>
        <v>440000000</v>
      </c>
      <c r="L18" s="567" t="s">
        <v>351</v>
      </c>
      <c r="M18" s="577">
        <f>M16*(1-M17)</f>
        <v>419999999.99999988</v>
      </c>
      <c r="N18" s="533">
        <f>N16*(1-N17)</f>
        <v>270000000</v>
      </c>
      <c r="O18" s="524">
        <f>O16*(1-O17)</f>
        <v>440000000</v>
      </c>
      <c r="P18" s="524">
        <f>P16*(1-P17)</f>
        <v>430000000</v>
      </c>
      <c r="R18" s="567" t="s">
        <v>351</v>
      </c>
      <c r="S18" s="577">
        <f>S16-MIN(S2,S16*S17)</f>
        <v>420000000</v>
      </c>
      <c r="T18" s="533">
        <f>T16-MIN(T2,T16*T17)</f>
        <v>264000000</v>
      </c>
      <c r="U18" s="524">
        <f>U16-MIN(U2,U16*U17)</f>
        <v>440000000</v>
      </c>
      <c r="V18" s="524">
        <f>V16-MIN(V2,V16*V17)</f>
        <v>450000000</v>
      </c>
      <c r="X18" s="567" t="s">
        <v>351</v>
      </c>
      <c r="Y18" s="577">
        <f>Y16-MIN(Y2,Y16*Y17)</f>
        <v>1100000000</v>
      </c>
      <c r="Z18" s="533">
        <f>Z16-MIN(Z2,Z16*Z17)</f>
        <v>258000000</v>
      </c>
      <c r="AA18" s="524">
        <f>AA16-MIN(AA2,AA16*AA17)</f>
        <v>430000000</v>
      </c>
      <c r="AB18" s="524">
        <f>AB16-MIN(AB2,AB16*AB17)</f>
        <v>440000000</v>
      </c>
    </row>
    <row r="19" spans="1:28" ht="16.5" customHeight="1">
      <c r="A19" s="523">
        <v>2500000</v>
      </c>
      <c r="B19" s="523">
        <v>2500001</v>
      </c>
      <c r="C19" s="523">
        <v>2500000</v>
      </c>
      <c r="D19" s="545">
        <v>2500000</v>
      </c>
      <c r="E19" s="571"/>
      <c r="F19" s="568" t="s">
        <v>352</v>
      </c>
      <c r="G19" s="578">
        <v>2500000</v>
      </c>
      <c r="H19" s="534">
        <v>2500000</v>
      </c>
      <c r="I19" s="522">
        <v>2500000</v>
      </c>
      <c r="J19" s="522">
        <v>2500000</v>
      </c>
      <c r="L19" s="568" t="s">
        <v>352</v>
      </c>
      <c r="M19" s="578">
        <f>IF(AND(M4="1세대1주택",M7&gt;=10,M12&lt;=3*10^9),25*10^6*IF($L$4="부부",IF(M10=TRUE,M9,1),M9),2500000)</f>
        <v>2500000</v>
      </c>
      <c r="N19" s="534">
        <f>IF(AND(N4="1세대1주택",N7&gt;=10,N12&lt;=3*10^9),25*10^6*IF($L$4="부부",IF(N10=TRUE,N9,1),N9),2500000)</f>
        <v>2500000</v>
      </c>
      <c r="O19" s="522">
        <f>IF(AND(O4="1세대1주택",O7&gt;=10,O12&lt;=3*10^9),25*10^6*IF($L$4="부부",IF(O10=TRUE,O9,1),O9),2500000)</f>
        <v>2500000</v>
      </c>
      <c r="P19" s="522">
        <f>IF(AND(P4="1세대1주택",P7&gt;=10,P12&lt;=3*10^9),25*10^6*IF($L$4="부부",IF(P10=TRUE,P9,1),P9),2500000)</f>
        <v>2500000</v>
      </c>
      <c r="R19" s="568" t="s">
        <v>352</v>
      </c>
      <c r="S19" s="578">
        <f>IF(AND(S4="1세대1주택",S7&gt;=10,S12&lt;=3*10^9),25*10^6*IF($R$4="부부",IF(S10=TRUE,S9,1),S9),2500000)</f>
        <v>2500000</v>
      </c>
      <c r="T19" s="534">
        <f>IF(AND(T4="1세대1주택",T7&gt;=10,T12&lt;=3*10^9),25*10^6*IF($R$4="부부",IF(T10=TRUE,T9,1),T9),2500000)</f>
        <v>2500000</v>
      </c>
      <c r="U19" s="522">
        <f>IF(AND(U4="1세대1주택",U7&gt;=10,U12&lt;=3*10^9),25*10^6*IF($R$4="부부",IF(U10=TRUE,U9,1),U9),2500000)</f>
        <v>2500000</v>
      </c>
      <c r="V19" s="522">
        <f>IF(AND(V4="1세대1주택",V7&gt;=10,V12&lt;=3*10^9),25*10^6*IF($R$4="부부",IF(V10=TRUE,V9,1),V9),2500000)</f>
        <v>2500000</v>
      </c>
      <c r="X19" s="568" t="s">
        <v>352</v>
      </c>
      <c r="Y19" s="578">
        <f>IF(AND(Y4="1세대1주택",Y7&gt;=10,Y12&lt;=3*10^9),25*10^6*IF($X$4="부부",IF(Y10=TRUE,Y9,1),Y9),2500000)</f>
        <v>2500000</v>
      </c>
      <c r="Z19" s="534">
        <f>IF(AND(Z4="1세대1주택",Z7&gt;=10,Z12&lt;=3*10^9),25*10^6*IF($X$4="부부",IF(Z10=TRUE,Z9,1),Z9),2500000)</f>
        <v>2500000</v>
      </c>
      <c r="AA19" s="522">
        <f>IF(AND(AA4="1세대1주택",AA7&gt;=10,AA12&lt;=3*10^9),25*10^6*IF($X$4="부부",IF(AA10=TRUE,AA9,1),AA9),2500000)</f>
        <v>2500000</v>
      </c>
      <c r="AB19" s="522">
        <f>IF(AND(AB4="1세대1주택",AB7&gt;=10,AB12&lt;=3*10^9),25*10^6*IF($X$4="부부",IF(AB10=TRUE,AB9,1),AB9),2500000)</f>
        <v>2500000</v>
      </c>
    </row>
    <row r="20" spans="1:28" ht="16.5" customHeight="1" thickBot="1">
      <c r="A20" s="525">
        <f>A18-A19</f>
        <v>417499999.99999988</v>
      </c>
      <c r="B20" s="525">
        <f t="shared" ref="B20" si="44">B18-B19</f>
        <v>2097499998.9999998</v>
      </c>
      <c r="C20" s="525">
        <f>C18-C19</f>
        <v>2997500000</v>
      </c>
      <c r="D20" s="544">
        <f>D18-D19</f>
        <v>2997500000</v>
      </c>
      <c r="E20" s="571"/>
      <c r="F20" s="567" t="s">
        <v>353</v>
      </c>
      <c r="G20" s="577">
        <f t="shared" ref="G20:I20" si="45">G18-G19</f>
        <v>417499999.99999988</v>
      </c>
      <c r="H20" s="533">
        <f t="shared" si="45"/>
        <v>273500000</v>
      </c>
      <c r="I20" s="524">
        <f t="shared" si="45"/>
        <v>447500000</v>
      </c>
      <c r="J20" s="524">
        <f t="shared" ref="J20" si="46">J18-J19</f>
        <v>437500000</v>
      </c>
      <c r="L20" s="567" t="s">
        <v>353</v>
      </c>
      <c r="M20" s="577">
        <f t="shared" ref="M20:P20" si="47">M18-M19</f>
        <v>417499999.99999988</v>
      </c>
      <c r="N20" s="533">
        <f t="shared" si="47"/>
        <v>267500000</v>
      </c>
      <c r="O20" s="524">
        <f t="shared" si="47"/>
        <v>437500000</v>
      </c>
      <c r="P20" s="524">
        <f t="shared" si="47"/>
        <v>427500000</v>
      </c>
      <c r="R20" s="567" t="s">
        <v>353</v>
      </c>
      <c r="S20" s="577">
        <f t="shared" ref="S20:V20" si="48">S18-S19</f>
        <v>417500000</v>
      </c>
      <c r="T20" s="533">
        <f t="shared" si="48"/>
        <v>261500000</v>
      </c>
      <c r="U20" s="524">
        <f t="shared" si="48"/>
        <v>437500000</v>
      </c>
      <c r="V20" s="524">
        <f t="shared" si="48"/>
        <v>447500000</v>
      </c>
      <c r="X20" s="567" t="s">
        <v>353</v>
      </c>
      <c r="Y20" s="577">
        <f t="shared" ref="Y20:AB20" si="49">Y18-Y19</f>
        <v>1097500000</v>
      </c>
      <c r="Z20" s="533">
        <f t="shared" si="49"/>
        <v>255500000</v>
      </c>
      <c r="AA20" s="524">
        <f t="shared" si="49"/>
        <v>427500000</v>
      </c>
      <c r="AB20" s="524">
        <f t="shared" si="49"/>
        <v>437500000</v>
      </c>
    </row>
    <row r="21" spans="1:28" ht="16.5" customHeight="1">
      <c r="A21" s="527">
        <f t="array" ref="A21">INDEX(t!$AB$3:$AJ$10,MIN(ROWS(t!$AB$3:$AB$10),IF(A20&lt;=t!$AB$3,1,MATCH(A20-1,t!$AB$3:$AB$10,1)+1)),MATCH(A8,{"기본세율","기본세율+10%","기본세율+20%","기본세율+30%"},0)*2)</f>
        <v>0.4</v>
      </c>
      <c r="B21" s="527">
        <f t="array" ref="B21">INDEX(t!$AB$3:$AJ$10,MIN(ROWS(t!$AB$3:$AB$10),IF(B20&lt;=t!$AB$3,1,MATCH(B20-1,t!$AB$3:$AB$10,1)+1)),MATCH(B8,{"기본세율","기본세율+10%","기본세율+20%","기본세율+30%"},0)*2)</f>
        <v>0.45</v>
      </c>
      <c r="C21" s="527">
        <f t="array" ref="C21">INDEX(t!$AB$3:$AJ$10,MIN(ROWS(t!$AB$3:$AB$10),IF(C20&lt;=t!$AB$3,1,MATCH(C20-1,t!$AB$3:$AB$10,1)+1)),MATCH(C8,{"기본세율","기본세율+10%","기본세율+20%","기본세율+30%"},0)*2)</f>
        <v>0.65</v>
      </c>
      <c r="D21" s="546">
        <f t="array" ref="D21">INDEX(t!$AB$3:$AJ$10,MIN(ROWS(t!$AB$3:$AB$10),IF(D20&lt;=t!$AB$3,1,MATCH(D20-1,t!$AB$3:$AB$10,1)+1)),MATCH(D8,{"기본세율","기본세율+10%","기본세율+20%","기본세율+30%"},0)*2)</f>
        <v>0.75</v>
      </c>
      <c r="E21" s="572"/>
      <c r="F21" s="568" t="s">
        <v>354</v>
      </c>
      <c r="G21" s="579">
        <f t="array" ref="G21">INDEX(t!$AB$3:$AJ$10,MIN(ROWS(t!$AB$3:$AB$10),IF(G20&lt;=t!$AB$3,1,MATCH(G20-1,t!$AB$3:$AB$10,1)+1)),MATCH(G8,{"기본세율","기본세율+10%","기본세율+20%","기본세율+30%"},0)*2)</f>
        <v>0.4</v>
      </c>
      <c r="H21" s="535">
        <f t="array" ref="H21">INDEX(t!$AB$3:$AJ$10,MIN(ROWS(t!$AB$3:$AB$10),IF(H20&lt;=t!$AB$3,1,MATCH(H20-1,t!$AB$3:$AB$10,1)+1)),MATCH(H8,{"기본세율","기본세율+10%","기본세율+20%","기본세율+30%"},0)*2)</f>
        <v>0.38</v>
      </c>
      <c r="I21" s="526">
        <f t="array" ref="I21">INDEX(t!$AB$3:$AJ$10,MIN(ROWS(t!$AB$3:$AB$10),IF(I20&lt;=t!$AB$3,1,MATCH(I20-1,t!$AB$3:$AB$10,1)+1)),MATCH(I8,{"기본세율","기본세율+10%","기본세율+20%","기본세율+30%"},0)*2)</f>
        <v>0.4</v>
      </c>
      <c r="J21" s="526">
        <f t="array" ref="J21">INDEX(t!$AB$3:$AJ$10,MIN(ROWS(t!$AB$3:$AB$10),IF(J20&lt;=t!$AB$3,1,MATCH(J20-1,t!$AB$3:$AB$10,1)+1)),MATCH(J8,{"기본세율","기본세율+10%","기본세율+20%","기본세율+30%"},0)*2)</f>
        <v>0.4</v>
      </c>
      <c r="L21" s="568" t="s">
        <v>354</v>
      </c>
      <c r="M21" s="579">
        <f t="array" ref="M21">INDEX(t!$AB$3:$AJ$10,MIN(ROWS(t!$AB$3:$AB$10),IF(M20&lt;=t!$AB$3,1,MATCH(M20-1,t!$AB$3:$AB$10,1)+1)),MATCH(M8,{"기본세율","기본세율+10%","기본세율+20%","기본세율+30%"},0)*2)</f>
        <v>0.4</v>
      </c>
      <c r="N21" s="535">
        <f t="array" ref="N21">INDEX(t!$AB$3:$AJ$10,MIN(ROWS(t!$AB$3:$AB$10),IF(N20&lt;=t!$AB$3,1,MATCH(N20-1,t!$AB$3:$AB$10,1)+1)),MATCH(N8,{"기본세율","기본세율+10%","기본세율+20%","기본세율+30%"},0)*2)</f>
        <v>0.38</v>
      </c>
      <c r="O21" s="526">
        <f t="array" ref="O21">INDEX(t!$AB$3:$AJ$10,MIN(ROWS(t!$AB$3:$AB$10),IF(O20&lt;=t!$AB$3,1,MATCH(O20-1,t!$AB$3:$AB$10,1)+1)),MATCH(O8,{"기본세율","기본세율+10%","기본세율+20%","기본세율+30%"},0)*2)</f>
        <v>0.4</v>
      </c>
      <c r="P21" s="526">
        <f t="array" ref="P21">INDEX(t!$AB$3:$AJ$10,MIN(ROWS(t!$AB$3:$AB$10),IF(P20&lt;=t!$AB$3,1,MATCH(P20-1,t!$AB$3:$AB$10,1)+1)),MATCH(P8,{"기본세율","기본세율+10%","기본세율+20%","기본세율+30%"},0)*2)</f>
        <v>0.4</v>
      </c>
      <c r="R21" s="568" t="s">
        <v>354</v>
      </c>
      <c r="S21" s="579">
        <f t="array" ref="S21">INDEX(t!$AB$3:$AJ$10,MIN(ROWS(t!$AB$3:$AB$10),IF(S20&lt;=t!$AB$3,1,MATCH(S20-1,t!$AB$3:$AB$10,1)+1)),MATCH(S8,{"기본세율","기본세율+10%","기본세율+20%","기본세율+30%"},0)*2)</f>
        <v>0.4</v>
      </c>
      <c r="T21" s="535">
        <f t="array" ref="T21">INDEX(t!$AB$3:$AJ$10,MIN(ROWS(t!$AB$3:$AB$10),IF(T20&lt;=t!$AB$3,1,MATCH(T20-1,t!$AB$3:$AB$10,1)+1)),MATCH(T8,{"기본세율","기본세율+10%","기본세율+20%","기본세율+30%"},0)*2)</f>
        <v>0.38</v>
      </c>
      <c r="U21" s="526">
        <f t="array" ref="U21">INDEX(t!$AB$3:$AJ$10,MIN(ROWS(t!$AB$3:$AB$10),IF(U20&lt;=t!$AB$3,1,MATCH(U20-1,t!$AB$3:$AB$10,1)+1)),MATCH(U8,{"기본세율","기본세율+10%","기본세율+20%","기본세율+30%"},0)*2)</f>
        <v>0.4</v>
      </c>
      <c r="V21" s="526">
        <f t="array" ref="V21">INDEX(t!$AB$3:$AJ$10,MIN(ROWS(t!$AB$3:$AB$10),IF(V20&lt;=t!$AB$3,1,MATCH(V20-1,t!$AB$3:$AB$10,1)+1)),MATCH(V8,{"기본세율","기본세율+10%","기본세율+20%","기본세율+30%"},0)*2)</f>
        <v>0.4</v>
      </c>
      <c r="X21" s="568" t="s">
        <v>354</v>
      </c>
      <c r="Y21" s="579">
        <f t="array" ref="Y21">INDEX(t!$AB$3:$AJ$10,MIN(ROWS(t!$AB$3:$AB$10),IF(Y20&lt;=t!$AB$3,1,MATCH(Y20-1,t!$AB$3:$AB$10,1)+1)),MATCH(Y8,{"기본세율","기본세율+10%","기본세율+20%","기본세율+30%"},0)*2)</f>
        <v>0.45</v>
      </c>
      <c r="Z21" s="535">
        <f t="array" ref="Z21">INDEX(t!$AB$3:$AJ$10,MIN(ROWS(t!$AB$3:$AB$10),IF(Z20&lt;=t!$AB$3,1,MATCH(Z20-1,t!$AB$3:$AB$10,1)+1)),MATCH(Z8,{"기본세율","기본세율+10%","기본세율+20%","기본세율+30%"},0)*2)</f>
        <v>0.38</v>
      </c>
      <c r="AA21" s="526">
        <f t="array" ref="AA21">INDEX(t!$AB$3:$AJ$10,MIN(ROWS(t!$AB$3:$AB$10),IF(AA20&lt;=t!$AB$3,1,MATCH(AA20-1,t!$AB$3:$AB$10,1)+1)),MATCH(AA8,{"기본세율","기본세율+10%","기본세율+20%","기본세율+30%"},0)*2)</f>
        <v>0.4</v>
      </c>
      <c r="AB21" s="526">
        <f t="array" ref="AB21">INDEX(t!$AB$3:$AJ$10,MIN(ROWS(t!$AB$3:$AB$10),IF(AB20&lt;=t!$AB$3,1,MATCH(AB20-1,t!$AB$3:$AB$10,1)+1)),MATCH(AB8,{"기본세율","기본세율+10%","기본세율+20%","기본세율+30%"},0)*2)</f>
        <v>0.4</v>
      </c>
    </row>
    <row r="22" spans="1:28" ht="16.5" customHeight="1" thickBot="1">
      <c r="A22" s="525">
        <f>A20*A21-INDEX(t!$AB$3:$AJ$10,MIN(ROWS(t!$AB$3:$AB$10),IF(A20&lt;=t!$AB$3,1,MATCH(A20-1,t!$AB$3:$AB$10,1)+1)),MATCH(A8,{"기본세율","기본세율+10%","기본세율+20%","기본세율+30%"},0)*2+1)</f>
        <v>141059999.99999997</v>
      </c>
      <c r="B22" s="525">
        <f>B20*B21-INDEX(t!$AB$3:$AJ$10,MIN(ROWS(t!$AB$3:$AB$10),IF(B20&lt;=t!$AB$3,1,MATCH(B20-1,t!$AB$3:$AB$10,1)+1)),MATCH(B8,{"기본세율","기본세율+10%","기본세율+20%","기본세율+30%"},0)*2+1)</f>
        <v>877934999.54999995</v>
      </c>
      <c r="C22" s="525">
        <f>C20*C21-INDEX(t!$AB$3:$AJ$10,MIN(ROWS(t!$AB$3:$AB$10),IF(C20&lt;=t!$AB$3,1,MATCH(C20-1,t!$AB$3:$AB$10,1)+1)),MATCH(C8,{"기본세율","기본세율+10%","기본세율+20%","기본세율+30%"},0)*2+1)</f>
        <v>1882435000</v>
      </c>
      <c r="D22" s="544">
        <f>D20*D21-INDEX(t!$AB$3:$AJ$10,MIN(ROWS(t!$AB$3:$AB$10),IF(D20&lt;=t!$AB$3,1,MATCH(D20-1,t!$AB$3:$AB$10,1)+1)),MATCH(D8,{"기본세율","기본세율+10%","기본세율+20%","기본세율+30%"},0)*2+1)</f>
        <v>2182185000</v>
      </c>
      <c r="E22" s="571"/>
      <c r="F22" s="567" t="s">
        <v>355</v>
      </c>
      <c r="G22" s="577">
        <f>G20*G21-INDEX(t!$AB$3:$AJ$10,MIN(ROWS(t!$AB$3:$AB$10),IF(G20&lt;=t!$AB$3,1,MATCH(G20-1,t!$AB$3:$AB$10,1)+1)),MATCH(G8,{"기본세율","기본세율+10%","기본세율+20%","기본세율+30%"},0)*2+1)</f>
        <v>141059999.99999997</v>
      </c>
      <c r="H22" s="577">
        <f>H20*H21-INDEX(t!$AB$3:$AJ$10,MIN(ROWS(t!$AB$3:$AB$10),IF(H20&lt;=t!$AB$3,1,MATCH(H20-1,t!$AB$3:$AB$10,1)+1)),MATCH(H8,{"기본세율","기본세율+10%","기본세율+20%","기본세율+30%"},0)*2+1)</f>
        <v>83990000</v>
      </c>
      <c r="I22" s="577">
        <f>I20*I21-INDEX(t!$AB$3:$AJ$10,MIN(ROWS(t!$AB$3:$AB$10),IF(I20&lt;=t!$AB$3,1,MATCH(I20-1,t!$AB$3:$AB$10,1)+1)),MATCH(I8,{"기본세율","기본세율+10%","기본세율+20%","기본세율+30%"},0)*2+1)</f>
        <v>153060000</v>
      </c>
      <c r="J22" s="577">
        <f>J20*J21-INDEX(t!$AB$3:$AJ$10,MIN(ROWS(t!$AB$3:$AB$10),IF(J20&lt;=t!$AB$3,1,MATCH(J20-1,t!$AB$3:$AB$10,1)+1)),MATCH(J8,{"기본세율","기본세율+10%","기본세율+20%","기본세율+30%"},0)*2+1)</f>
        <v>149060000</v>
      </c>
      <c r="L22" s="567" t="s">
        <v>355</v>
      </c>
      <c r="M22" s="577">
        <f>M20*M21-INDEX(t!$AB$3:$AJ$10,MIN(ROWS(t!$AB$3:$AB$10),IF(M20&lt;=t!$AB$3,1,MATCH(M20-1,t!$AB$3:$AB$10,1)+1)),MATCH(M8,{"기본세율","기본세율+10%","기본세율+20%","기본세율+30%"},0)*2+1)</f>
        <v>141059999.99999997</v>
      </c>
      <c r="N22" s="577">
        <f>N20*N21-INDEX(t!$AB$3:$AJ$10,MIN(ROWS(t!$AB$3:$AB$10),IF(N20&lt;=t!$AB$3,1,MATCH(N20-1,t!$AB$3:$AB$10,1)+1)),MATCH(N8,{"기본세율","기본세율+10%","기본세율+20%","기본세율+30%"},0)*2+1)</f>
        <v>81710000</v>
      </c>
      <c r="O22" s="577">
        <f>O20*O21-INDEX(t!$AB$3:$AJ$10,MIN(ROWS(t!$AB$3:$AB$10),IF(O20&lt;=t!$AB$3,1,MATCH(O20-1,t!$AB$3:$AB$10,1)+1)),MATCH(O8,{"기본세율","기본세율+10%","기본세율+20%","기본세율+30%"},0)*2+1)</f>
        <v>149060000</v>
      </c>
      <c r="P22" s="577">
        <f>P20*P21-INDEX(t!$AB$3:$AJ$10,MIN(ROWS(t!$AB$3:$AB$10),IF(P20&lt;=t!$AB$3,1,MATCH(P20-1,t!$AB$3:$AB$10,1)+1)),MATCH(P8,{"기본세율","기본세율+10%","기본세율+20%","기본세율+30%"},0)*2+1)</f>
        <v>145060000</v>
      </c>
      <c r="R22" s="567" t="s">
        <v>355</v>
      </c>
      <c r="S22" s="577">
        <f>S20*S21-INDEX(t!$AB$3:$AJ$10,MIN(ROWS(t!$AB$3:$AB$10),IF(S20&lt;=t!$AB$3,1,MATCH(S20-1,t!$AB$3:$AB$10,1)+1)),MATCH(S8,{"기본세율","기본세율+10%","기본세율+20%","기본세율+30%"},0)*2+1)</f>
        <v>141060000</v>
      </c>
      <c r="T22" s="577">
        <f>T20*T21-INDEX(t!$AB$3:$AJ$10,MIN(ROWS(t!$AB$3:$AB$10),IF(T20&lt;=t!$AB$3,1,MATCH(T20-1,t!$AB$3:$AB$10,1)+1)),MATCH(T8,{"기본세율","기본세율+10%","기본세율+20%","기본세율+30%"},0)*2+1)</f>
        <v>79430000</v>
      </c>
      <c r="U22" s="577">
        <f>U20*U21-INDEX(t!$AB$3:$AJ$10,MIN(ROWS(t!$AB$3:$AB$10),IF(U20&lt;=t!$AB$3,1,MATCH(U20-1,t!$AB$3:$AB$10,1)+1)),MATCH(U8,{"기본세율","기본세율+10%","기본세율+20%","기본세율+30%"},0)*2+1)</f>
        <v>149060000</v>
      </c>
      <c r="V22" s="577">
        <f>V20*V21-INDEX(t!$AB$3:$AJ$10,MIN(ROWS(t!$AB$3:$AB$10),IF(V20&lt;=t!$AB$3,1,MATCH(V20-1,t!$AB$3:$AB$10,1)+1)),MATCH(V8,{"기본세율","기본세율+10%","기본세율+20%","기본세율+30%"},0)*2+1)</f>
        <v>153060000</v>
      </c>
      <c r="X22" s="567" t="s">
        <v>355</v>
      </c>
      <c r="Y22" s="577">
        <f>Y20*Y21-INDEX(t!$AB$3:$AJ$10,MIN(ROWS(t!$AB$3:$AB$10),IF(Y20&lt;=t!$AB$3,1,MATCH(Y20-1,t!$AB$3:$AB$10,1)+1)),MATCH(Y8,{"기본세율","기본세율+10%","기본세율+20%","기본세율+30%"},0)*2+1)</f>
        <v>427935000</v>
      </c>
      <c r="Z22" s="577">
        <f>Z20*Z21-INDEX(t!$AB$3:$AJ$10,MIN(ROWS(t!$AB$3:$AB$10),IF(Z20&lt;=t!$AB$3,1,MATCH(Z20-1,t!$AB$3:$AB$10,1)+1)),MATCH(Z8,{"기본세율","기본세율+10%","기본세율+20%","기본세율+30%"},0)*2+1)</f>
        <v>77150000</v>
      </c>
      <c r="AA22" s="577">
        <f>AA20*AA21-INDEX(t!$AB$3:$AJ$10,MIN(ROWS(t!$AB$3:$AB$10),IF(AA20&lt;=t!$AB$3,1,MATCH(AA20-1,t!$AB$3:$AB$10,1)+1)),MATCH(AA8,{"기본세율","기본세율+10%","기본세율+20%","기본세율+30%"},0)*2+1)</f>
        <v>145060000</v>
      </c>
      <c r="AB22" s="577">
        <f>AB20*AB21-INDEX(t!$AB$3:$AJ$10,MIN(ROWS(t!$AB$3:$AB$10),IF(AB20&lt;=t!$AB$3,1,MATCH(AB20-1,t!$AB$3:$AB$10,1)+1)),MATCH(AB8,{"기본세율","기본세율+10%","기본세율+20%","기본세율+30%"},0)*2+1)</f>
        <v>149060000</v>
      </c>
    </row>
    <row r="23" spans="1:28" ht="16.5" customHeight="1">
      <c r="A23" s="523">
        <f t="shared" ref="A23:D23" si="50">A22</f>
        <v>141059999.99999997</v>
      </c>
      <c r="B23" s="523">
        <f t="shared" ref="B23" si="51">B22</f>
        <v>877934999.54999995</v>
      </c>
      <c r="C23" s="523">
        <f t="shared" si="50"/>
        <v>1882435000</v>
      </c>
      <c r="D23" s="545">
        <f t="shared" si="50"/>
        <v>2182185000</v>
      </c>
      <c r="E23" s="571"/>
      <c r="F23" s="568" t="s">
        <v>356</v>
      </c>
      <c r="G23" s="578">
        <f t="shared" ref="G23:I23" si="52">G22</f>
        <v>141059999.99999997</v>
      </c>
      <c r="H23" s="534">
        <f t="shared" si="52"/>
        <v>83990000</v>
      </c>
      <c r="I23" s="522">
        <f t="shared" si="52"/>
        <v>153060000</v>
      </c>
      <c r="J23" s="522">
        <f t="shared" ref="J23" si="53">J22</f>
        <v>149060000</v>
      </c>
      <c r="L23" s="568" t="s">
        <v>356</v>
      </c>
      <c r="M23" s="578">
        <f t="shared" ref="M23:P23" si="54">M22</f>
        <v>141059999.99999997</v>
      </c>
      <c r="N23" s="534">
        <f t="shared" si="54"/>
        <v>81710000</v>
      </c>
      <c r="O23" s="522">
        <f t="shared" si="54"/>
        <v>149060000</v>
      </c>
      <c r="P23" s="522">
        <f t="shared" si="54"/>
        <v>145060000</v>
      </c>
      <c r="R23" s="568" t="s">
        <v>356</v>
      </c>
      <c r="S23" s="578">
        <f t="shared" ref="S23:V23" si="55">S22</f>
        <v>141060000</v>
      </c>
      <c r="T23" s="534">
        <f t="shared" si="55"/>
        <v>79430000</v>
      </c>
      <c r="U23" s="522">
        <f t="shared" si="55"/>
        <v>149060000</v>
      </c>
      <c r="V23" s="522">
        <f t="shared" si="55"/>
        <v>153060000</v>
      </c>
      <c r="X23" s="568" t="s">
        <v>356</v>
      </c>
      <c r="Y23" s="578">
        <f t="shared" ref="Y23:AB23" si="56">Y22</f>
        <v>427935000</v>
      </c>
      <c r="Z23" s="534">
        <f t="shared" si="56"/>
        <v>77150000</v>
      </c>
      <c r="AA23" s="522">
        <f t="shared" si="56"/>
        <v>145060000</v>
      </c>
      <c r="AB23" s="522">
        <f t="shared" si="56"/>
        <v>149060000</v>
      </c>
    </row>
    <row r="24" spans="1:28" ht="16.5" customHeight="1" thickBot="1">
      <c r="A24" s="529">
        <f t="shared" ref="A24:D24" si="57">A23*0.1</f>
        <v>14105999.999999998</v>
      </c>
      <c r="B24" s="529">
        <f t="shared" ref="B24" si="58">B23*0.1</f>
        <v>87793499.954999998</v>
      </c>
      <c r="C24" s="529">
        <f t="shared" si="57"/>
        <v>188243500</v>
      </c>
      <c r="D24" s="547">
        <f t="shared" si="57"/>
        <v>218218500</v>
      </c>
      <c r="E24" s="571"/>
      <c r="F24" s="569" t="s">
        <v>357</v>
      </c>
      <c r="G24" s="580">
        <f t="shared" ref="G24:I24" si="59">G23*0.1</f>
        <v>14105999.999999998</v>
      </c>
      <c r="H24" s="536">
        <f t="shared" si="59"/>
        <v>8399000</v>
      </c>
      <c r="I24" s="528">
        <f t="shared" si="59"/>
        <v>15306000</v>
      </c>
      <c r="J24" s="528">
        <f t="shared" ref="J24" si="60">J23*0.1</f>
        <v>14906000</v>
      </c>
      <c r="L24" s="569" t="s">
        <v>357</v>
      </c>
      <c r="M24" s="580">
        <f t="shared" ref="M24:P24" si="61">M23*0.1</f>
        <v>14105999.999999998</v>
      </c>
      <c r="N24" s="536">
        <f t="shared" si="61"/>
        <v>8171000</v>
      </c>
      <c r="O24" s="528">
        <f t="shared" si="61"/>
        <v>14906000</v>
      </c>
      <c r="P24" s="528">
        <f t="shared" si="61"/>
        <v>14506000</v>
      </c>
      <c r="R24" s="569" t="s">
        <v>357</v>
      </c>
      <c r="S24" s="580">
        <f t="shared" ref="S24:V24" si="62">S23*0.1</f>
        <v>14106000</v>
      </c>
      <c r="T24" s="536">
        <f t="shared" si="62"/>
        <v>7943000</v>
      </c>
      <c r="U24" s="528">
        <f t="shared" si="62"/>
        <v>14906000</v>
      </c>
      <c r="V24" s="528">
        <f t="shared" si="62"/>
        <v>15306000</v>
      </c>
      <c r="X24" s="569" t="s">
        <v>357</v>
      </c>
      <c r="Y24" s="580">
        <f t="shared" ref="Y24:AB24" si="63">Y23*0.1</f>
        <v>42793500</v>
      </c>
      <c r="Z24" s="536">
        <f t="shared" si="63"/>
        <v>7715000</v>
      </c>
      <c r="AA24" s="528">
        <f t="shared" si="63"/>
        <v>14506000</v>
      </c>
      <c r="AB24" s="528">
        <f t="shared" si="63"/>
        <v>14906000</v>
      </c>
    </row>
    <row r="25" spans="1:28" ht="16.5" customHeight="1" thickTop="1" thickBot="1">
      <c r="A25" s="537">
        <f t="shared" ref="A25:D25" si="64">SUM(A23:A24)</f>
        <v>155165999.99999997</v>
      </c>
      <c r="B25" s="537">
        <f t="shared" ref="B25" si="65">SUM(B23:B24)</f>
        <v>965728499.505</v>
      </c>
      <c r="C25" s="537">
        <f t="shared" si="64"/>
        <v>2070678500</v>
      </c>
      <c r="D25" s="548">
        <f t="shared" si="64"/>
        <v>2400403500</v>
      </c>
      <c r="E25" s="571"/>
      <c r="F25" s="570" t="s">
        <v>358</v>
      </c>
      <c r="G25" s="581">
        <f t="shared" ref="G25:I25" si="66">SUM(G23:G24)</f>
        <v>155165999.99999997</v>
      </c>
      <c r="H25" s="538">
        <f t="shared" si="66"/>
        <v>92389000</v>
      </c>
      <c r="I25" s="539">
        <f t="shared" si="66"/>
        <v>168366000</v>
      </c>
      <c r="J25" s="539">
        <f t="shared" ref="J25" si="67">SUM(J23:J24)</f>
        <v>163966000</v>
      </c>
      <c r="L25" s="570" t="s">
        <v>358</v>
      </c>
      <c r="M25" s="581">
        <f t="shared" ref="M25:P25" si="68">SUM(M23:M24)</f>
        <v>155165999.99999997</v>
      </c>
      <c r="N25" s="538">
        <f t="shared" si="68"/>
        <v>89881000</v>
      </c>
      <c r="O25" s="539">
        <f t="shared" si="68"/>
        <v>163966000</v>
      </c>
      <c r="P25" s="539">
        <f t="shared" si="68"/>
        <v>159566000</v>
      </c>
      <c r="R25" s="570" t="s">
        <v>358</v>
      </c>
      <c r="S25" s="581">
        <f t="shared" ref="S25:V25" si="69">SUM(S23:S24)</f>
        <v>155166000</v>
      </c>
      <c r="T25" s="538">
        <f t="shared" si="69"/>
        <v>87373000</v>
      </c>
      <c r="U25" s="539">
        <f t="shared" si="69"/>
        <v>163966000</v>
      </c>
      <c r="V25" s="539">
        <f t="shared" si="69"/>
        <v>168366000</v>
      </c>
      <c r="X25" s="570" t="s">
        <v>358</v>
      </c>
      <c r="Y25" s="581">
        <f t="shared" ref="Y25:AB25" si="70">SUM(Y23:Y24)</f>
        <v>470728500</v>
      </c>
      <c r="Z25" s="538">
        <f t="shared" si="70"/>
        <v>84865000</v>
      </c>
      <c r="AA25" s="539">
        <f t="shared" si="70"/>
        <v>159566000</v>
      </c>
      <c r="AB25" s="539">
        <f t="shared" si="70"/>
        <v>163966000</v>
      </c>
    </row>
    <row r="26" spans="1:28" ht="16.5" customHeight="1" thickTop="1"/>
    <row r="27" spans="1:28" ht="16.5" customHeight="1">
      <c r="A27" s="503"/>
      <c r="B27" s="503"/>
      <c r="C27" s="503"/>
      <c r="D27" s="559"/>
      <c r="E27" s="572"/>
      <c r="G27" s="503"/>
      <c r="H27" s="503"/>
      <c r="I27" s="503"/>
      <c r="J27" s="503"/>
      <c r="N27" s="503"/>
      <c r="O27" s="503"/>
      <c r="P27" s="503"/>
      <c r="S27" s="503"/>
      <c r="T27" s="503"/>
      <c r="U27" s="503"/>
      <c r="V27" s="503"/>
      <c r="Y27" s="503"/>
      <c r="Z27" s="503"/>
      <c r="AA27" s="503"/>
      <c r="AB27" s="503"/>
    </row>
    <row r="28" spans="1:28" ht="16.5" customHeight="1">
      <c r="A28" s="501"/>
      <c r="B28" s="501"/>
      <c r="C28" s="501"/>
      <c r="D28" s="507"/>
      <c r="E28" s="571"/>
      <c r="F28" s="559"/>
      <c r="G28" s="501"/>
      <c r="H28" s="501"/>
      <c r="I28" s="501"/>
      <c r="J28" s="501"/>
      <c r="M28" s="501"/>
      <c r="N28" s="501"/>
      <c r="O28" s="501"/>
      <c r="P28" s="501"/>
      <c r="R28" s="503"/>
      <c r="S28" s="501"/>
      <c r="T28" s="501"/>
      <c r="U28" s="501"/>
      <c r="V28" s="501"/>
      <c r="X28" s="503"/>
      <c r="Y28" s="501"/>
      <c r="Z28" s="501"/>
      <c r="AA28" s="501"/>
      <c r="AB28" s="501"/>
    </row>
    <row r="29" spans="1:28" ht="16.5" customHeight="1"/>
    <row r="30" spans="1:28" ht="16.5" customHeight="1"/>
    <row r="31" spans="1:28" ht="16.5" customHeight="1">
      <c r="H31" s="84"/>
    </row>
    <row r="32" spans="1:28" ht="16.5" customHeight="1"/>
    <row r="33" spans="1:31" ht="16.5" customHeight="1"/>
    <row r="34" spans="1:31" ht="16.5" customHeight="1"/>
    <row r="35" spans="1:31" ht="16.5" customHeight="1"/>
    <row r="36" spans="1:31" ht="16.5" customHeight="1"/>
    <row r="37" spans="1:31" ht="16.5" customHeight="1"/>
    <row r="38" spans="1:31" ht="16.5" customHeight="1"/>
    <row r="39" spans="1:31" ht="16.5" customHeight="1"/>
    <row r="40" spans="1:31" ht="16.5" customHeight="1"/>
    <row r="41" spans="1:31" ht="16.5" customHeight="1"/>
    <row r="42" spans="1:31" ht="16.5" customHeight="1">
      <c r="A42" s="504"/>
      <c r="B42" s="504"/>
      <c r="C42" s="504"/>
      <c r="D42" s="560"/>
      <c r="E42" s="573"/>
      <c r="F42" s="560"/>
      <c r="G42" s="504"/>
      <c r="H42" s="504"/>
      <c r="I42" s="504"/>
      <c r="J42" s="504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4"/>
      <c r="W42" s="504"/>
      <c r="X42" s="504"/>
      <c r="Y42" s="504"/>
      <c r="Z42" s="504"/>
      <c r="AA42" s="504"/>
      <c r="AB42" s="504"/>
      <c r="AC42" s="504"/>
      <c r="AD42" s="504"/>
      <c r="AE42" s="504"/>
    </row>
    <row r="43" spans="1:31" ht="16.5" customHeight="1"/>
    <row r="44" spans="1:31" ht="16.5" customHeight="1"/>
    <row r="45" spans="1:31" ht="16.5" customHeight="1"/>
    <row r="46" spans="1:31" ht="16.5" customHeight="1"/>
    <row r="47" spans="1:31" ht="16.5" customHeight="1"/>
    <row r="48" spans="1:31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</sheetData>
  <phoneticPr fontId="16" type="noConversion"/>
  <dataValidations disablePrompts="1" count="3">
    <dataValidation type="list" allowBlank="1" showErrorMessage="1" sqref="S10:V10 M10:P10 Y10:AB10" xr:uid="{00000000-0002-0000-0600-000001000000}">
      <formula1>"TRUE"</formula1>
    </dataValidation>
    <dataValidation type="list" allowBlank="1" showErrorMessage="1" sqref="S4:V4 M4:P4 Y4:AB4 A4:E4 G4:J4" xr:uid="{00000000-0002-0000-0600-000002000000}">
      <formula1>"1세대1주택,주택,2주택,3주택,토지,비사토"</formula1>
    </dataValidation>
    <dataValidation type="list" allowBlank="1" showErrorMessage="1" sqref="L4 X4 R4" xr:uid="{00000000-0002-0000-0600-000003000000}">
      <formula1>"부부"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3"/>
  </sheetPr>
  <dimension ref="A1:Z996"/>
  <sheetViews>
    <sheetView workbookViewId="0">
      <selection activeCell="B21" sqref="B21"/>
    </sheetView>
    <sheetView workbookViewId="1"/>
  </sheetViews>
  <sheetFormatPr defaultColWidth="14.42578125" defaultRowHeight="15" customHeight="1"/>
  <cols>
    <col min="1" max="1" width="28.140625" bestFit="1" customWidth="1"/>
    <col min="2" max="2" width="17.85546875" bestFit="1" customWidth="1"/>
    <col min="3" max="3" width="19.28515625" bestFit="1" customWidth="1"/>
    <col min="4" max="4" width="8.7109375" customWidth="1"/>
    <col min="5" max="5" width="28.140625" bestFit="1" customWidth="1"/>
    <col min="6" max="6" width="17.85546875" bestFit="1" customWidth="1"/>
    <col min="7" max="7" width="19.28515625" bestFit="1" customWidth="1"/>
    <col min="8" max="8" width="8.7109375" customWidth="1"/>
    <col min="9" max="9" width="28.140625" bestFit="1" customWidth="1"/>
    <col min="10" max="10" width="17.85546875" bestFit="1" customWidth="1"/>
    <col min="11" max="11" width="19.28515625" bestFit="1" customWidth="1"/>
    <col min="12" max="12" width="8.7109375" customWidth="1"/>
    <col min="13" max="13" width="28.140625" bestFit="1" customWidth="1"/>
    <col min="14" max="14" width="17.85546875" bestFit="1" customWidth="1"/>
    <col min="15" max="15" width="19.28515625" bestFit="1" customWidth="1"/>
    <col min="16" max="16" width="8.7109375" customWidth="1"/>
    <col min="17" max="17" width="15.42578125" customWidth="1"/>
    <col min="18" max="26" width="8.7109375" customWidth="1"/>
  </cols>
  <sheetData>
    <row r="1" spans="1:26" ht="16.5" customHeight="1">
      <c r="A1" s="46" t="s">
        <v>227</v>
      </c>
      <c r="B1" s="132">
        <f>HLOOKUP(B$9,기초!$C$5:$I$16,MATCH($A1,기초!$A$5:$A$16,0),0)</f>
        <v>4000000000</v>
      </c>
      <c r="C1" s="132">
        <f>B1</f>
        <v>4000000000</v>
      </c>
      <c r="E1" s="46" t="s">
        <v>227</v>
      </c>
      <c r="F1" s="132">
        <f>HLOOKUP(F$9,기초!$C$5:$I$16,MATCH($A1,기초!$A$5:$A$16,0),0)</f>
        <v>4000000000</v>
      </c>
      <c r="G1" s="132">
        <f>F1</f>
        <v>4000000000</v>
      </c>
      <c r="I1" s="46" t="s">
        <v>227</v>
      </c>
      <c r="J1" s="132">
        <f>HLOOKUP(J$9,기초!$C$5:$I$16,MATCH($A1,기초!$A$5:$A$16,0),0)</f>
        <v>4000000000</v>
      </c>
      <c r="K1" s="132">
        <f>J1</f>
        <v>4000000000</v>
      </c>
      <c r="M1" s="46" t="s">
        <v>227</v>
      </c>
      <c r="N1" s="132">
        <f>HLOOKUP(N$9,기초!$C$5:$I$16,MATCH($A1,기초!$A$5:$A$16,0),0)</f>
        <v>4000000000</v>
      </c>
      <c r="O1" s="132">
        <f>N1</f>
        <v>4000000000</v>
      </c>
    </row>
    <row r="2" spans="1:26" ht="16.5" customHeight="1">
      <c r="A2" s="1" t="s">
        <v>89</v>
      </c>
      <c r="B2" s="132">
        <f>HLOOKUP(B$9,기초!$C$5:$I$16,MATCH($A2,기초!$A$5:$A$16,0),0)</f>
        <v>0</v>
      </c>
      <c r="C2" s="132">
        <f>B2</f>
        <v>0</v>
      </c>
      <c r="E2" s="1" t="s">
        <v>89</v>
      </c>
      <c r="F2" s="132">
        <f>HLOOKUP(F$9,기초!$C$5:$I$16,MATCH($A2,기초!$A$5:$A$16,0),0)</f>
        <v>0</v>
      </c>
      <c r="G2" s="132">
        <f>F2</f>
        <v>0</v>
      </c>
      <c r="I2" s="1" t="s">
        <v>89</v>
      </c>
      <c r="J2" s="132">
        <f>HLOOKUP(J$9,기초!$C$5:$I$16,MATCH($A2,기초!$A$5:$A$16,0),0)</f>
        <v>0</v>
      </c>
      <c r="K2" s="132">
        <f>J2</f>
        <v>0</v>
      </c>
      <c r="M2" s="1" t="s">
        <v>89</v>
      </c>
      <c r="N2" s="132">
        <f>HLOOKUP(N$9,기초!$C$5:$I$16,MATCH($A2,기초!$A$5:$A$16,0),0)</f>
        <v>0</v>
      </c>
      <c r="O2" s="132">
        <f>N2</f>
        <v>0</v>
      </c>
    </row>
    <row r="3" spans="1:26" ht="16.5" customHeight="1" thickBot="1">
      <c r="A3" s="49" t="s">
        <v>58</v>
      </c>
      <c r="B3" s="50">
        <f t="shared" ref="B3:C3" si="0">B1-B2</f>
        <v>4000000000</v>
      </c>
      <c r="C3" s="50">
        <f t="shared" si="0"/>
        <v>4000000000</v>
      </c>
      <c r="E3" s="49" t="s">
        <v>58</v>
      </c>
      <c r="F3" s="50">
        <f t="shared" ref="F3:G3" si="1">F1-F2</f>
        <v>4000000000</v>
      </c>
      <c r="G3" s="50">
        <f t="shared" si="1"/>
        <v>4000000000</v>
      </c>
      <c r="I3" s="49" t="s">
        <v>58</v>
      </c>
      <c r="J3" s="50">
        <f t="shared" ref="J3:K3" si="2">J1-J2</f>
        <v>4000000000</v>
      </c>
      <c r="K3" s="50">
        <f t="shared" si="2"/>
        <v>4000000000</v>
      </c>
      <c r="M3" s="49" t="s">
        <v>58</v>
      </c>
      <c r="N3" s="50">
        <f t="shared" ref="N3:O3" si="3">N1-N2</f>
        <v>4000000000</v>
      </c>
      <c r="O3" s="50">
        <f t="shared" si="3"/>
        <v>4000000000</v>
      </c>
    </row>
    <row r="4" spans="1:26" ht="16.5" customHeight="1">
      <c r="A4" s="1" t="s">
        <v>40</v>
      </c>
      <c r="B4" s="132">
        <f>HLOOKUP(B$9,기초!$C$5:$I$16,MATCH($A4,기초!$A$5:$A$16,0),0)</f>
        <v>1000000000</v>
      </c>
      <c r="C4" s="132">
        <f>HLOOKUP(C$9,기초!$C$5:$I$16,MATCH($A4,기초!$A$5:$A$16,0),0)</f>
        <v>1000000000</v>
      </c>
      <c r="E4" s="1" t="s">
        <v>40</v>
      </c>
      <c r="F4" s="14">
        <f t="shared" ref="F4:G4" si="4">B4</f>
        <v>1000000000</v>
      </c>
      <c r="G4" s="14">
        <f t="shared" si="4"/>
        <v>1000000000</v>
      </c>
      <c r="I4" s="1" t="s">
        <v>40</v>
      </c>
      <c r="J4" s="14">
        <f t="shared" ref="J4:K4" si="5">F4</f>
        <v>1000000000</v>
      </c>
      <c r="K4" s="14">
        <f t="shared" si="5"/>
        <v>1000000000</v>
      </c>
      <c r="M4" s="1" t="s">
        <v>40</v>
      </c>
      <c r="N4" s="14">
        <f t="shared" ref="N4:O4" si="6">J4</f>
        <v>1000000000</v>
      </c>
      <c r="O4" s="14">
        <f t="shared" si="6"/>
        <v>1000000000</v>
      </c>
    </row>
    <row r="5" spans="1:26" ht="16.5" customHeight="1">
      <c r="A5" s="18"/>
    </row>
    <row r="6" spans="1:26" ht="16.5" customHeight="1">
      <c r="A6" s="55" t="s">
        <v>90</v>
      </c>
      <c r="B6" s="56">
        <f t="shared" ref="B6:C6" si="7">B33</f>
        <v>-165000</v>
      </c>
      <c r="C6" s="56">
        <f t="shared" si="7"/>
        <v>-165000</v>
      </c>
      <c r="D6" s="56"/>
      <c r="E6" s="5"/>
      <c r="F6" s="56">
        <f t="shared" ref="F6:G6" si="8">F33</f>
        <v>-165000</v>
      </c>
      <c r="G6" s="56">
        <f t="shared" si="8"/>
        <v>-165000</v>
      </c>
      <c r="H6" s="5"/>
      <c r="I6" s="56"/>
      <c r="J6" s="56">
        <f t="shared" ref="J6:K6" si="9">J33</f>
        <v>-165000</v>
      </c>
      <c r="K6" s="56">
        <f t="shared" si="9"/>
        <v>-715000</v>
      </c>
      <c r="L6" s="56"/>
      <c r="M6" s="56"/>
      <c r="N6" s="56">
        <f t="shared" ref="N6:O6" si="10">N33</f>
        <v>-165000</v>
      </c>
      <c r="O6" s="56">
        <f t="shared" si="10"/>
        <v>-440000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55"/>
    </row>
    <row r="8" spans="1:26" ht="16.5" customHeight="1">
      <c r="A8" s="43" t="s">
        <v>66</v>
      </c>
      <c r="B8" s="3"/>
      <c r="C8" s="3"/>
      <c r="E8" s="43" t="s">
        <v>67</v>
      </c>
      <c r="F8" s="3"/>
      <c r="G8" s="3"/>
      <c r="I8" s="43" t="s">
        <v>69</v>
      </c>
      <c r="J8" s="14">
        <v>2000000000</v>
      </c>
      <c r="K8" s="14">
        <v>2000000000</v>
      </c>
      <c r="M8" s="43" t="s">
        <v>69</v>
      </c>
      <c r="N8" s="14">
        <v>1000000000</v>
      </c>
      <c r="O8" s="14">
        <v>1000000000</v>
      </c>
    </row>
    <row r="9" spans="1:26" ht="16.5" customHeight="1">
      <c r="A9" s="3"/>
      <c r="B9" s="3" t="s">
        <v>8</v>
      </c>
      <c r="C9" s="3" t="s">
        <v>8</v>
      </c>
      <c r="E9" s="44">
        <v>2027</v>
      </c>
      <c r="F9" s="3" t="s">
        <v>8</v>
      </c>
      <c r="G9" s="3" t="s">
        <v>8</v>
      </c>
      <c r="I9" s="44">
        <v>2028</v>
      </c>
      <c r="J9" s="3" t="s">
        <v>8</v>
      </c>
      <c r="K9" s="3" t="s">
        <v>9</v>
      </c>
      <c r="M9" s="44">
        <v>2029</v>
      </c>
      <c r="N9" s="3" t="s">
        <v>8</v>
      </c>
      <c r="O9" s="3" t="s">
        <v>9</v>
      </c>
    </row>
    <row r="10" spans="1:26" ht="16.5" customHeight="1">
      <c r="A10" s="3"/>
      <c r="B10" s="226" t="s">
        <v>0</v>
      </c>
      <c r="C10" s="226" t="s">
        <v>0</v>
      </c>
      <c r="E10" s="45" t="s">
        <v>71</v>
      </c>
      <c r="F10" s="226" t="s">
        <v>0</v>
      </c>
      <c r="G10" s="226" t="s">
        <v>0</v>
      </c>
      <c r="I10" s="45" t="s">
        <v>71</v>
      </c>
      <c r="J10" s="226" t="s">
        <v>0</v>
      </c>
      <c r="K10" s="226" t="s">
        <v>4</v>
      </c>
      <c r="M10" s="45" t="s">
        <v>71</v>
      </c>
      <c r="N10" s="226" t="s">
        <v>0</v>
      </c>
      <c r="O10" s="226" t="s">
        <v>70</v>
      </c>
    </row>
    <row r="11" spans="1:26" ht="16.5" customHeight="1">
      <c r="A11" s="114" t="s">
        <v>219</v>
      </c>
      <c r="B11" s="111" t="str">
        <f>HLOOKUP(B$9,기초!$C$5:$I$7,3,0)</f>
        <v>조정대상지역</v>
      </c>
      <c r="C11" s="111" t="str">
        <f>HLOOKUP(C$9,기초!$C$5:$I$7,3,0)</f>
        <v>조정대상지역</v>
      </c>
      <c r="E11" s="114" t="s">
        <v>219</v>
      </c>
      <c r="F11" s="111" t="str">
        <f>HLOOKUP(F$9,기초!$C$5:$I$7,3,0)</f>
        <v>조정대상지역</v>
      </c>
      <c r="G11" s="111" t="str">
        <f>HLOOKUP(G$9,기초!$C$5:$I$7,3,0)</f>
        <v>조정대상지역</v>
      </c>
      <c r="I11" s="114" t="s">
        <v>219</v>
      </c>
      <c r="J11" s="111" t="str">
        <f>HLOOKUP(J$9,기초!$C$5:$I$7,3,0)</f>
        <v>조정대상지역</v>
      </c>
      <c r="K11" s="111" t="str">
        <f>HLOOKUP(K$9,기초!$C$5:$I$7,3,0)</f>
        <v>조정대상지역</v>
      </c>
      <c r="M11" s="114" t="s">
        <v>219</v>
      </c>
      <c r="N11" s="111" t="str">
        <f>HLOOKUP(N$9,기초!$C$5:$I$7,3,0)</f>
        <v>조정대상지역</v>
      </c>
      <c r="O11" s="111" t="str">
        <f>HLOOKUP(O$9,기초!$C$5:$I$7,3,0)</f>
        <v>조정대상지역</v>
      </c>
    </row>
    <row r="12" spans="1:26" ht="16.5" customHeight="1">
      <c r="A12" s="3" t="s">
        <v>177</v>
      </c>
      <c r="B12" s="16" t="str">
        <f>HLOOKUP(B$9,기초!$C$5:$I$7,2,0)</f>
        <v>국평</v>
      </c>
      <c r="C12" s="16" t="str">
        <f>HLOOKUP(C$9,기초!$C$5:$I$7,2,0)</f>
        <v>국평</v>
      </c>
      <c r="E12" s="3" t="s">
        <v>177</v>
      </c>
      <c r="F12" s="16" t="str">
        <f>HLOOKUP(F$9,기초!$C$5:$I$7,2,0)</f>
        <v>국평</v>
      </c>
      <c r="G12" s="16" t="str">
        <f>HLOOKUP(G$9,기초!$C$5:$I$7,2,0)</f>
        <v>국평</v>
      </c>
      <c r="I12" s="3" t="s">
        <v>177</v>
      </c>
      <c r="J12" s="16" t="str">
        <f>HLOOKUP(J$9,기초!$C$5:$I$7,2,0)</f>
        <v>국평</v>
      </c>
      <c r="K12" s="16" t="str">
        <f>HLOOKUP(K$9,기초!$C$5:$I$7,2,0)</f>
        <v>국평</v>
      </c>
      <c r="M12" s="3" t="s">
        <v>177</v>
      </c>
      <c r="N12" s="16" t="str">
        <f>HLOOKUP(N$9,기초!$C$5:$I$7,2,0)</f>
        <v>국평</v>
      </c>
      <c r="O12" s="16" t="str">
        <f>HLOOKUP(O$9,기초!$C$5:$I$7,2,0)</f>
        <v>국평</v>
      </c>
    </row>
    <row r="13" spans="1:26" ht="16.5" customHeight="1">
      <c r="A13" s="3" t="s">
        <v>225</v>
      </c>
      <c r="B13" s="116">
        <f>HLOOKUP(B$9,기초!$C$5:$I$16,MATCH($A13,기초!$A$5:$A$16,0),0)</f>
        <v>15</v>
      </c>
      <c r="C13" s="116">
        <f>HLOOKUP(C$9,기초!$C$5:$I$16,MATCH($A13,기초!$A$5:$A$16,0),0)</f>
        <v>15</v>
      </c>
      <c r="E13" s="3" t="s">
        <v>73</v>
      </c>
      <c r="F13" s="227">
        <f>B13+1</f>
        <v>16</v>
      </c>
      <c r="G13" s="227">
        <f>C13+1</f>
        <v>16</v>
      </c>
      <c r="I13" s="3" t="s">
        <v>73</v>
      </c>
      <c r="J13" s="227">
        <f>F13+1</f>
        <v>17</v>
      </c>
      <c r="K13" s="227">
        <f>G13+1</f>
        <v>17</v>
      </c>
      <c r="M13" s="3" t="s">
        <v>73</v>
      </c>
      <c r="N13" s="227">
        <f>J13+1</f>
        <v>18</v>
      </c>
      <c r="O13" s="227">
        <f>K13+1</f>
        <v>18</v>
      </c>
    </row>
    <row r="14" spans="1:26" ht="16.5" customHeight="1">
      <c r="A14" s="3" t="s">
        <v>226</v>
      </c>
      <c r="B14" s="116">
        <f>HLOOKUP(B$9,기초!$C$5:$I$16,MATCH($A14,기초!$A$5:$A$16,0),0)</f>
        <v>10</v>
      </c>
      <c r="C14" s="116">
        <f>HLOOKUP(C$9,기초!$C$5:$I$16,MATCH($A14,기초!$A$5:$A$16,0),0)</f>
        <v>10</v>
      </c>
      <c r="E14" s="3" t="s">
        <v>2</v>
      </c>
      <c r="F14" s="227">
        <f>B14+1</f>
        <v>11</v>
      </c>
      <c r="G14" s="227">
        <f>C14+1</f>
        <v>11</v>
      </c>
      <c r="I14" s="3" t="s">
        <v>2</v>
      </c>
      <c r="J14" s="227">
        <f>F14+1</f>
        <v>12</v>
      </c>
      <c r="K14" s="227">
        <f>G14+1</f>
        <v>12</v>
      </c>
      <c r="M14" s="3" t="s">
        <v>2</v>
      </c>
      <c r="N14" s="227">
        <f>J14+1</f>
        <v>13</v>
      </c>
      <c r="O14" s="227">
        <f>K14+1</f>
        <v>13</v>
      </c>
    </row>
    <row r="15" spans="1:26" ht="16.5" customHeight="1">
      <c r="A15" s="3" t="s">
        <v>75</v>
      </c>
      <c r="B15" s="3" t="str">
        <f t="shared" ref="B15:C15" si="11">IF(AND(B10="3주택",B11="조정대상지역"),"기본세율+30%",IF(B10="비사토","기본세율+10%",IF(AND(B10="2주택",B11="조정대상지역"),"기본세율+20%","기본세율")))</f>
        <v>기본세율</v>
      </c>
      <c r="C15" s="3" t="str">
        <f t="shared" si="11"/>
        <v>기본세율</v>
      </c>
      <c r="E15" s="3" t="s">
        <v>75</v>
      </c>
      <c r="F15" s="3" t="str">
        <f t="shared" ref="F15:G15" si="12">IF(AND(F10="3주택",F11="조정대상지역"),"기본세율+30%",IF(F10="비사토","기본세율+10%",IF(AND(F10="2주택",F11="조정대상지역"),"기본세율+20%","기본세율")))</f>
        <v>기본세율</v>
      </c>
      <c r="G15" s="3" t="str">
        <f t="shared" si="12"/>
        <v>기본세율</v>
      </c>
      <c r="I15" s="3" t="s">
        <v>75</v>
      </c>
      <c r="J15" s="3" t="str">
        <f t="shared" ref="J15:K15" si="13">IF(AND(J10="3주택",J11="조정대상지역"),"기본세율+30%",IF(J10="비사토","기본세율+10%",IF(AND(J10="2주택",J11="조정대상지역"),"기본세율+20%","기본세율")))</f>
        <v>기본세율</v>
      </c>
      <c r="K15" s="3" t="str">
        <f t="shared" si="13"/>
        <v>기본세율+20%</v>
      </c>
      <c r="M15" s="3" t="s">
        <v>75</v>
      </c>
      <c r="N15" s="3" t="str">
        <f t="shared" ref="N15:O15" si="14">IF(AND(N10="3주택",N11="조정대상지역"),"기본세율+30%",IF(N10="비사토","기본세율+10%",IF(AND(N10="2주택",N11="조정대상지역"),"기본세율+20%","기본세율")))</f>
        <v>기본세율</v>
      </c>
      <c r="O15" s="3" t="str">
        <f t="shared" si="14"/>
        <v>기본세율+10%</v>
      </c>
    </row>
    <row r="16" spans="1:26" ht="16.5" customHeight="1">
      <c r="A16" s="3" t="s">
        <v>77</v>
      </c>
      <c r="B16" s="16">
        <v>0.6</v>
      </c>
      <c r="C16" s="16">
        <v>0.4</v>
      </c>
      <c r="E16" s="3" t="s">
        <v>77</v>
      </c>
      <c r="F16" s="16">
        <v>0.6</v>
      </c>
      <c r="G16" s="16">
        <v>0.4</v>
      </c>
      <c r="I16" s="3" t="s">
        <v>77</v>
      </c>
      <c r="J16" s="16">
        <v>0.5</v>
      </c>
      <c r="K16" s="16">
        <v>1</v>
      </c>
      <c r="M16" s="3" t="s">
        <v>77</v>
      </c>
      <c r="N16" s="16">
        <v>0.5</v>
      </c>
      <c r="O16" s="16">
        <v>1</v>
      </c>
    </row>
    <row r="17" spans="1:26" ht="16.5" customHeight="1">
      <c r="A17" s="3" t="s">
        <v>54</v>
      </c>
      <c r="B17" s="12" t="s">
        <v>43</v>
      </c>
      <c r="C17" s="12" t="s">
        <v>43</v>
      </c>
      <c r="E17" s="3" t="s">
        <v>54</v>
      </c>
      <c r="F17" s="12" t="s">
        <v>43</v>
      </c>
      <c r="G17" s="12" t="s">
        <v>43</v>
      </c>
      <c r="I17" s="3" t="s">
        <v>54</v>
      </c>
      <c r="J17" s="12" t="s">
        <v>43</v>
      </c>
      <c r="K17" s="12" t="s">
        <v>43</v>
      </c>
      <c r="M17" s="3" t="s">
        <v>54</v>
      </c>
      <c r="N17" s="12" t="s">
        <v>43</v>
      </c>
      <c r="O17" s="12" t="s">
        <v>43</v>
      </c>
    </row>
    <row r="18" spans="1:26" ht="16.5" customHeight="1">
      <c r="A18" s="3"/>
      <c r="B18" s="16"/>
      <c r="C18" s="16"/>
      <c r="E18" s="3" t="s">
        <v>78</v>
      </c>
      <c r="F18" s="45" t="b">
        <v>1</v>
      </c>
      <c r="G18" s="45" t="b">
        <v>1</v>
      </c>
      <c r="I18" s="3" t="s">
        <v>78</v>
      </c>
      <c r="J18" s="45" t="b">
        <v>1</v>
      </c>
      <c r="K18" s="45" t="b">
        <v>1</v>
      </c>
      <c r="M18" s="3" t="s">
        <v>78</v>
      </c>
      <c r="N18" s="45" t="b">
        <v>1</v>
      </c>
      <c r="O18" s="45" t="b">
        <v>1</v>
      </c>
    </row>
    <row r="19" spans="1:26" ht="16.5" customHeight="1"/>
    <row r="20" spans="1:26" ht="16.5" customHeight="1">
      <c r="A20" s="46" t="s">
        <v>227</v>
      </c>
      <c r="B20" s="116">
        <f>HLOOKUP(B$9,기초!$C$5:$I$16,MATCH($A20,기초!$A$5:$A$16,0),0)</f>
        <v>4000000000</v>
      </c>
      <c r="C20" s="116">
        <f>HLOOKUP(C$9,기초!$C$5:$I$16,MATCH($A20,기초!$A$5:$A$16,0),0)</f>
        <v>4000000000</v>
      </c>
      <c r="D20" s="18"/>
      <c r="E20" s="46" t="s">
        <v>171</v>
      </c>
      <c r="F20" s="14">
        <f>F1</f>
        <v>4000000000</v>
      </c>
      <c r="G20" s="14">
        <f>G1</f>
        <v>4000000000</v>
      </c>
      <c r="H20" s="18"/>
      <c r="I20" s="46" t="s">
        <v>171</v>
      </c>
      <c r="J20" s="14">
        <f>J1</f>
        <v>4000000000</v>
      </c>
      <c r="K20" s="14">
        <f>K1</f>
        <v>4000000000</v>
      </c>
      <c r="L20" s="18"/>
      <c r="M20" s="46" t="s">
        <v>171</v>
      </c>
      <c r="N20" s="14">
        <f>N1</f>
        <v>4000000000</v>
      </c>
      <c r="O20" s="14">
        <f>O1</f>
        <v>4000000000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6.5" customHeight="1">
      <c r="A21" s="46" t="s">
        <v>172</v>
      </c>
      <c r="B21" s="4">
        <f>B16*B20*B2/B1</f>
        <v>0</v>
      </c>
      <c r="C21" s="4">
        <f>C16*C20*C2/C1</f>
        <v>0</v>
      </c>
      <c r="D21" s="18"/>
      <c r="E21" s="46" t="s">
        <v>172</v>
      </c>
      <c r="F21" s="4">
        <f>F16*F20*F2/F1</f>
        <v>0</v>
      </c>
      <c r="G21" s="4">
        <f>G16*G20*G2/G1</f>
        <v>0</v>
      </c>
      <c r="H21" s="18"/>
      <c r="I21" s="46" t="s">
        <v>172</v>
      </c>
      <c r="J21" s="4">
        <f>J16*J20*J2/J1</f>
        <v>0</v>
      </c>
      <c r="K21" s="4">
        <f>K16*K20*K2/K1</f>
        <v>0</v>
      </c>
      <c r="L21" s="18"/>
      <c r="M21" s="46" t="s">
        <v>172</v>
      </c>
      <c r="N21" s="4">
        <f>N16*N20*N2/N1</f>
        <v>0</v>
      </c>
      <c r="O21" s="4">
        <f>O16*O20*O2/O1</f>
        <v>0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6.5" customHeight="1">
      <c r="A22" s="25" t="s">
        <v>80</v>
      </c>
      <c r="B22" s="57">
        <f>B4*B2/B1</f>
        <v>0</v>
      </c>
      <c r="C22" s="57">
        <f>C4*C2/C1</f>
        <v>0</v>
      </c>
      <c r="D22" s="25"/>
      <c r="E22" s="25" t="s">
        <v>80</v>
      </c>
      <c r="F22" s="57">
        <f>F4*F2/F1</f>
        <v>0</v>
      </c>
      <c r="G22" s="57">
        <f>G4*G2/G1</f>
        <v>0</v>
      </c>
      <c r="H22" s="25"/>
      <c r="I22" s="25" t="s">
        <v>80</v>
      </c>
      <c r="J22" s="57">
        <f>J4*J2/J1</f>
        <v>0</v>
      </c>
      <c r="K22" s="57">
        <f>K4*K2/K1</f>
        <v>0</v>
      </c>
      <c r="L22" s="25"/>
      <c r="M22" s="25" t="s">
        <v>80</v>
      </c>
      <c r="N22" s="57">
        <f>N4*N2/N1</f>
        <v>0</v>
      </c>
      <c r="O22" s="57">
        <f>O4*O2/O1</f>
        <v>0</v>
      </c>
      <c r="P22" s="25"/>
      <c r="Q22" s="58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6.5" customHeight="1">
      <c r="A23" s="18" t="s">
        <v>81</v>
      </c>
      <c r="B23" s="4">
        <f t="shared" ref="B23:C23" si="15">B21-B22</f>
        <v>0</v>
      </c>
      <c r="C23" s="4">
        <f t="shared" si="15"/>
        <v>0</v>
      </c>
      <c r="D23" s="18"/>
      <c r="E23" s="18" t="s">
        <v>81</v>
      </c>
      <c r="F23" s="4">
        <f t="shared" ref="F23:G23" si="16">F21-F22</f>
        <v>0</v>
      </c>
      <c r="G23" s="4">
        <f t="shared" si="16"/>
        <v>0</v>
      </c>
      <c r="H23" s="18"/>
      <c r="I23" s="18" t="s">
        <v>81</v>
      </c>
      <c r="J23" s="4">
        <f t="shared" ref="J23:K23" si="17">J21-J22</f>
        <v>0</v>
      </c>
      <c r="K23" s="4">
        <f t="shared" si="17"/>
        <v>0</v>
      </c>
      <c r="L23" s="18"/>
      <c r="M23" s="18" t="s">
        <v>81</v>
      </c>
      <c r="N23" s="4">
        <f t="shared" ref="N23:O23" si="18">N21-N22</f>
        <v>0</v>
      </c>
      <c r="O23" s="4">
        <f t="shared" si="18"/>
        <v>0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6.5" customHeight="1">
      <c r="A24" s="25" t="s">
        <v>82</v>
      </c>
      <c r="B24" s="59">
        <f>IF(B10="1세대1주택",MAX(0,B23*(B20-1200000000)/B20),B23)</f>
        <v>0</v>
      </c>
      <c r="C24" s="59">
        <f>IF(C10="1세대1주택",MAX(0,C23*(C20-1200000000)/C20),C23)</f>
        <v>0</v>
      </c>
      <c r="D24" s="25"/>
      <c r="E24" s="25" t="s">
        <v>82</v>
      </c>
      <c r="F24" s="59">
        <f>IF(F10="1세대1주택",MAX(0,F23*(F20-1200000000)/F20),F23)</f>
        <v>0</v>
      </c>
      <c r="G24" s="59">
        <f>IF(G10="1세대1주택",MAX(0,G23*(G20-1200000000)/G20),G23)</f>
        <v>0</v>
      </c>
      <c r="H24" s="25"/>
      <c r="I24" s="25" t="s">
        <v>82</v>
      </c>
      <c r="J24" s="59">
        <f>IF(J10="1세대1주택",MAX(0,J23*(J20-1200000000)/J20),J23)</f>
        <v>0</v>
      </c>
      <c r="K24" s="59">
        <f>IF(K10="1세대1주택",MAX(0,K23*(K20-1200000000)/K20),K23)</f>
        <v>0</v>
      </c>
      <c r="L24" s="25"/>
      <c r="M24" s="25" t="s">
        <v>82</v>
      </c>
      <c r="N24" s="59">
        <f>IF(N10="1세대1주택",MAX(0,N23*(N20-1200000000)/N20),N23)</f>
        <v>0</v>
      </c>
      <c r="O24" s="59">
        <f>IF(O10="1세대1주택",MAX(0,O23*(O20-1200000000)/O20),O23)</f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6.5" customHeight="1">
      <c r="A25" s="47" t="s">
        <v>83</v>
      </c>
      <c r="B25" s="48">
        <f>IF(B13&gt;=3,IF(AND(B10="1세대1주택",B14&gt;=2),MIN(40%,B13*4%)+MIN(40%,B14*4%),IF(B15="기본세율",MIN(30%,B13*2%),0)))</f>
        <v>0.8</v>
      </c>
      <c r="C25" s="48">
        <f>IF(C13&gt;=3,IF(AND(C10="1세대1주택",C14&gt;=2),MIN(40%,C13*4%)+MIN(40%,C14*4%),IF(C15="기본세율",MIN(30%,C13*2%),0)))</f>
        <v>0.8</v>
      </c>
      <c r="D25" s="18"/>
      <c r="E25" s="47" t="s">
        <v>83</v>
      </c>
      <c r="F25" s="48">
        <f>IF(F13&gt;=3,IF(AND(F10="1세대1주택",F14&gt;=2),MIN(40%,F13*4%)+MIN(40%,F14*4%),IF(F15="기본세율",MIN(30%,F13*2%),0)))</f>
        <v>0.8</v>
      </c>
      <c r="G25" s="48">
        <f>IF(G13&gt;=3,IF(AND(G10="1세대1주택",G14&gt;=2),MIN(40%,G13*4%)+MIN(40%,G14*4%),IF(G15="기본세율",MIN(30%,G13*2%),0)))</f>
        <v>0.8</v>
      </c>
      <c r="H25" s="18"/>
      <c r="I25" s="47" t="s">
        <v>83</v>
      </c>
      <c r="J25" s="48">
        <f>IF(J13&gt;=3,IF(AND(J10="1세대1주택",J14&gt;=2),MIN(20%,J13*2%)+MIN(60%,J14*6%),IF(J15="기본세율",MIN(15%,J13*1%)+MIN(30%,J14*2%),0)))</f>
        <v>0.8</v>
      </c>
      <c r="K25" s="48">
        <f>IF(K13&gt;=3,IF(AND(K10="1세대1주택",K14&gt;=2),MIN(20%,K13*2%)+MIN(60%,K14*6%),IF(K15="기본세율",MIN(15%,K13*1%)+MIN(30%,K14*2%),0)))</f>
        <v>0</v>
      </c>
      <c r="L25" s="18"/>
      <c r="M25" s="47" t="s">
        <v>83</v>
      </c>
      <c r="N25" s="48">
        <f>IF(N13&gt;=3,IF(AND(N10="1세대1주택",N14&gt;=2),MIN(80%,N14*8%),IF(N15="기본세율",MIN(30%,N14*2%),0)))</f>
        <v>0.8</v>
      </c>
      <c r="O25" s="48">
        <f>IF(O13&gt;=3,IF(AND(O10="1세대1주택",O14&gt;=2),MIN(80%,O14*8%),IF(O15="기본세율",MIN(30%,O14*2%),0)))</f>
        <v>0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6.5" customHeight="1">
      <c r="A26" s="49" t="s">
        <v>85</v>
      </c>
      <c r="B26" s="50">
        <f t="shared" ref="B26:C26" si="19">B24*(1-B25)</f>
        <v>0</v>
      </c>
      <c r="C26" s="50">
        <f t="shared" si="19"/>
        <v>0</v>
      </c>
      <c r="D26" s="18"/>
      <c r="E26" s="49" t="s">
        <v>85</v>
      </c>
      <c r="F26" s="50">
        <f t="shared" ref="F26:G26" si="20">F24*(1-F25)</f>
        <v>0</v>
      </c>
      <c r="G26" s="50">
        <f t="shared" si="20"/>
        <v>0</v>
      </c>
      <c r="H26" s="18"/>
      <c r="I26" s="49" t="s">
        <v>85</v>
      </c>
      <c r="J26" s="50">
        <f>J24-MIN(J24*J25,J8)</f>
        <v>0</v>
      </c>
      <c r="K26" s="50">
        <f>K24-MIN(K24*K25,K8)</f>
        <v>0</v>
      </c>
      <c r="L26" s="18"/>
      <c r="M26" s="49" t="s">
        <v>85</v>
      </c>
      <c r="N26" s="50">
        <f>N24-MIN(N24*N25,N8)</f>
        <v>0</v>
      </c>
      <c r="O26" s="50">
        <f>O24-MIN(O24*O25,O8)</f>
        <v>0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6.5" customHeight="1">
      <c r="A27" s="51" t="s">
        <v>87</v>
      </c>
      <c r="B27" s="52">
        <v>2500000</v>
      </c>
      <c r="C27" s="52">
        <v>2500000</v>
      </c>
      <c r="D27" s="18"/>
      <c r="E27" s="51" t="s">
        <v>87</v>
      </c>
      <c r="F27" s="52">
        <f>IF(AND(F10="1세대1주택",F14&gt;=10,F20&lt;=3*10^9),25*10^6*IF($E$10="부부",IF(F18=TRUE,F16,1),F16),2500000)</f>
        <v>2500000</v>
      </c>
      <c r="G27" s="52">
        <f>IF(AND(G10="1세대1주택",G14&gt;=10,G20&lt;=3*10^9),25*10^6*IF($E$10="부부",IF(G18=TRUE,G16,1),G16),2500000)</f>
        <v>2500000</v>
      </c>
      <c r="H27" s="18"/>
      <c r="I27" s="51" t="s">
        <v>87</v>
      </c>
      <c r="J27" s="52">
        <f>IF(AND(J10="1세대1주택",J14&gt;=10,J20&lt;=3*10^9),25*10^6*IF($I$10="부부",IF(J18=TRUE,J16,1),J16),2500000)</f>
        <v>2500000</v>
      </c>
      <c r="K27" s="52">
        <f>IF(AND(K10="1세대1주택",K14&gt;=10,K20&lt;=3*10^9),25*10^6*IF($I$10="부부",IF(K18=TRUE,K16,1),K16),2500000)</f>
        <v>2500000</v>
      </c>
      <c r="L27" s="18"/>
      <c r="M27" s="51" t="s">
        <v>87</v>
      </c>
      <c r="N27" s="52">
        <f>IF(AND(N10="1세대1주택",N14&gt;=10,N20&lt;=3*10^9),25*10^6*IF($M$10="부부",IF(N18=TRUE,N16,1),N16),2500000)</f>
        <v>2500000</v>
      </c>
      <c r="O27" s="52">
        <f>IF(AND(O10="1세대1주택",O14&gt;=10,O20&lt;=3*10^9),25*10^6*IF($M$10="부부",IF(O18=TRUE,O16,1),O16),2500000)</f>
        <v>2500000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6.5" customHeight="1">
      <c r="A28" s="53" t="s">
        <v>61</v>
      </c>
      <c r="B28" s="54">
        <f t="shared" ref="B28:C28" si="21">B26-B27</f>
        <v>-2500000</v>
      </c>
      <c r="C28" s="54">
        <f t="shared" si="21"/>
        <v>-2500000</v>
      </c>
      <c r="D28" s="18"/>
      <c r="E28" s="53" t="s">
        <v>61</v>
      </c>
      <c r="F28" s="54">
        <f t="shared" ref="F28:G28" si="22">F26-F27</f>
        <v>-2500000</v>
      </c>
      <c r="G28" s="54">
        <f t="shared" si="22"/>
        <v>-2500000</v>
      </c>
      <c r="H28" s="18"/>
      <c r="I28" s="53" t="s">
        <v>61</v>
      </c>
      <c r="J28" s="34">
        <f t="shared" ref="J28:K28" si="23">J26-J27</f>
        <v>-2500000</v>
      </c>
      <c r="K28" s="34">
        <f t="shared" si="23"/>
        <v>-2500000</v>
      </c>
      <c r="L28" s="18"/>
      <c r="M28" s="53" t="s">
        <v>61</v>
      </c>
      <c r="N28" s="34">
        <f t="shared" ref="N28:O28" si="24">N26-N27</f>
        <v>-2500000</v>
      </c>
      <c r="O28" s="34">
        <f t="shared" si="24"/>
        <v>-2500000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6.5" customHeight="1">
      <c r="A29" s="47" t="s">
        <v>62</v>
      </c>
      <c r="B29" s="48">
        <f t="array" ref="B29">INDEX(t!$AB$3:$AJ$10,MIN(ROWS(t!$AB$3:$AB$10),IF(B28&lt;=t!$AB$3,1,MATCH(B28-1,t!$AB$3:$AB$10,1)+1)),MATCH(B15,{"기본세율","기본세율+10%","기본세율+20%","기본세율+30%"},0)*2)</f>
        <v>0.06</v>
      </c>
      <c r="C29" s="48">
        <f t="array" ref="C29">INDEX(t!$AB$3:$AJ$10,MIN(ROWS(t!$AB$3:$AB$10),IF(C28&lt;=t!$AB$3,1,MATCH(C28-1,t!$AB$3:$AB$10,1)+1)),MATCH(C15,{"기본세율","기본세율+10%","기본세율+20%","기본세율+30%"},0)*2)</f>
        <v>0.06</v>
      </c>
      <c r="D29" s="18"/>
      <c r="E29" s="47" t="s">
        <v>62</v>
      </c>
      <c r="F29" s="48">
        <f t="array" ref="F29">INDEX(t!$AB$3:$AJ$10,MIN(ROWS(t!$AB$3:$AB$10),IF(F28&lt;=t!$AB$3,1,MATCH(F28-1,t!$AB$3:$AB$10,1)+1)),MATCH(F15,{"기본세율","기본세율+10%","기본세율+20%","기본세율+30%"},0)*2)</f>
        <v>0.06</v>
      </c>
      <c r="G29" s="48">
        <f t="array" ref="G29">INDEX(t!$AB$3:$AJ$10,MIN(ROWS(t!$AB$3:$AB$10),IF(G28&lt;=t!$AB$3,1,MATCH(G28-1,t!$AB$3:$AB$10,1)+1)),MATCH(G15,{"기본세율","기본세율+10%","기본세율+20%","기본세율+30%"},0)*2)</f>
        <v>0.06</v>
      </c>
      <c r="H29" s="18"/>
      <c r="I29" s="47" t="s">
        <v>62</v>
      </c>
      <c r="J29" s="48">
        <f t="array" ref="J29">INDEX(t!$AB$3:$AJ$10,MIN(ROWS(t!$AB$3:$AB$10),IF(J28&lt;=t!$AB$3,1,MATCH(J28-1,t!$AB$3:$AB$10,1)+1)),MATCH(J15,{"기본세율","기본세율+10%","기본세율+20%","기본세율+30%"},0)*2)</f>
        <v>0.06</v>
      </c>
      <c r="K29" s="48">
        <f t="array" ref="K29">INDEX(t!$AB$3:$AJ$10,MIN(ROWS(t!$AB$3:$AB$10),IF(K28&lt;=t!$AB$3,1,MATCH(K28-1,t!$AB$3:$AB$10,1)+1)),MATCH(K15,{"기본세율","기본세율+10%","기본세율+20%","기본세율+30%"},0)*2)</f>
        <v>0.26</v>
      </c>
      <c r="L29" s="18"/>
      <c r="M29" s="47" t="s">
        <v>62</v>
      </c>
      <c r="N29" s="48">
        <f t="array" ref="N29">INDEX(t!$AB$3:$AJ$10,MIN(ROWS(t!$AB$3:$AB$10),IF(N28&lt;=t!$AB$3,1,MATCH(N28-1,t!$AB$3:$AB$10,1)+1)),MATCH(N15,{"기본세율","기본세율+10%","기본세율+20%","기본세율+30%"},0)*2)</f>
        <v>0.06</v>
      </c>
      <c r="O29" s="48">
        <f t="array" ref="O29">INDEX(t!$AB$3:$AJ$10,MIN(ROWS(t!$AB$3:$AB$10),IF(O28&lt;=t!$AB$3,1,MATCH(O28-1,t!$AB$3:$AB$10,1)+1)),MATCH(O15,{"기본세율","기본세율+10%","기본세율+20%","기본세율+30%"},0)*2)</f>
        <v>0.16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6.5" customHeight="1">
      <c r="A30" s="49" t="s">
        <v>63</v>
      </c>
      <c r="B30" s="50">
        <f t="array" ref="B30">B28*B29-INDEX(t!$AB$3:$AJ$10,MIN(ROWS(t!$AB$3:$AB$10),IF($B$28&lt;=t!$AB$3,1,MATCH($B$28-1,t!$AB$3:$AB$10,1)+1)),MATCH($B$15,{"기본세율","기본세율+10%","기본세율+20%","기본세율+30%"},0)*2+1)</f>
        <v>-150000</v>
      </c>
      <c r="C30" s="50">
        <f t="array" ref="C30">C28*C29-INDEX(t!$AB$3:$AJ$10,MIN(ROWS(t!$AB$3:$AB$10),IF($B$28&lt;=t!$AB$3,1,MATCH($B$28-1,t!$AB$3:$AB$10,1)+1)),MATCH($B$15,{"기본세율","기본세율+10%","기본세율+20%","기본세율+30%"},0)*2+1)</f>
        <v>-150000</v>
      </c>
      <c r="D30" s="18"/>
      <c r="E30" s="49" t="s">
        <v>63</v>
      </c>
      <c r="F30" s="50">
        <f t="array" ref="F30">F28*F29-INDEX(t!$AB$3:$AJ$10,MIN(ROWS(t!$AB$3:$AB$10),IF($B$28&lt;=t!$AB$3,1,MATCH($B$28-1,t!$AB$3:$AB$10,1)+1)),MATCH($B$15,{"기본세율","기본세율+10%","기본세율+20%","기본세율+30%"},0)*2+1)</f>
        <v>-150000</v>
      </c>
      <c r="G30" s="50">
        <f t="array" ref="G30">G28*G29-INDEX(t!$AB$3:$AJ$10,MIN(ROWS(t!$AB$3:$AB$10),IF($B$28&lt;=t!$AB$3,1,MATCH($B$28-1,t!$AB$3:$AB$10,1)+1)),MATCH($B$15,{"기본세율","기본세율+10%","기본세율+20%","기본세율+30%"},0)*2+1)</f>
        <v>-150000</v>
      </c>
      <c r="H30" s="18"/>
      <c r="I30" s="49" t="s">
        <v>63</v>
      </c>
      <c r="J30" s="62">
        <f t="array" ref="J30">J28*J29-INDEX(t!$AB$3:$AJ$10,MIN(ROWS(t!$AB$3:$AB$10),IF($B$28&lt;=t!$AB$3,1,MATCH($B$28-1,t!$AB$3:$AB$10,1)+1)),MATCH($B$15,{"기본세율","기본세율+10%","기본세율+20%","기본세율+30%"},0)*2+1)</f>
        <v>-150000</v>
      </c>
      <c r="K30" s="50">
        <f t="array" ref="K30">K28*K29-INDEX(t!$AB$3:$AJ$10,MIN(ROWS(t!$AB$3:$AB$10),IF($B$28&lt;=t!$AB$3,1,MATCH($B$28-1,t!$AB$3:$AB$10,1)+1)),MATCH($B$15,{"기본세율","기본세율+10%","기본세율+20%","기본세율+30%"},0)*2+1)</f>
        <v>-650000</v>
      </c>
      <c r="L30" s="18"/>
      <c r="M30" s="49" t="s">
        <v>63</v>
      </c>
      <c r="N30" s="62">
        <f t="array" ref="N30">N28*N29-INDEX(t!$AB$3:$AJ$10,MIN(ROWS(t!$AB$3:$AB$10),IF($B$28&lt;=t!$AB$3,1,MATCH($B$28-1,t!$AB$3:$AB$10,1)+1)),MATCH($B$15,{"기본세율","기본세율+10%","기본세율+20%","기본세율+30%"},0)*2+1)</f>
        <v>-150000</v>
      </c>
      <c r="O30" s="50">
        <f t="array" ref="O30">O28*O29-INDEX(t!$AB$3:$AJ$10,MIN(ROWS(t!$AB$3:$AB$10),IF($B$28&lt;=t!$AB$3,1,MATCH($B$28-1,t!$AB$3:$AB$10,1)+1)),MATCH($B$15,{"기본세율","기본세율+10%","기본세율+20%","기본세율+30%"},0)*2+1)</f>
        <v>-400000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6.5" customHeight="1">
      <c r="A31" s="18" t="s">
        <v>95</v>
      </c>
      <c r="B31" s="4">
        <f t="shared" ref="B31:C31" si="25">B30</f>
        <v>-150000</v>
      </c>
      <c r="C31" s="4">
        <f t="shared" si="25"/>
        <v>-150000</v>
      </c>
      <c r="D31" s="18"/>
      <c r="E31" s="18" t="s">
        <v>95</v>
      </c>
      <c r="F31" s="4">
        <f t="shared" ref="F31:G31" si="26">F30</f>
        <v>-150000</v>
      </c>
      <c r="G31" s="4">
        <f t="shared" si="26"/>
        <v>-150000</v>
      </c>
      <c r="H31" s="18"/>
      <c r="I31" s="18" t="s">
        <v>95</v>
      </c>
      <c r="J31" s="4">
        <f t="shared" ref="J31:K31" si="27">J30</f>
        <v>-150000</v>
      </c>
      <c r="K31" s="4">
        <f t="shared" si="27"/>
        <v>-650000</v>
      </c>
      <c r="L31" s="18"/>
      <c r="M31" s="18" t="s">
        <v>95</v>
      </c>
      <c r="N31" s="4">
        <f t="shared" ref="N31:O31" si="28">N30</f>
        <v>-150000</v>
      </c>
      <c r="O31" s="4">
        <f t="shared" si="28"/>
        <v>-400000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6.5" customHeight="1">
      <c r="A32" s="47" t="s">
        <v>96</v>
      </c>
      <c r="B32" s="64">
        <f t="shared" ref="B32:C32" si="29">B31*0.1</f>
        <v>-15000</v>
      </c>
      <c r="C32" s="64">
        <f t="shared" si="29"/>
        <v>-15000</v>
      </c>
      <c r="E32" s="47" t="s">
        <v>96</v>
      </c>
      <c r="F32" s="64">
        <f t="shared" ref="F32:G32" si="30">F31*0.1</f>
        <v>-15000</v>
      </c>
      <c r="G32" s="64">
        <f t="shared" si="30"/>
        <v>-15000</v>
      </c>
      <c r="I32" s="47" t="s">
        <v>96</v>
      </c>
      <c r="J32" s="4">
        <f t="shared" ref="J32:K32" si="31">J31*0.1</f>
        <v>-15000</v>
      </c>
      <c r="K32" s="4">
        <f t="shared" si="31"/>
        <v>-65000</v>
      </c>
      <c r="M32" s="47" t="s">
        <v>96</v>
      </c>
      <c r="N32" s="4">
        <f t="shared" ref="N32:O32" si="32">N31*0.1</f>
        <v>-15000</v>
      </c>
      <c r="O32" s="4">
        <f t="shared" si="32"/>
        <v>-40000</v>
      </c>
    </row>
    <row r="33" spans="1:26" ht="16.5" customHeight="1">
      <c r="A33" s="65" t="s">
        <v>59</v>
      </c>
      <c r="B33" s="66">
        <f t="shared" ref="B33:C33" si="33">SUM(B31:B32)</f>
        <v>-165000</v>
      </c>
      <c r="C33" s="66">
        <f t="shared" si="33"/>
        <v>-165000</v>
      </c>
      <c r="E33" s="65" t="s">
        <v>59</v>
      </c>
      <c r="F33" s="66">
        <f t="shared" ref="F33:G33" si="34">SUM(F31:F32)</f>
        <v>-165000</v>
      </c>
      <c r="G33" s="66">
        <f t="shared" si="34"/>
        <v>-165000</v>
      </c>
      <c r="I33" s="65" t="s">
        <v>59</v>
      </c>
      <c r="J33" s="66">
        <f t="shared" ref="J33:K33" si="35">SUM(J31:J32)</f>
        <v>-165000</v>
      </c>
      <c r="K33" s="66">
        <f t="shared" si="35"/>
        <v>-715000</v>
      </c>
      <c r="M33" s="65" t="s">
        <v>59</v>
      </c>
      <c r="N33" s="66">
        <f t="shared" ref="N33:O33" si="36">SUM(N31:N32)</f>
        <v>-165000</v>
      </c>
      <c r="O33" s="66">
        <f t="shared" si="36"/>
        <v>-440000</v>
      </c>
    </row>
    <row r="34" spans="1:26" ht="16.5" customHeight="1"/>
    <row r="35" spans="1:26" ht="16.5" customHeight="1">
      <c r="B35" s="7"/>
      <c r="C35" s="7"/>
      <c r="F35" s="7"/>
      <c r="G35" s="7"/>
      <c r="J35" s="7"/>
      <c r="K35" s="7"/>
      <c r="N35" s="7"/>
      <c r="O35" s="7"/>
    </row>
    <row r="36" spans="1:26" ht="16.5" customHeight="1">
      <c r="A36" s="67" t="s">
        <v>101</v>
      </c>
      <c r="B36" s="56" t="e">
        <f ca="1">SUM(B53,B61,B65)</f>
        <v>#N/A</v>
      </c>
      <c r="C36" s="56" t="e">
        <f ca="1">SUM(C53,C61,C65)</f>
        <v>#N/A</v>
      </c>
      <c r="D36" s="56"/>
      <c r="E36" s="67" t="s">
        <v>101</v>
      </c>
      <c r="F36" s="56" t="e">
        <f ca="1">SUM(F53,F61,F65)</f>
        <v>#N/A</v>
      </c>
      <c r="G36" s="56" t="e">
        <f ca="1">SUM(G53,G61,G65)</f>
        <v>#N/A</v>
      </c>
      <c r="H36" s="5"/>
      <c r="I36" s="67" t="s">
        <v>101</v>
      </c>
      <c r="J36" s="56" t="e">
        <f ca="1">SUM(J53,J61,J65)</f>
        <v>#N/A</v>
      </c>
      <c r="K36" s="56" t="e">
        <f ca="1">SUM(K53,K61,K65)</f>
        <v>#N/A</v>
      </c>
      <c r="L36" s="56"/>
      <c r="M36" s="67" t="s">
        <v>101</v>
      </c>
      <c r="N36" s="56" t="e">
        <f ca="1">SUM(N53,N61,N65)</f>
        <v>#N/A</v>
      </c>
      <c r="O36" s="56" t="e">
        <f ca="1">SUM(O53,O61,O65)</f>
        <v>#N/A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67"/>
      <c r="B37" s="4"/>
      <c r="C37" s="4"/>
      <c r="E37" s="67"/>
      <c r="F37" s="4"/>
      <c r="G37" s="4"/>
      <c r="I37" s="7"/>
      <c r="J37" s="4"/>
      <c r="K37" s="4"/>
      <c r="M37" s="7"/>
      <c r="N37" s="4"/>
      <c r="O37" s="4"/>
    </row>
    <row r="38" spans="1:26" ht="16.5" customHeight="1">
      <c r="A38" s="3" t="s">
        <v>218</v>
      </c>
      <c r="B38" s="110" t="s">
        <v>271</v>
      </c>
      <c r="C38" s="110" t="s">
        <v>279</v>
      </c>
      <c r="E38" s="3" t="s">
        <v>218</v>
      </c>
      <c r="F38" s="4" t="str">
        <f>B38</f>
        <v>성춘향</v>
      </c>
      <c r="G38" s="4" t="str">
        <f>C38</f>
        <v>홍상수</v>
      </c>
      <c r="I38" s="3" t="s">
        <v>218</v>
      </c>
      <c r="J38" s="4" t="str">
        <f>F38</f>
        <v>성춘향</v>
      </c>
      <c r="K38" s="4" t="str">
        <f>G38</f>
        <v>홍상수</v>
      </c>
      <c r="M38" s="3" t="s">
        <v>218</v>
      </c>
      <c r="N38" s="4" t="str">
        <f>J38</f>
        <v>성춘향</v>
      </c>
      <c r="O38" s="4" t="str">
        <f>K38</f>
        <v>홍상수</v>
      </c>
    </row>
    <row r="39" spans="1:26" ht="16.5" customHeight="1">
      <c r="A39" s="3" t="s">
        <v>217</v>
      </c>
      <c r="B39" s="111" t="str" cm="1">
        <f t="array" aca="1" ref="B39" ca="1">INDIRECT("기초!B"&amp;(MATCH(B38,기초!$B:$B,0)+1))</f>
        <v>배우자</v>
      </c>
      <c r="C39" s="111" t="str" cm="1">
        <f t="array" aca="1" ref="C39" ca="1">INDIRECT("기초!B"&amp;(MATCH(C38,기초!$B:$B,0)+1))</f>
        <v>직계존비속</v>
      </c>
      <c r="E39" s="3" t="s">
        <v>217</v>
      </c>
      <c r="F39" s="4" t="str">
        <f t="shared" ref="F39:F40" ca="1" si="37">B39</f>
        <v>배우자</v>
      </c>
      <c r="G39" s="4" t="str">
        <f t="shared" ref="G39:G40" ca="1" si="38">C39</f>
        <v>직계존비속</v>
      </c>
      <c r="I39" s="3" t="s">
        <v>217</v>
      </c>
      <c r="J39" s="4" t="str">
        <f t="shared" ref="J39:J40" ca="1" si="39">F39</f>
        <v>배우자</v>
      </c>
      <c r="K39" s="4" t="str">
        <f t="shared" ref="K39:K40" ca="1" si="40">G39</f>
        <v>직계존비속</v>
      </c>
      <c r="M39" s="3" t="s">
        <v>217</v>
      </c>
      <c r="N39" s="4" t="str">
        <f t="shared" ref="N39:N40" ca="1" si="41">J39</f>
        <v>배우자</v>
      </c>
      <c r="O39" s="4" t="str">
        <f t="shared" ref="O39:O40" ca="1" si="42">K39</f>
        <v>직계존비속</v>
      </c>
    </row>
    <row r="40" spans="1:26" ht="16.5" customHeight="1">
      <c r="A40" s="3" t="s">
        <v>56</v>
      </c>
      <c r="B40" s="112">
        <v>1</v>
      </c>
      <c r="C40" s="112">
        <v>1</v>
      </c>
      <c r="E40" s="3" t="s">
        <v>56</v>
      </c>
      <c r="F40" s="133">
        <f t="shared" si="37"/>
        <v>1</v>
      </c>
      <c r="G40" s="133">
        <f t="shared" si="38"/>
        <v>1</v>
      </c>
      <c r="H40" s="134"/>
      <c r="I40" s="80" t="s">
        <v>56</v>
      </c>
      <c r="J40" s="133">
        <f t="shared" si="39"/>
        <v>1</v>
      </c>
      <c r="K40" s="133">
        <f t="shared" si="40"/>
        <v>1</v>
      </c>
      <c r="L40" s="134"/>
      <c r="M40" s="80" t="s">
        <v>56</v>
      </c>
      <c r="N40" s="133">
        <f t="shared" si="41"/>
        <v>1</v>
      </c>
      <c r="O40" s="133">
        <f t="shared" si="42"/>
        <v>1</v>
      </c>
    </row>
    <row r="42" spans="1:26" ht="16.5" customHeight="1">
      <c r="B42" s="3" t="s">
        <v>8</v>
      </c>
      <c r="C42" s="3" t="s">
        <v>9</v>
      </c>
      <c r="F42" s="3" t="s">
        <v>8</v>
      </c>
      <c r="G42" s="3" t="s">
        <v>9</v>
      </c>
      <c r="J42" s="3" t="s">
        <v>8</v>
      </c>
      <c r="K42" s="3" t="s">
        <v>9</v>
      </c>
      <c r="N42" s="3" t="s">
        <v>8</v>
      </c>
      <c r="O42" s="3" t="s">
        <v>9</v>
      </c>
    </row>
    <row r="43" spans="1:26" ht="16.5" customHeight="1">
      <c r="A43" s="3"/>
      <c r="B43" s="3"/>
      <c r="C43" s="3"/>
      <c r="E43" s="3"/>
      <c r="F43" s="3"/>
      <c r="G43" s="3"/>
      <c r="I43" s="3"/>
      <c r="J43" s="3"/>
      <c r="K43" s="3"/>
      <c r="M43" s="3"/>
      <c r="N43" s="3"/>
      <c r="O43" s="3"/>
    </row>
    <row r="44" spans="1:26" ht="16.5" customHeight="1">
      <c r="A44" s="83" t="s">
        <v>227</v>
      </c>
      <c r="B44" s="135">
        <f>B1*B$40</f>
        <v>4000000000</v>
      </c>
      <c r="C44" s="135">
        <f>C1*C$40</f>
        <v>4000000000</v>
      </c>
      <c r="E44" s="83" t="s">
        <v>227</v>
      </c>
      <c r="F44" s="135">
        <f>F1*F$40</f>
        <v>4000000000</v>
      </c>
      <c r="G44" s="135">
        <f>G1*G$40</f>
        <v>4000000000</v>
      </c>
      <c r="I44" s="83" t="s">
        <v>227</v>
      </c>
      <c r="J44" s="135">
        <f>J1*J$40</f>
        <v>4000000000</v>
      </c>
      <c r="K44" s="135">
        <f>K1*K$40</f>
        <v>4000000000</v>
      </c>
      <c r="M44" s="83" t="s">
        <v>227</v>
      </c>
      <c r="N44" s="135">
        <f>N1*N$40</f>
        <v>4000000000</v>
      </c>
      <c r="O44" s="135">
        <f>O1*O$40</f>
        <v>4000000000</v>
      </c>
    </row>
    <row r="45" spans="1:26" ht="16.5" customHeight="1">
      <c r="A45" s="83" t="s">
        <v>230</v>
      </c>
      <c r="B45" s="91">
        <f>SUMIF(기초!$A:$A,B$38,기초!$S:$S)</f>
        <v>0</v>
      </c>
      <c r="C45" s="91">
        <f>SUMIF(기초!$A:$A,C$38,기초!$S:$S)</f>
        <v>0</v>
      </c>
      <c r="E45" s="83" t="s">
        <v>230</v>
      </c>
      <c r="F45" s="91">
        <f>SUMIF(기초!$A:$A,F$38,기초!$S:$S)</f>
        <v>0</v>
      </c>
      <c r="G45" s="91">
        <f>SUMIF(기초!$A:$A,G$38,기초!$S:$S)</f>
        <v>0</v>
      </c>
      <c r="I45" s="83" t="s">
        <v>230</v>
      </c>
      <c r="J45" s="91">
        <f>SUMIF(기초!$A:$A,J$38,기초!$S:$S)</f>
        <v>0</v>
      </c>
      <c r="K45" s="91">
        <f>SUMIF(기초!$A:$A,K$38,기초!$S:$S)</f>
        <v>0</v>
      </c>
      <c r="M45" s="83" t="s">
        <v>230</v>
      </c>
      <c r="N45" s="91">
        <f>SUMIF(기초!$A:$A,N$38,기초!$S:$S)</f>
        <v>0</v>
      </c>
      <c r="O45" s="91">
        <f>SUMIF(기초!$A:$A,O$38,기초!$S:$S)</f>
        <v>0</v>
      </c>
    </row>
    <row r="46" spans="1:26" ht="16.5" customHeight="1">
      <c r="A46" s="136" t="s">
        <v>229</v>
      </c>
      <c r="B46" s="137">
        <f>B3*B$40</f>
        <v>4000000000</v>
      </c>
      <c r="C46" s="137">
        <f>C3*C$40</f>
        <v>4000000000</v>
      </c>
      <c r="E46" s="136" t="s">
        <v>229</v>
      </c>
      <c r="F46" s="137">
        <f>F3*F$40</f>
        <v>4000000000</v>
      </c>
      <c r="G46" s="137">
        <f>G3*G$40</f>
        <v>4000000000</v>
      </c>
      <c r="I46" s="136" t="s">
        <v>229</v>
      </c>
      <c r="J46" s="137">
        <f>J3*J$40</f>
        <v>4000000000</v>
      </c>
      <c r="K46" s="137">
        <f>K3*K$40</f>
        <v>4000000000</v>
      </c>
      <c r="M46" s="136" t="s">
        <v>229</v>
      </c>
      <c r="N46" s="137">
        <f>N3*N$40</f>
        <v>4000000000</v>
      </c>
      <c r="O46" s="137">
        <f>O3*O$40</f>
        <v>4000000000</v>
      </c>
    </row>
    <row r="47" spans="1:26" ht="16.5" customHeight="1" thickBot="1">
      <c r="A47" s="29" t="s">
        <v>59</v>
      </c>
      <c r="B47" s="30">
        <f>B44-B46</f>
        <v>0</v>
      </c>
      <c r="C47" s="30">
        <f>C44-C46</f>
        <v>0</v>
      </c>
      <c r="E47" s="29" t="s">
        <v>59</v>
      </c>
      <c r="F47" s="30">
        <f>F44-F46</f>
        <v>0</v>
      </c>
      <c r="G47" s="30">
        <f>G44-G46</f>
        <v>0</v>
      </c>
      <c r="I47" s="29" t="s">
        <v>59</v>
      </c>
      <c r="J47" s="30">
        <f>J44-J46</f>
        <v>0</v>
      </c>
      <c r="K47" s="30">
        <f>K44-K46</f>
        <v>0</v>
      </c>
      <c r="M47" s="29" t="s">
        <v>59</v>
      </c>
      <c r="N47" s="30">
        <f>N44-N46</f>
        <v>0</v>
      </c>
      <c r="O47" s="30">
        <f>O44-O46</f>
        <v>0</v>
      </c>
    </row>
    <row r="48" spans="1:26" ht="16.5" customHeight="1">
      <c r="A48" s="31" t="s">
        <v>60</v>
      </c>
      <c r="B48" s="32">
        <f ca="1">IFERROR(VLOOKUP(B39,t!$AR$2:$AS$5,2,0),0)</f>
        <v>600000000</v>
      </c>
      <c r="C48" s="32">
        <f ca="1">IFERROR(VLOOKUP(C39,t!$AR$2:$AS$5,2,0),0)</f>
        <v>50000000</v>
      </c>
      <c r="E48" s="31" t="s">
        <v>60</v>
      </c>
      <c r="F48" s="32">
        <f ca="1">IFERROR(VLOOKUP(F39,t!$AR$2:$AS$5,2,0),0)</f>
        <v>600000000</v>
      </c>
      <c r="G48" s="32">
        <f ca="1">IFERROR(VLOOKUP(G39,t!$AR$2:$AS$5,2,0),0)</f>
        <v>50000000</v>
      </c>
      <c r="I48" s="31" t="s">
        <v>60</v>
      </c>
      <c r="J48" s="32">
        <f ca="1">IFERROR(VLOOKUP(J39,t!$AR$2:$AS$5,2,0),0)</f>
        <v>600000000</v>
      </c>
      <c r="K48" s="32">
        <f ca="1">IFERROR(VLOOKUP(K39,t!$AR$2:$AS$5,2,0),0)</f>
        <v>50000000</v>
      </c>
      <c r="M48" s="31" t="s">
        <v>60</v>
      </c>
      <c r="N48" s="32">
        <f ca="1">IFERROR(VLOOKUP(N39,t!$AR$2:$AS$5,2,0),0)</f>
        <v>600000000</v>
      </c>
      <c r="O48" s="32">
        <f ca="1">IFERROR(VLOOKUP(O39,t!$AR$2:$AS$5,2,0),0)</f>
        <v>50000000</v>
      </c>
    </row>
    <row r="49" spans="1:15" ht="16.5" customHeight="1" thickBot="1">
      <c r="A49" s="33" t="s">
        <v>61</v>
      </c>
      <c r="B49" s="34">
        <f t="shared" ref="B49" ca="1" si="43">B47-B48</f>
        <v>-600000000</v>
      </c>
      <c r="C49" s="34">
        <f t="shared" ref="C49" ca="1" si="44">C47-C48</f>
        <v>-50000000</v>
      </c>
      <c r="E49" s="33" t="s">
        <v>61</v>
      </c>
      <c r="F49" s="34">
        <f t="shared" ref="F49:G49" ca="1" si="45">F47-F48</f>
        <v>-600000000</v>
      </c>
      <c r="G49" s="34">
        <f t="shared" ca="1" si="45"/>
        <v>-50000000</v>
      </c>
      <c r="I49" s="33" t="s">
        <v>61</v>
      </c>
      <c r="J49" s="34">
        <f t="shared" ref="J49:K49" ca="1" si="46">J47-J48</f>
        <v>-600000000</v>
      </c>
      <c r="K49" s="34">
        <f t="shared" ca="1" si="46"/>
        <v>-50000000</v>
      </c>
      <c r="M49" s="33" t="s">
        <v>61</v>
      </c>
      <c r="N49" s="34">
        <f t="shared" ref="N49:O49" ca="1" si="47">N47-N48</f>
        <v>-600000000</v>
      </c>
      <c r="O49" s="34">
        <f t="shared" ca="1" si="47"/>
        <v>-50000000</v>
      </c>
    </row>
    <row r="50" spans="1:15" ht="16.5" customHeight="1">
      <c r="A50" s="3" t="s">
        <v>62</v>
      </c>
      <c r="B50" s="16">
        <f t="array" aca="1" ref="B50" ca="1">INDEX(t!$AW$3:$AW$7,MATCH(TRUE,B49&lt;=t!$AV$3:$AV$7,0))</f>
        <v>0.1</v>
      </c>
      <c r="C50" s="16">
        <f t="array" aca="1" ref="C50" ca="1">INDEX(t!$AW$3:$AW$7,MATCH(TRUE,C49&lt;=t!$AV$3:$AV$7,0))</f>
        <v>0.1</v>
      </c>
      <c r="E50" s="3" t="s">
        <v>62</v>
      </c>
      <c r="F50" s="16">
        <f t="array" aca="1" ref="F50" ca="1">INDEX(t!$AW$3:$AW$7,MATCH(TRUE,F49&lt;=t!$AV$3:$AV$7,0))</f>
        <v>0.1</v>
      </c>
      <c r="G50" s="16">
        <f t="array" aca="1" ref="G50" ca="1">INDEX(t!$AW$3:$AW$7,MATCH(TRUE,G49&lt;=t!$AV$3:$AV$7,0))</f>
        <v>0.1</v>
      </c>
      <c r="I50" s="3" t="s">
        <v>62</v>
      </c>
      <c r="J50" s="16">
        <f t="array" aca="1" ref="J50" ca="1">INDEX(t!$AW$3:$AW$7,MATCH(TRUE,J49&lt;=t!$AV$3:$AV$7,0))</f>
        <v>0.1</v>
      </c>
      <c r="K50" s="16">
        <f t="array" aca="1" ref="K50" ca="1">INDEX(t!$AW$3:$AW$7,MATCH(TRUE,K49&lt;=t!$AV$3:$AV$7,0))</f>
        <v>0.1</v>
      </c>
      <c r="M50" s="3" t="s">
        <v>62</v>
      </c>
      <c r="N50" s="16">
        <f t="array" aca="1" ref="N50" ca="1">INDEX(t!$AW$3:$AW$7,MATCH(TRUE,N49&lt;=t!$AV$3:$AV$7,0))</f>
        <v>0.1</v>
      </c>
      <c r="O50" s="16">
        <f t="array" aca="1" ref="O50" ca="1">INDEX(t!$AW$3:$AW$7,MATCH(TRUE,O49&lt;=t!$AV$3:$AV$7,0))</f>
        <v>0.1</v>
      </c>
    </row>
    <row r="51" spans="1:15" ht="16.5" customHeight="1">
      <c r="A51" s="3" t="s">
        <v>63</v>
      </c>
      <c r="B51" s="14">
        <f ca="1">B49*B50-VLOOKUP(B50,t!$AW$3:$AX$7,2,0)</f>
        <v>-60000000</v>
      </c>
      <c r="C51" s="14">
        <f ca="1">C49*C50-VLOOKUP(C50,t!$AW$3:$AX$7,2,0)</f>
        <v>-5000000</v>
      </c>
      <c r="E51" s="3" t="s">
        <v>63</v>
      </c>
      <c r="F51" s="14">
        <f ca="1">F49*F50-VLOOKUP(F50,t!$AW$3:$AX$7,2,0)</f>
        <v>-60000000</v>
      </c>
      <c r="G51" s="14">
        <f ca="1">G49*G50-VLOOKUP(G50,t!$AW$3:$AX$7,2,0)</f>
        <v>-5000000</v>
      </c>
      <c r="I51" s="3" t="s">
        <v>63</v>
      </c>
      <c r="J51" s="14">
        <f ca="1">J49*J50-VLOOKUP(J50,t!$AW$3:$AX$7,2,0)</f>
        <v>-60000000</v>
      </c>
      <c r="K51" s="14">
        <f ca="1">K49*K50-VLOOKUP(K50,t!$AW$3:$AX$7,2,0)</f>
        <v>-5000000</v>
      </c>
      <c r="M51" s="3" t="s">
        <v>63</v>
      </c>
      <c r="N51" s="14">
        <f ca="1">N49*N50-VLOOKUP(N50,t!$AW$3:$AX$7,2,0)</f>
        <v>-60000000</v>
      </c>
      <c r="O51" s="14">
        <f ca="1">O49*O50-VLOOKUP(O50,t!$AW$3:$AX$7,2,0)</f>
        <v>-5000000</v>
      </c>
    </row>
    <row r="52" spans="1:15" ht="16.5" customHeight="1">
      <c r="A52" s="28" t="s">
        <v>64</v>
      </c>
      <c r="B52" s="91">
        <f>SUMIF(기초!$A:$A,B$38,기초!$T:$T)</f>
        <v>0</v>
      </c>
      <c r="C52" s="91">
        <f>SUMIF(기초!$A:$A,C$38,기초!$T:$T)</f>
        <v>0</v>
      </c>
      <c r="E52" s="28" t="s">
        <v>64</v>
      </c>
      <c r="F52" s="91">
        <f>SUMIF(기초!$A:$A,F$38,기초!$T:$T)</f>
        <v>0</v>
      </c>
      <c r="G52" s="91">
        <f>SUMIF(기초!$A:$A,G$38,기초!$T:$T)</f>
        <v>0</v>
      </c>
      <c r="I52" s="28" t="s">
        <v>64</v>
      </c>
      <c r="J52" s="91">
        <f>SUMIF(기초!$A:$A,J$38,기초!$T:$T)</f>
        <v>0</v>
      </c>
      <c r="K52" s="91">
        <f>SUMIF(기초!$A:$A,K$38,기초!$T:$T)</f>
        <v>0</v>
      </c>
      <c r="M52" s="28" t="s">
        <v>64</v>
      </c>
      <c r="N52" s="91">
        <f>SUMIF(기초!$A:$A,N$38,기초!$T:$T)</f>
        <v>0</v>
      </c>
      <c r="O52" s="91">
        <f>SUMIF(기초!$A:$A,O$38,기초!$T:$T)</f>
        <v>0</v>
      </c>
    </row>
    <row r="53" spans="1:15" ht="16.5" customHeight="1">
      <c r="A53" s="35" t="s">
        <v>45</v>
      </c>
      <c r="B53" s="36">
        <f t="shared" ref="B53" ca="1" si="48">B51-B52</f>
        <v>-60000000</v>
      </c>
      <c r="C53" s="36">
        <f t="shared" ref="C53" ca="1" si="49">C51-C52</f>
        <v>-5000000</v>
      </c>
      <c r="E53" s="35" t="s">
        <v>45</v>
      </c>
      <c r="F53" s="36">
        <f t="shared" ref="F53:G53" ca="1" si="50">F51-F52</f>
        <v>-60000000</v>
      </c>
      <c r="G53" s="36">
        <f t="shared" ca="1" si="50"/>
        <v>-5000000</v>
      </c>
      <c r="I53" s="35" t="s">
        <v>45</v>
      </c>
      <c r="J53" s="36">
        <f t="shared" ref="J53:K53" ca="1" si="51">J51-J52</f>
        <v>-60000000</v>
      </c>
      <c r="K53" s="36">
        <f t="shared" ca="1" si="51"/>
        <v>-5000000</v>
      </c>
      <c r="M53" s="35" t="s">
        <v>45</v>
      </c>
      <c r="N53" s="36">
        <f t="shared" ref="N53:O53" ca="1" si="52">N51-N52</f>
        <v>-60000000</v>
      </c>
      <c r="O53" s="36">
        <f t="shared" ca="1" si="52"/>
        <v>-5000000</v>
      </c>
    </row>
    <row r="54" spans="1:15" ht="16.5" customHeight="1">
      <c r="A54" s="3"/>
      <c r="B54" s="16"/>
      <c r="C54" s="3"/>
      <c r="E54" s="3"/>
      <c r="F54" s="16"/>
      <c r="G54" s="3"/>
    </row>
    <row r="55" spans="1:15" ht="16.5" customHeight="1">
      <c r="A55" s="74" t="s">
        <v>160</v>
      </c>
      <c r="B55" s="14"/>
      <c r="C55" s="3"/>
      <c r="E55" s="37"/>
      <c r="F55" s="14"/>
      <c r="G55" s="3"/>
    </row>
    <row r="56" spans="1:15" ht="16.5" customHeight="1">
      <c r="A56" s="74"/>
      <c r="B56" s="3" t="str">
        <f>B38</f>
        <v>성춘향</v>
      </c>
      <c r="C56" s="3" t="str">
        <f>C38</f>
        <v>홍상수</v>
      </c>
      <c r="E56" s="74"/>
      <c r="F56" s="3" t="str">
        <f>F38</f>
        <v>성춘향</v>
      </c>
      <c r="G56" s="3" t="str">
        <f>G38</f>
        <v>홍상수</v>
      </c>
      <c r="I56" s="74"/>
      <c r="J56" s="3" t="str">
        <f>J38</f>
        <v>성춘향</v>
      </c>
      <c r="K56" s="3" t="str">
        <f>K38</f>
        <v>홍상수</v>
      </c>
      <c r="M56" s="74"/>
      <c r="N56" s="3" t="str">
        <f>N38</f>
        <v>성춘향</v>
      </c>
      <c r="O56" s="3" t="str">
        <f>O38</f>
        <v>홍상수</v>
      </c>
    </row>
    <row r="57" spans="1:15" ht="16.5" customHeight="1">
      <c r="A57" s="139" t="s">
        <v>209</v>
      </c>
      <c r="B57" s="37" cm="1">
        <f t="array" aca="1" ref="B57" ca="1">INDIRECT("기초!B"&amp;(MATCH(B56,기초!$B:$B,0)+3))</f>
        <v>1</v>
      </c>
      <c r="C57" s="37" cm="1">
        <f t="array" aca="1" ref="C57" ca="1">INDIRECT("기초!B"&amp;(MATCH(C56,기초!$B:$B,0)+3))</f>
        <v>0</v>
      </c>
      <c r="E57" s="139" t="s">
        <v>209</v>
      </c>
      <c r="F57" s="37" cm="1">
        <f t="array" aca="1" ref="F57" ca="1">INDIRECT("기초!B"&amp;(MATCH(F56,기초!$B:$B,0)+3))</f>
        <v>1</v>
      </c>
      <c r="G57" s="37" cm="1">
        <f t="array" aca="1" ref="G57" ca="1">INDIRECT("기초!B"&amp;(MATCH(G56,기초!$B:$B,0)+3))</f>
        <v>0</v>
      </c>
      <c r="I57" s="139" t="s">
        <v>209</v>
      </c>
      <c r="J57" s="37" cm="1">
        <f t="array" aca="1" ref="J57" ca="1">INDIRECT("기초!B"&amp;(MATCH(J56,기초!$B:$B,0)+3))</f>
        <v>1</v>
      </c>
      <c r="K57" s="37" cm="1">
        <f t="array" aca="1" ref="K57" ca="1">INDIRECT("기초!B"&amp;(MATCH(K56,기초!$B:$B,0)+3))</f>
        <v>0</v>
      </c>
      <c r="M57" s="139" t="s">
        <v>209</v>
      </c>
      <c r="N57" s="37" cm="1">
        <f t="array" aca="1" ref="N57" ca="1">INDIRECT("기초!B"&amp;(MATCH(N56,기초!$B:$B,0)+3))</f>
        <v>1</v>
      </c>
      <c r="O57" s="37" cm="1">
        <f t="array" aca="1" ref="O57" ca="1">INDIRECT("기초!B"&amp;(MATCH(O56,기초!$B:$B,0)+3))</f>
        <v>0</v>
      </c>
    </row>
    <row r="58" spans="1:15" ht="16.5" customHeight="1">
      <c r="A58" s="74"/>
      <c r="B58" s="14"/>
      <c r="C58" s="37"/>
      <c r="E58" s="37"/>
      <c r="F58" s="14"/>
      <c r="G58" s="37"/>
      <c r="J58" s="14"/>
      <c r="K58" s="37"/>
      <c r="N58" s="14"/>
      <c r="O58" s="37"/>
    </row>
    <row r="59" spans="1:15" ht="16.5" customHeight="1">
      <c r="A59" s="3" t="s">
        <v>232</v>
      </c>
      <c r="B59" s="19" t="e" cm="1">
        <f t="array" aca="1" ref="B59" ca="1">INDEX(취득!$K$1:$K$8,MATCH(1,(취득!$I$1:$I$8=B$11)*(취득!$J$1:$J$8=B$57),0))</f>
        <v>#N/A</v>
      </c>
      <c r="C59" s="19" t="e" cm="1">
        <f t="array" aca="1" ref="C59" ca="1">INDEX(취득!$K$1:$K$8,MATCH(1,(취득!$I$1:$I$8=C$11)*(취득!$J$1:$J$8=C$57),0))</f>
        <v>#N/A</v>
      </c>
      <c r="E59" s="3" t="s">
        <v>232</v>
      </c>
      <c r="F59" s="19" t="e" cm="1">
        <f t="array" aca="1" ref="F59" ca="1">INDEX(취득!$K$1:$K$8,MATCH(1,(취득!$I$1:$I$8=F$11)*(취득!$J$1:$J$8=F$57),0))</f>
        <v>#N/A</v>
      </c>
      <c r="G59" s="19" t="e" cm="1">
        <f t="array" aca="1" ref="G59" ca="1">INDEX(취득!$K$1:$K$8,MATCH(1,(취득!$I$1:$I$8=G$11)*(취득!$J$1:$J$8=G$57),0))</f>
        <v>#N/A</v>
      </c>
      <c r="I59" s="3" t="s">
        <v>232</v>
      </c>
      <c r="J59" s="19" t="e" cm="1">
        <f t="array" aca="1" ref="J59" ca="1">INDEX(취득!$K$1:$K$8,MATCH(1,(취득!$I$1:$I$8=J$11)*(취득!$J$1:$J$8=J$57),0))</f>
        <v>#N/A</v>
      </c>
      <c r="K59" s="19" t="e" cm="1">
        <f t="array" aca="1" ref="K59" ca="1">INDEX(취득!$K$1:$K$8,MATCH(1,(취득!$I$1:$I$8=K$11)*(취득!$J$1:$J$8=K$57),0))</f>
        <v>#N/A</v>
      </c>
      <c r="M59" s="3" t="s">
        <v>232</v>
      </c>
      <c r="N59" s="19" t="e" cm="1">
        <f t="array" aca="1" ref="N59" ca="1">INDEX(취득!$K$1:$K$8,MATCH(1,(취득!$I$1:$I$8=N$11)*(취득!$J$1:$J$8=N$57),0))</f>
        <v>#N/A</v>
      </c>
      <c r="O59" s="19" t="e" cm="1">
        <f t="array" aca="1" ref="O59" ca="1">INDEX(취득!$K$1:$K$8,MATCH(1,(취득!$I$1:$I$8=O$11)*(취득!$J$1:$J$8=O$57),0))</f>
        <v>#N/A</v>
      </c>
    </row>
    <row r="60" spans="1:15" ht="16.5" customHeight="1">
      <c r="A60" s="3" t="s">
        <v>34</v>
      </c>
      <c r="B60" s="19" cm="1">
        <f t="array" ref="B60">IF($B12="85 초과",INDEX(취득!$L$1:$L$8,MATCH(1,(취득!$I$1:$I$8=B$11)*(취득!$J$1:$J$8=B$57),0)),0)</f>
        <v>0</v>
      </c>
      <c r="C60" s="19" cm="1">
        <f t="array" ref="C60">IF($B12="85 초과",INDEX(취득!$L$1:$L$8,MATCH(1,(취득!$I$1:$I$8=C$11)*(취득!$J$1:$J$8=C$57),0)),0)</f>
        <v>0</v>
      </c>
      <c r="E60" s="3" t="s">
        <v>34</v>
      </c>
      <c r="F60" s="19" cm="1">
        <f t="array" ref="F60">IF($B12="85 초과",INDEX(취득!$L$1:$L$8,MATCH(1,(취득!$I$1:$I$8=F$11)*(취득!$J$1:$J$8=F$57),0)),0)</f>
        <v>0</v>
      </c>
      <c r="G60" s="19" cm="1">
        <f t="array" ref="G60">IF($B12="85 초과",INDEX(취득!$L$1:$L$8,MATCH(1,(취득!$I$1:$I$8=G$11)*(취득!$J$1:$J$8=G$57),0)),0)</f>
        <v>0</v>
      </c>
      <c r="I60" s="3" t="s">
        <v>34</v>
      </c>
      <c r="J60" s="19" cm="1">
        <f t="array" ref="J60">IF($B12="85 초과",INDEX(취득!$L$1:$L$8,MATCH(1,(취득!$I$1:$I$8=J$11)*(취득!$J$1:$J$8=J$57),0)),0)</f>
        <v>0</v>
      </c>
      <c r="K60" s="19" cm="1">
        <f t="array" ref="K60">IF($B12="85 초과",INDEX(취득!$L$1:$L$8,MATCH(1,(취득!$I$1:$I$8=K$11)*(취득!$J$1:$J$8=K$57),0)),0)</f>
        <v>0</v>
      </c>
      <c r="M60" s="3" t="s">
        <v>34</v>
      </c>
      <c r="N60" s="19" cm="1">
        <f t="array" ref="N60">IF($B12="85 초과",INDEX(취득!$L$1:$L$8,MATCH(1,(취득!$I$1:$I$8=N$11)*(취득!$J$1:$J$8=N$57),0)),0)</f>
        <v>0</v>
      </c>
      <c r="O60" s="19" cm="1">
        <f t="array" ref="O60">IF($B12="85 초과",INDEX(취득!$L$1:$L$8,MATCH(1,(취득!$I$1:$I$8=O$11)*(취득!$J$1:$J$8=O$57),0)),0)</f>
        <v>0</v>
      </c>
    </row>
    <row r="61" spans="1:15" ht="16.5" customHeight="1" thickBot="1">
      <c r="A61" s="142" t="s">
        <v>45</v>
      </c>
      <c r="B61" s="140" t="e">
        <f ca="1">(IF(B59="1.1~3.3%",(IF(B20&lt;=6*10^8,1%,IF(B20&gt;9*10^8,3%,ROUND((B20*2/300000000-3)/100,5)))*1.1),B59)+B60)*B21</f>
        <v>#N/A</v>
      </c>
      <c r="C61" s="140" t="e">
        <f ca="1">(IF(C59="1.1~3.3%",(IF(C20&lt;=6*10^8,1%,IF(C20&gt;9*10^8,3%,ROUND((C20*2/300000000-3)/100,5)))*1.1),C59)+C60)*C21</f>
        <v>#N/A</v>
      </c>
      <c r="E61" s="142" t="s">
        <v>45</v>
      </c>
      <c r="F61" s="140" t="e">
        <f ca="1">(IF(F59="1.1~3.3%",(IF(F20&lt;=6*10^8,1%,IF(F20&gt;9*10^8,3%,ROUND((F20*2/300000000-3)/100,5)))*1.1),F59)+F60)*F21</f>
        <v>#N/A</v>
      </c>
      <c r="G61" s="140" t="e">
        <f ca="1">(IF(G59="1.1~3.3%",(IF(G20&lt;=6*10^8,1%,IF(G20&gt;9*10^8,3%,ROUND((G20*2/300000000-3)/100,5)))*1.1),G59)+G60)*G21</f>
        <v>#N/A</v>
      </c>
      <c r="I61" s="35" t="s">
        <v>45</v>
      </c>
      <c r="J61" s="140" t="e">
        <f ca="1">(IF(J59="1.1~3.3%",(IF(J20&lt;=6*10^8,1%,IF(J20&gt;9*10^8,3%,ROUND((J20*2/300000000-3)/100,5)))*1.1),J59)+J60)*J21</f>
        <v>#N/A</v>
      </c>
      <c r="K61" s="140" t="e">
        <f ca="1">(IF(K59="1.1~3.3%",(IF(K20&lt;=6*10^8,1%,IF(K20&gt;9*10^8,3%,ROUND((K20*2/300000000-3)/100,5)))*1.1),K59)+K60)*K21</f>
        <v>#N/A</v>
      </c>
      <c r="M61" s="35" t="s">
        <v>45</v>
      </c>
      <c r="N61" s="140" t="e">
        <f ca="1">(IF(N59="1.1~3.3%",(IF(N20&lt;=6*10^8,1%,IF(N20&gt;9*10^8,3%,ROUND((N20*2/300000000-3)/100,5)))*1.1),N59)+N60)*N21</f>
        <v>#N/A</v>
      </c>
      <c r="O61" s="140" t="e">
        <f ca="1">(IF(O59="1.1~3.3%",(IF(O20&lt;=6*10^8,1%,IF(O20&gt;9*10^8,3%,ROUND((O20*2/300000000-3)/100,5)))*1.1),O59)+O60)*O21</f>
        <v>#N/A</v>
      </c>
    </row>
    <row r="62" spans="1:15" ht="16.5" customHeight="1">
      <c r="A62" s="37"/>
      <c r="B62" s="14"/>
      <c r="C62" s="3"/>
      <c r="E62" s="37"/>
      <c r="F62" s="14"/>
      <c r="G62" s="3"/>
      <c r="J62" s="14"/>
      <c r="K62" s="3"/>
      <c r="N62" s="14"/>
      <c r="O62" s="3"/>
    </row>
    <row r="63" spans="1:15" ht="16.5" customHeight="1">
      <c r="A63" s="74" t="s">
        <v>164</v>
      </c>
      <c r="B63" s="14"/>
      <c r="C63" s="141"/>
      <c r="E63" s="37"/>
      <c r="F63" s="14"/>
      <c r="G63" s="141"/>
      <c r="J63" s="14"/>
      <c r="K63" s="141"/>
      <c r="N63" s="14"/>
      <c r="O63" s="141"/>
    </row>
    <row r="64" spans="1:15" ht="16.5" customHeight="1">
      <c r="A64" s="3" t="s">
        <v>222</v>
      </c>
      <c r="B64" s="138">
        <f ca="1">OFFSET(취득!$J$15,MATCH($B11,취득!$J$16:$J$17,0),MATCH(B12,취득!$K$15:$L$15,0))</f>
        <v>0.124</v>
      </c>
      <c r="C64" s="138">
        <f ca="1">OFFSET(취득!$J$15,MATCH($B11,취득!$J$16:$J$17,0),MATCH(C12,취득!$K$15:$L$15,0))</f>
        <v>0.124</v>
      </c>
      <c r="E64" s="3" t="s">
        <v>222</v>
      </c>
      <c r="F64" s="138">
        <f ca="1">OFFSET(취득!$J$15,MATCH($B11,취득!$J$16:$J$17,0),MATCH(F12,취득!$K$15:$L$15,0))</f>
        <v>0.124</v>
      </c>
      <c r="G64" s="138">
        <f ca="1">OFFSET(취득!$J$15,MATCH($B11,취득!$J$16:$J$17,0),MATCH(G12,취득!$K$15:$L$15,0))</f>
        <v>0.124</v>
      </c>
      <c r="I64" s="3" t="s">
        <v>222</v>
      </c>
      <c r="J64" s="138">
        <f ca="1">OFFSET(취득!$J$15,MATCH($B11,취득!$J$16:$J$17,0),MATCH(J12,취득!$K$15:$L$15,0))</f>
        <v>0.124</v>
      </c>
      <c r="K64" s="138">
        <f ca="1">OFFSET(취득!$J$15,MATCH($B11,취득!$J$16:$J$17,0),MATCH(K12,취득!$K$15:$L$15,0))</f>
        <v>0.124</v>
      </c>
      <c r="M64" s="3" t="s">
        <v>222</v>
      </c>
      <c r="N64" s="138">
        <f ca="1">OFFSET(취득!$J$15,MATCH($B11,취득!$J$16:$J$17,0),MATCH(N12,취득!$K$15:$L$15,0))</f>
        <v>0.124</v>
      </c>
      <c r="O64" s="138">
        <f ca="1">OFFSET(취득!$J$15,MATCH($B11,취득!$J$16:$J$17,0),MATCH(O12,취득!$K$15:$L$15,0))</f>
        <v>0.124</v>
      </c>
    </row>
    <row r="65" spans="1:26" ht="16.5" customHeight="1" thickBot="1">
      <c r="A65" s="35" t="s">
        <v>45</v>
      </c>
      <c r="B65" s="36">
        <f ca="1">B44*B64</f>
        <v>496000000</v>
      </c>
      <c r="C65" s="36">
        <f ca="1">C44*C64</f>
        <v>496000000</v>
      </c>
      <c r="E65" s="35" t="s">
        <v>45</v>
      </c>
      <c r="F65" s="36">
        <f ca="1">F44*F64</f>
        <v>496000000</v>
      </c>
      <c r="G65" s="36">
        <f ca="1">G44*G64</f>
        <v>496000000</v>
      </c>
      <c r="I65" s="35" t="s">
        <v>45</v>
      </c>
      <c r="J65" s="36">
        <f ca="1">J44*J64</f>
        <v>496000000</v>
      </c>
      <c r="K65" s="36">
        <f ca="1">K44*K64</f>
        <v>496000000</v>
      </c>
      <c r="M65" s="35" t="s">
        <v>45</v>
      </c>
      <c r="N65" s="36">
        <f ca="1">N44*N64</f>
        <v>496000000</v>
      </c>
      <c r="O65" s="36">
        <f ca="1">O44*O64</f>
        <v>496000000</v>
      </c>
    </row>
    <row r="66" spans="1:26" ht="16.5" customHeight="1" thickTop="1">
      <c r="A66" s="3"/>
      <c r="B66" s="3"/>
      <c r="C66" s="3"/>
      <c r="E66" s="3"/>
      <c r="F66" s="3"/>
      <c r="G66" s="3"/>
      <c r="I66" s="3"/>
      <c r="J66" s="3"/>
      <c r="K66" s="3"/>
      <c r="M66" s="3"/>
      <c r="N66" s="3"/>
      <c r="O66" s="3"/>
    </row>
    <row r="67" spans="1:26" ht="16.5" customHeight="1"/>
    <row r="68" spans="1:26" ht="16.5" customHeight="1"/>
    <row r="69" spans="1:26" ht="16.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6.5" customHeight="1"/>
    <row r="71" spans="1:26" ht="16.5" customHeight="1"/>
    <row r="72" spans="1:26" ht="16.5" customHeight="1"/>
    <row r="73" spans="1:26" ht="16.5" customHeight="1"/>
    <row r="74" spans="1:26" ht="16.5" customHeight="1"/>
    <row r="75" spans="1:26" ht="16.5" customHeight="1"/>
    <row r="76" spans="1:26" ht="16.5" customHeight="1"/>
    <row r="77" spans="1:26" ht="16.5" customHeight="1"/>
    <row r="78" spans="1:26" ht="16.5" customHeight="1"/>
    <row r="79" spans="1:26" ht="16.5" customHeight="1"/>
    <row r="80" spans="1:26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</sheetData>
  <phoneticPr fontId="16" type="noConversion"/>
  <conditionalFormatting sqref="B13:C14">
    <cfRule type="cellIs" dxfId="93" priority="29" operator="lessThan">
      <formula>1</formula>
    </cfRule>
    <cfRule type="cellIs" dxfId="92" priority="30" operator="lessThan">
      <formula>2</formula>
    </cfRule>
  </conditionalFormatting>
  <conditionalFormatting sqref="B20:C20">
    <cfRule type="cellIs" dxfId="91" priority="33" operator="lessThan">
      <formula>1</formula>
    </cfRule>
    <cfRule type="cellIs" dxfId="90" priority="34" operator="lessThan">
      <formula>2</formula>
    </cfRule>
  </conditionalFormatting>
  <conditionalFormatting sqref="B46:C46">
    <cfRule type="cellIs" dxfId="89" priority="17" operator="lessThan">
      <formula>1</formula>
    </cfRule>
    <cfRule type="cellIs" dxfId="88" priority="18" operator="lessThan">
      <formula>2</formula>
    </cfRule>
  </conditionalFormatting>
  <conditionalFormatting sqref="F13:G14 B44:C44">
    <cfRule type="cellIs" dxfId="87" priority="41" operator="lessThan">
      <formula>1</formula>
    </cfRule>
    <cfRule type="cellIs" dxfId="86" priority="42" operator="lessThan">
      <formula>2</formula>
    </cfRule>
  </conditionalFormatting>
  <conditionalFormatting sqref="F44:G44">
    <cfRule type="cellIs" dxfId="85" priority="15" operator="lessThan">
      <formula>1</formula>
    </cfRule>
    <cfRule type="cellIs" dxfId="84" priority="16" operator="lessThan">
      <formula>2</formula>
    </cfRule>
  </conditionalFormatting>
  <conditionalFormatting sqref="F46:G46">
    <cfRule type="cellIs" dxfId="83" priority="13" operator="lessThan">
      <formula>1</formula>
    </cfRule>
    <cfRule type="cellIs" dxfId="82" priority="14" operator="lessThan">
      <formula>2</formula>
    </cfRule>
  </conditionalFormatting>
  <conditionalFormatting sqref="J13:K14">
    <cfRule type="cellIs" dxfId="81" priority="3" operator="lessThan">
      <formula>1</formula>
    </cfRule>
    <cfRule type="cellIs" dxfId="80" priority="4" operator="lessThan">
      <formula>2</formula>
    </cfRule>
  </conditionalFormatting>
  <conditionalFormatting sqref="J44:K44">
    <cfRule type="cellIs" dxfId="79" priority="11" operator="lessThan">
      <formula>1</formula>
    </cfRule>
    <cfRule type="cellIs" dxfId="78" priority="12" operator="lessThan">
      <formula>2</formula>
    </cfRule>
  </conditionalFormatting>
  <conditionalFormatting sqref="J46:K46">
    <cfRule type="cellIs" dxfId="77" priority="9" operator="lessThan">
      <formula>1</formula>
    </cfRule>
    <cfRule type="cellIs" dxfId="76" priority="10" operator="lessThan">
      <formula>2</formula>
    </cfRule>
  </conditionalFormatting>
  <conditionalFormatting sqref="N13:O14">
    <cfRule type="cellIs" dxfId="75" priority="1" operator="lessThan">
      <formula>1</formula>
    </cfRule>
    <cfRule type="cellIs" dxfId="74" priority="2" operator="lessThan">
      <formula>2</formula>
    </cfRule>
  </conditionalFormatting>
  <conditionalFormatting sqref="N44:O44">
    <cfRule type="cellIs" dxfId="73" priority="7" operator="lessThan">
      <formula>1</formula>
    </cfRule>
    <cfRule type="cellIs" dxfId="72" priority="8" operator="lessThan">
      <formula>2</formula>
    </cfRule>
  </conditionalFormatting>
  <conditionalFormatting sqref="N46:O46">
    <cfRule type="cellIs" dxfId="71" priority="5" operator="lessThan">
      <formula>1</formula>
    </cfRule>
    <cfRule type="cellIs" dxfId="70" priority="6" operator="lessThan">
      <formula>2</formula>
    </cfRule>
  </conditionalFormatting>
  <dataValidations count="6">
    <dataValidation type="list" allowBlank="1" showErrorMessage="1" sqref="B10:C10 F10:G10 J10:K10 N10:O10" xr:uid="{00000000-0002-0000-0700-000004000000}">
      <formula1>"1세대1주택,주택,2주택,3주택,토지,비사토"</formula1>
    </dataValidation>
    <dataValidation type="list" allowBlank="1" showErrorMessage="1" sqref="E10 I10 M10" xr:uid="{00000000-0002-0000-0700-000005000000}">
      <formula1>"부부"</formula1>
    </dataValidation>
    <dataValidation type="list" allowBlank="1" showErrorMessage="1" sqref="B17:C17 F17:G17 J17:K17 N17:O17" xr:uid="{00000000-0002-0000-0700-000007000000}">
      <formula1>"다주택자,1세대1주택"</formula1>
    </dataValidation>
    <dataValidation type="list" allowBlank="1" showErrorMessage="1" sqref="B18:C18 J18:K18 N18:O18 F18:G18" xr:uid="{00000000-0002-0000-0700-000001000000}">
      <formula1>"85 초과"</formula1>
    </dataValidation>
    <dataValidation type="list" allowBlank="1" showErrorMessage="1" sqref="N17:O18 J17:K18 F17:G18" xr:uid="{00000000-0002-0000-0700-000003000000}">
      <formula1>"TRUE"</formula1>
    </dataValidation>
    <dataValidation allowBlank="1" showErrorMessage="1" sqref="B12:C12 F12:G12 J12:K12 N12:O12 B40:C40" xr:uid="{4B698E7E-B4A7-4028-AD34-97B710596DC6}"/>
  </dataValidations>
  <pageMargins left="0.25" right="0.25" top="0.75" bottom="0.75" header="0" footer="0"/>
  <pageSetup paperSize="9" orientation="landscape"/>
  <headerFooter>
    <oddFooter>&amp;C&amp;P/</oddFooter>
  </headerFooter>
  <rowBreaks count="2" manualBreakCount="2">
    <brk id="16" man="1"/>
    <brk id="68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t!$AR$2:$AR$5</xm:f>
          </x14:formula1>
          <xm:sqref>B39:C39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E66E-0B10-4168-A419-3354D9935CBD}">
  <sheetPr>
    <tabColor theme="5" tint="-0.249977111117893"/>
  </sheetPr>
  <dimension ref="A1:AD973"/>
  <sheetViews>
    <sheetView topLeftCell="A17" workbookViewId="0"/>
    <sheetView workbookViewId="1"/>
  </sheetViews>
  <sheetFormatPr defaultColWidth="14.42578125" defaultRowHeight="15" customHeight="1"/>
  <cols>
    <col min="1" max="1" width="24.28515625" customWidth="1"/>
    <col min="2" max="2" width="19.28515625" bestFit="1" customWidth="1"/>
    <col min="3" max="4" width="17.140625" bestFit="1" customWidth="1"/>
    <col min="5" max="5" width="8.7109375" customWidth="1"/>
    <col min="6" max="6" width="28.140625" bestFit="1" customWidth="1"/>
    <col min="7" max="7" width="17.85546875" bestFit="1" customWidth="1"/>
    <col min="8" max="9" width="17.140625" bestFit="1" customWidth="1"/>
    <col min="10" max="10" width="8.7109375" customWidth="1"/>
    <col min="11" max="12" width="17.85546875" customWidth="1"/>
    <col min="13" max="14" width="19.140625" customWidth="1"/>
    <col min="15" max="15" width="8.7109375" customWidth="1"/>
    <col min="16" max="17" width="17.85546875" customWidth="1"/>
    <col min="18" max="19" width="19.140625" customWidth="1"/>
    <col min="20" max="20" width="8.7109375" customWidth="1"/>
    <col min="21" max="21" width="15.42578125" customWidth="1"/>
    <col min="22" max="22" width="15.42578125" bestFit="1" customWidth="1"/>
    <col min="23" max="30" width="8.7109375" customWidth="1"/>
  </cols>
  <sheetData>
    <row r="1" spans="1:30" ht="16.5" customHeight="1">
      <c r="A1" s="84" t="s">
        <v>16</v>
      </c>
      <c r="B1" s="132">
        <f>HLOOKUP(B$9,기초!$C$5:$I$16,MATCH($A1,기초!$A$5:$A$16,0),0)</f>
        <v>4000000000</v>
      </c>
      <c r="C1" s="91">
        <f>$B1*C16</f>
        <v>4000000000</v>
      </c>
      <c r="D1" s="91">
        <f>$B1*D16</f>
        <v>0</v>
      </c>
      <c r="F1" s="84" t="s">
        <v>16</v>
      </c>
      <c r="G1" s="91">
        <f t="shared" ref="G1:I2" si="0">B1</f>
        <v>4000000000</v>
      </c>
      <c r="H1" s="91">
        <f t="shared" si="0"/>
        <v>4000000000</v>
      </c>
      <c r="I1" s="91">
        <f t="shared" si="0"/>
        <v>0</v>
      </c>
      <c r="K1" s="84" t="s">
        <v>16</v>
      </c>
      <c r="L1" s="91">
        <f>G1</f>
        <v>4000000000</v>
      </c>
      <c r="M1" s="14">
        <f>H1</f>
        <v>4000000000</v>
      </c>
      <c r="N1" s="14">
        <f>I1</f>
        <v>0</v>
      </c>
      <c r="P1" s="84" t="s">
        <v>16</v>
      </c>
      <c r="Q1" s="91">
        <f t="shared" ref="Q1:S4" si="1">L1</f>
        <v>4000000000</v>
      </c>
      <c r="R1" s="91">
        <f t="shared" si="1"/>
        <v>4000000000</v>
      </c>
      <c r="S1" s="91">
        <f t="shared" si="1"/>
        <v>0</v>
      </c>
      <c r="U1" s="81"/>
      <c r="V1" s="82"/>
    </row>
    <row r="2" spans="1:30" ht="16.5" customHeight="1">
      <c r="A2" s="81" t="s">
        <v>174</v>
      </c>
      <c r="B2" s="85">
        <f ca="1">SUM(C2:D2)+1000000</f>
        <v>3401000000</v>
      </c>
      <c r="C2" s="85">
        <f ca="1">C$1-IF(C$10="특수관계",MIN(C$1*5%,3*10^8),3*10^8)</f>
        <v>3700000000</v>
      </c>
      <c r="D2" s="85">
        <f ca="1">D$1-IF(D$10="특수관계",MIN(D$1*5%,3*10^8),3*10^8)</f>
        <v>-300000000</v>
      </c>
      <c r="F2" s="81" t="s">
        <v>174</v>
      </c>
      <c r="G2" s="91">
        <f t="shared" ca="1" si="0"/>
        <v>3401000000</v>
      </c>
      <c r="H2" s="91">
        <f t="shared" ca="1" si="0"/>
        <v>3700000000</v>
      </c>
      <c r="I2" s="91">
        <f t="shared" ca="1" si="0"/>
        <v>-300000000</v>
      </c>
      <c r="K2" s="81" t="s">
        <v>174</v>
      </c>
      <c r="L2" s="85">
        <f ca="1">SUM(M2:N2)+1000000</f>
        <v>3401000000</v>
      </c>
      <c r="M2" s="4">
        <f ca="1">H2</f>
        <v>3700000000</v>
      </c>
      <c r="N2" s="4">
        <f ca="1">I2</f>
        <v>-300000000</v>
      </c>
      <c r="P2" s="145" t="s">
        <v>174</v>
      </c>
      <c r="Q2" s="146">
        <f t="shared" ca="1" si="1"/>
        <v>3401000000</v>
      </c>
      <c r="R2" s="146">
        <f t="shared" ca="1" si="1"/>
        <v>3700000000</v>
      </c>
      <c r="S2" s="146">
        <f t="shared" ca="1" si="1"/>
        <v>-300000000</v>
      </c>
      <c r="U2" s="81"/>
      <c r="V2" s="82"/>
    </row>
    <row r="3" spans="1:30" ht="16.5" customHeight="1" thickBot="1">
      <c r="A3" s="93" t="s">
        <v>173</v>
      </c>
      <c r="B3" s="94">
        <f ca="1">SUM(C3:D3)</f>
        <v>3400000000</v>
      </c>
      <c r="C3" s="94">
        <f ca="1">C$1*C$16-IF(C$10="특수관계",MIN(C$1*$C16*30%,3*10^8),3*10^8)</f>
        <v>3700000000</v>
      </c>
      <c r="D3" s="94">
        <f ca="1">D$1*D$16-IF(D$10="특수관계",MIN(D$1*$C16*30%,3*10^8),3*10^8)</f>
        <v>-300000000</v>
      </c>
      <c r="F3" s="93" t="s">
        <v>173</v>
      </c>
      <c r="G3" s="94">
        <f>SUM(H3:I3)</f>
        <v>3700000000</v>
      </c>
      <c r="H3" s="94">
        <f>H$1*H$16-IF(H$10="특수관계",MIN(H$1*$C16*30%,3*10^8),3*10^8)</f>
        <v>3700000000</v>
      </c>
      <c r="I3" s="94">
        <f>I$1*I$16-IF(I$10="특수관계",MIN(I$1*$C16*30%,3*10^8),3*10^8)</f>
        <v>0</v>
      </c>
      <c r="K3" s="93" t="s">
        <v>173</v>
      </c>
      <c r="L3" s="94">
        <f ca="1">SUM(M3:N3)</f>
        <v>600000000</v>
      </c>
      <c r="M3" s="50">
        <f t="shared" ref="M3:N3" ca="1" si="2">M1-M2</f>
        <v>300000000</v>
      </c>
      <c r="N3" s="50">
        <f t="shared" ca="1" si="2"/>
        <v>300000000</v>
      </c>
      <c r="P3" s="144" t="s">
        <v>173</v>
      </c>
      <c r="Q3" s="143">
        <f t="shared" ca="1" si="1"/>
        <v>600000000</v>
      </c>
      <c r="R3" s="143">
        <f t="shared" ca="1" si="1"/>
        <v>300000000</v>
      </c>
      <c r="S3" s="143">
        <f t="shared" ca="1" si="1"/>
        <v>300000000</v>
      </c>
      <c r="U3" s="81"/>
      <c r="V3" s="82"/>
    </row>
    <row r="4" spans="1:30" ht="16.5" customHeight="1">
      <c r="A4" s="1" t="s">
        <v>40</v>
      </c>
      <c r="B4" s="132">
        <f>HLOOKUP(B$9,기초!$C$5:$I$16,MATCH($A4,기초!$A$5:$A$16,0),0)</f>
        <v>1000000000</v>
      </c>
      <c r="C4" s="56"/>
      <c r="D4" s="56"/>
      <c r="F4" s="1" t="s">
        <v>40</v>
      </c>
      <c r="G4" s="96">
        <f>B4</f>
        <v>1000000000</v>
      </c>
      <c r="H4" s="56"/>
      <c r="I4" s="56"/>
      <c r="K4" s="1" t="s">
        <v>40</v>
      </c>
      <c r="L4" s="96">
        <f>G4</f>
        <v>1000000000</v>
      </c>
      <c r="M4" s="14"/>
      <c r="N4" s="14"/>
      <c r="P4" s="1" t="s">
        <v>40</v>
      </c>
      <c r="Q4" s="96">
        <f t="shared" si="1"/>
        <v>1000000000</v>
      </c>
      <c r="R4" s="14">
        <f t="shared" si="1"/>
        <v>0</v>
      </c>
      <c r="S4" s="14">
        <f t="shared" si="1"/>
        <v>0</v>
      </c>
    </row>
    <row r="5" spans="1:30" ht="16.5" customHeight="1">
      <c r="A5" s="18"/>
      <c r="C5" s="147"/>
    </row>
    <row r="6" spans="1:30" ht="16.5" customHeight="1" thickBot="1">
      <c r="A6" s="55" t="s">
        <v>176</v>
      </c>
      <c r="B6" s="95">
        <f ca="1">B34</f>
        <v>107103691.26727432</v>
      </c>
      <c r="C6" s="56"/>
      <c r="D6" s="56"/>
      <c r="E6" s="56"/>
      <c r="F6" s="55" t="s">
        <v>176</v>
      </c>
      <c r="G6" s="95">
        <f ca="1">G34</f>
        <v>155165999.99999997</v>
      </c>
      <c r="H6" s="56"/>
      <c r="I6" s="56"/>
      <c r="J6" s="5"/>
      <c r="K6" s="55" t="s">
        <v>176</v>
      </c>
      <c r="L6" s="95">
        <f ca="1">L34</f>
        <v>155166000</v>
      </c>
      <c r="M6" s="56"/>
      <c r="N6" s="56"/>
      <c r="O6" s="56"/>
      <c r="P6" s="55" t="s">
        <v>176</v>
      </c>
      <c r="Q6" s="95">
        <f ca="1">Q34</f>
        <v>470728500</v>
      </c>
      <c r="R6" s="56"/>
      <c r="S6" s="56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6.5" customHeight="1">
      <c r="A7" s="55"/>
    </row>
    <row r="8" spans="1:30" ht="16.5" customHeight="1">
      <c r="A8" s="43" t="s">
        <v>66</v>
      </c>
      <c r="B8" s="3"/>
      <c r="C8" s="3"/>
      <c r="D8" s="3"/>
      <c r="F8" s="43" t="s">
        <v>67</v>
      </c>
      <c r="G8" s="43"/>
      <c r="H8" s="3"/>
      <c r="I8" s="3"/>
      <c r="K8" s="43" t="s">
        <v>69</v>
      </c>
      <c r="L8" s="14">
        <v>2000000000</v>
      </c>
      <c r="M8" s="14"/>
      <c r="N8" s="14"/>
      <c r="P8" s="43" t="s">
        <v>69</v>
      </c>
      <c r="Q8" s="14">
        <v>1000000000</v>
      </c>
      <c r="R8" s="14"/>
      <c r="S8" s="14"/>
    </row>
    <row r="9" spans="1:30" ht="16.5" customHeight="1">
      <c r="A9" s="3"/>
      <c r="B9" s="3" t="s">
        <v>8</v>
      </c>
      <c r="C9" s="110" t="s">
        <v>279</v>
      </c>
      <c r="D9" s="110" t="s">
        <v>278</v>
      </c>
      <c r="F9" s="44">
        <v>2027</v>
      </c>
      <c r="G9" s="3" t="s">
        <v>8</v>
      </c>
      <c r="H9" s="3" t="s">
        <v>169</v>
      </c>
      <c r="I9" s="3" t="s">
        <v>170</v>
      </c>
      <c r="K9" s="44">
        <v>2028</v>
      </c>
      <c r="L9" s="3" t="s">
        <v>8</v>
      </c>
      <c r="M9" s="3" t="s">
        <v>169</v>
      </c>
      <c r="N9" s="3" t="s">
        <v>170</v>
      </c>
      <c r="P9" s="44">
        <v>2029</v>
      </c>
      <c r="Q9" s="3" t="s">
        <v>8</v>
      </c>
      <c r="R9" s="3" t="s">
        <v>169</v>
      </c>
      <c r="S9" s="3" t="s">
        <v>170</v>
      </c>
      <c r="V9" s="81"/>
    </row>
    <row r="10" spans="1:30" ht="16.5" customHeight="1">
      <c r="A10" s="3" t="s">
        <v>217</v>
      </c>
      <c r="B10" s="226" t="s">
        <v>0</v>
      </c>
      <c r="C10" s="111" t="str" cm="1">
        <f t="array" aca="1" ref="C10" ca="1">INDIRECT("기초!B"&amp;(MATCH(C9,기초!$B:$B,0)+1))</f>
        <v>직계존비속</v>
      </c>
      <c r="D10" s="111" t="str" cm="1">
        <f t="array" aca="1" ref="D10" ca="1">INDIRECT("기초!B"&amp;(MATCH(D9,기초!$B:$B,0)+1))</f>
        <v>직계존비속</v>
      </c>
      <c r="F10" s="45" t="s">
        <v>71</v>
      </c>
      <c r="G10" s="226" t="s">
        <v>0</v>
      </c>
      <c r="H10" s="16" t="s">
        <v>168</v>
      </c>
      <c r="I10" s="16" t="s">
        <v>167</v>
      </c>
      <c r="K10" s="45" t="s">
        <v>71</v>
      </c>
      <c r="L10" s="226" t="s">
        <v>0</v>
      </c>
      <c r="M10" s="16" t="s">
        <v>168</v>
      </c>
      <c r="N10" s="16" t="s">
        <v>167</v>
      </c>
      <c r="P10" s="45" t="s">
        <v>71</v>
      </c>
      <c r="Q10" s="226" t="s">
        <v>0</v>
      </c>
      <c r="R10" s="16" t="s">
        <v>168</v>
      </c>
      <c r="S10" s="16" t="s">
        <v>167</v>
      </c>
    </row>
    <row r="11" spans="1:30" ht="16.5" customHeight="1">
      <c r="A11" s="114" t="s">
        <v>219</v>
      </c>
      <c r="B11" s="116" t="str">
        <f>HLOOKUP(B$9,기초!$C$5:$I$16,MATCH($A11,기초!$A$5:$A$16,0),0)</f>
        <v>조정대상지역</v>
      </c>
      <c r="C11" s="16"/>
      <c r="D11" s="16"/>
      <c r="F11" s="114" t="s">
        <v>219</v>
      </c>
      <c r="G11" s="111" t="str">
        <f>HLOOKUP(G$9,기초!$C$5:$I$7,3,0)</f>
        <v>조정대상지역</v>
      </c>
      <c r="H11" s="111"/>
      <c r="I11" s="16"/>
      <c r="K11" s="114" t="s">
        <v>219</v>
      </c>
      <c r="L11" s="111" t="str">
        <f>HLOOKUP(L$9,기초!$C$5:$I$7,3,0)</f>
        <v>조정대상지역</v>
      </c>
      <c r="M11" s="111"/>
      <c r="N11" s="16"/>
      <c r="P11" s="114" t="s">
        <v>219</v>
      </c>
      <c r="Q11" s="111" t="str">
        <f>HLOOKUP(Q$9,기초!$C$5:$I$7,3,0)</f>
        <v>조정대상지역</v>
      </c>
      <c r="R11" s="111"/>
      <c r="S11" s="16"/>
    </row>
    <row r="12" spans="1:30" ht="16.5" customHeight="1">
      <c r="A12" s="3" t="s">
        <v>177</v>
      </c>
      <c r="B12" s="116" t="str">
        <f>HLOOKUP(B$9,기초!$C$5:$I$16,MATCH($A12,기초!$A$5:$A$16,0),0)</f>
        <v>국평</v>
      </c>
      <c r="C12" s="16"/>
      <c r="D12" s="16"/>
      <c r="F12" s="3" t="s">
        <v>177</v>
      </c>
      <c r="G12" s="16" t="str">
        <f>HLOOKUP(G$9,기초!$C$5:$I$7,2,0)</f>
        <v>국평</v>
      </c>
      <c r="H12" s="16"/>
      <c r="I12" s="16"/>
      <c r="K12" s="3" t="s">
        <v>177</v>
      </c>
      <c r="L12" s="16" t="str">
        <f>HLOOKUP(L$9,기초!$C$5:$I$7,2,0)</f>
        <v>국평</v>
      </c>
      <c r="M12" s="16"/>
      <c r="N12" s="16"/>
      <c r="P12" s="3" t="s">
        <v>177</v>
      </c>
      <c r="Q12" s="16" t="str">
        <f>HLOOKUP(Q$9,기초!$C$5:$I$7,2,0)</f>
        <v>국평</v>
      </c>
      <c r="R12" s="16"/>
      <c r="S12" s="16"/>
    </row>
    <row r="13" spans="1:30" ht="16.5" customHeight="1">
      <c r="A13" s="3" t="s">
        <v>225</v>
      </c>
      <c r="B13" s="116">
        <f>HLOOKUP(B$9,기초!$C$5:$I$16,MATCH($A13,기초!$A$5:$A$16,0),0)</f>
        <v>15</v>
      </c>
      <c r="C13" s="16"/>
      <c r="D13" s="16"/>
      <c r="F13" s="3" t="s">
        <v>73</v>
      </c>
      <c r="G13" s="131">
        <f>B13+1</f>
        <v>16</v>
      </c>
      <c r="H13" s="16"/>
      <c r="I13" s="16"/>
      <c r="K13" s="3" t="s">
        <v>73</v>
      </c>
      <c r="L13" s="131">
        <f>G13+1</f>
        <v>17</v>
      </c>
      <c r="M13" s="16"/>
      <c r="N13" s="16"/>
      <c r="P13" s="3" t="s">
        <v>73</v>
      </c>
      <c r="Q13" s="131">
        <f>L13+1</f>
        <v>18</v>
      </c>
      <c r="R13" s="16"/>
      <c r="S13" s="16"/>
    </row>
    <row r="14" spans="1:30" ht="16.5" customHeight="1">
      <c r="A14" s="3" t="s">
        <v>226</v>
      </c>
      <c r="B14" s="116">
        <f>HLOOKUP(B$9,기초!$C$5:$I$16,MATCH($A14,기초!$A$5:$A$16,0),0)</f>
        <v>10</v>
      </c>
      <c r="C14" s="16"/>
      <c r="D14" s="16"/>
      <c r="F14" s="3" t="s">
        <v>2</v>
      </c>
      <c r="G14" s="131">
        <f>B14+1</f>
        <v>11</v>
      </c>
      <c r="H14" s="16"/>
      <c r="I14" s="16"/>
      <c r="K14" s="3" t="s">
        <v>2</v>
      </c>
      <c r="L14" s="131">
        <f>G14+1</f>
        <v>12</v>
      </c>
      <c r="M14" s="16"/>
      <c r="N14" s="16"/>
      <c r="P14" s="3" t="s">
        <v>2</v>
      </c>
      <c r="Q14" s="131">
        <f>L14+1</f>
        <v>13</v>
      </c>
      <c r="R14" s="16"/>
      <c r="S14" s="16"/>
    </row>
    <row r="15" spans="1:30" ht="16.5" customHeight="1">
      <c r="A15" s="3" t="s">
        <v>75</v>
      </c>
      <c r="B15" s="3" t="str">
        <f t="shared" ref="B15" si="3">IF(AND(B10="3주택",B11="조정대상지역"),"기본세율+30%",IF(B10="비사토","기본세율+10%",IF(AND(B10="2주택",B11="조정대상지역"),"기본세율+20%","기본세율")))</f>
        <v>기본세율</v>
      </c>
      <c r="C15" s="16"/>
      <c r="D15" s="16"/>
      <c r="F15" s="3" t="s">
        <v>75</v>
      </c>
      <c r="G15" s="3" t="str">
        <f t="shared" ref="G15" si="4">IF(AND(G10="3주택",G11="조정대상지역"),"기본세율+30%",IF(G10="비사토","기본세율+10%",IF(AND(G10="2주택",G11="조정대상지역"),"기본세율+20%","기본세율")))</f>
        <v>기본세율</v>
      </c>
      <c r="H15" s="16"/>
      <c r="I15" s="16"/>
      <c r="K15" s="3" t="s">
        <v>75</v>
      </c>
      <c r="L15" s="3" t="str">
        <f t="shared" ref="L15" si="5">IF(AND(L10="3주택",L11="조정대상지역"),"기본세율+30%",IF(L10="비사토","기본세율+10%",IF(AND(L10="2주택",L11="조정대상지역"),"기본세율+20%","기본세율")))</f>
        <v>기본세율</v>
      </c>
      <c r="M15" s="16"/>
      <c r="N15" s="16"/>
      <c r="P15" s="3" t="s">
        <v>75</v>
      </c>
      <c r="Q15" s="3" t="str">
        <f t="shared" ref="Q15" si="6">IF(AND(Q10="3주택",Q11="조정대상지역"),"기본세율+30%",IF(Q10="비사토","기본세율+10%",IF(AND(Q10="2주택",Q11="조정대상지역"),"기본세율+20%","기본세율")))</f>
        <v>기본세율</v>
      </c>
      <c r="R15" s="16"/>
      <c r="S15" s="16"/>
    </row>
    <row r="16" spans="1:30" ht="16.5" customHeight="1">
      <c r="A16" s="3" t="s">
        <v>77</v>
      </c>
      <c r="B16" s="16">
        <v>1</v>
      </c>
      <c r="C16" s="16">
        <v>1</v>
      </c>
      <c r="D16" s="16">
        <v>0</v>
      </c>
      <c r="F16" s="3" t="s">
        <v>77</v>
      </c>
      <c r="G16" s="16">
        <v>1</v>
      </c>
      <c r="H16" s="16">
        <f>C16</f>
        <v>1</v>
      </c>
      <c r="I16" s="16">
        <f>D16</f>
        <v>0</v>
      </c>
      <c r="K16" s="3" t="s">
        <v>77</v>
      </c>
      <c r="L16" s="16">
        <v>1</v>
      </c>
      <c r="M16" s="16">
        <f>H16</f>
        <v>1</v>
      </c>
      <c r="N16" s="16">
        <f>I16</f>
        <v>0</v>
      </c>
      <c r="P16" s="3" t="s">
        <v>77</v>
      </c>
      <c r="Q16" s="16">
        <v>1</v>
      </c>
      <c r="R16" s="16">
        <f>M16</f>
        <v>1</v>
      </c>
      <c r="S16" s="16">
        <f>N16</f>
        <v>0</v>
      </c>
    </row>
    <row r="17" spans="1:30" ht="16.5" customHeight="1">
      <c r="A17" s="16" t="s">
        <v>209</v>
      </c>
      <c r="B17" s="16"/>
      <c r="C17" s="121" t="str" cm="1">
        <f t="array" aca="1" ref="C17" ca="1">IF(INDIRECT("기초!B"&amp;(MATCH(C$9,기초!$B:$B,0)+3))=0,"1주택",INDIRECT("기초!B"&amp;(MATCH(C$9,기초!$B:$B,0)+3)))</f>
        <v>1주택</v>
      </c>
      <c r="D17" s="121" t="str" cm="1">
        <f t="array" aca="1" ref="D17" ca="1">IF(INDIRECT("기초!B"&amp;(MATCH(D$9,기초!$B:$B,0)+3))=0,"1주택",INDIRECT("기초!B"&amp;(MATCH(D$9,기초!$B:$B,0)+3)))</f>
        <v>1주택</v>
      </c>
      <c r="F17" s="16" t="s">
        <v>209</v>
      </c>
      <c r="G17" s="16"/>
      <c r="H17" s="16" t="str">
        <f ca="1">C17</f>
        <v>1주택</v>
      </c>
      <c r="I17" s="16" t="str">
        <f ca="1">D17</f>
        <v>1주택</v>
      </c>
      <c r="K17" s="16" t="s">
        <v>209</v>
      </c>
      <c r="L17" s="16"/>
      <c r="M17" s="16" t="str">
        <f ca="1">H17</f>
        <v>1주택</v>
      </c>
      <c r="N17" s="16" t="str">
        <f ca="1">I17</f>
        <v>1주택</v>
      </c>
      <c r="P17" s="16" t="s">
        <v>209</v>
      </c>
      <c r="Q17" s="16"/>
      <c r="R17" s="16" t="str">
        <f ca="1">M17</f>
        <v>1주택</v>
      </c>
      <c r="S17" s="16" t="str">
        <f ca="1">N17</f>
        <v>1주택</v>
      </c>
    </row>
    <row r="18" spans="1:30" ht="16.5" customHeight="1">
      <c r="F18" s="3" t="s">
        <v>78</v>
      </c>
      <c r="G18" s="45"/>
      <c r="H18" s="83"/>
      <c r="I18" s="83"/>
      <c r="K18" s="3" t="s">
        <v>78</v>
      </c>
      <c r="L18" s="45"/>
      <c r="M18" s="16"/>
      <c r="N18" s="16"/>
      <c r="P18" s="3" t="s">
        <v>78</v>
      </c>
      <c r="Q18" s="45"/>
      <c r="R18" s="16"/>
      <c r="S18" s="16"/>
    </row>
    <row r="19" spans="1:30" ht="16.5" customHeight="1">
      <c r="B19" s="16"/>
      <c r="C19" s="16"/>
      <c r="D19" s="16"/>
      <c r="F19" s="3"/>
      <c r="G19" s="3"/>
      <c r="H19" s="83"/>
      <c r="I19" s="83"/>
      <c r="K19" s="3"/>
      <c r="L19" s="3"/>
      <c r="M19" s="16"/>
      <c r="N19" s="16"/>
      <c r="P19" s="3"/>
      <c r="Q19" s="3"/>
      <c r="R19" s="16"/>
      <c r="S19" s="16"/>
    </row>
    <row r="20" spans="1:30" ht="16.5" customHeight="1">
      <c r="A20" s="46" t="s">
        <v>171</v>
      </c>
      <c r="B20" s="14">
        <f ca="1">B2</f>
        <v>3401000000</v>
      </c>
      <c r="C20" s="90">
        <f ca="1">B20*C16</f>
        <v>3401000000</v>
      </c>
      <c r="D20" s="90">
        <f ca="1">B20*D16</f>
        <v>0</v>
      </c>
      <c r="F20" s="46" t="s">
        <v>171</v>
      </c>
      <c r="G20" s="89">
        <v>900000000</v>
      </c>
      <c r="H20" s="90">
        <f>$G$20*H16</f>
        <v>900000000</v>
      </c>
      <c r="I20" s="90">
        <f>$G$20*I16</f>
        <v>0</v>
      </c>
      <c r="K20" s="46" t="s">
        <v>171</v>
      </c>
      <c r="L20" s="89">
        <v>900000000</v>
      </c>
      <c r="M20" s="90">
        <f>$G$20*M16</f>
        <v>900000000</v>
      </c>
      <c r="N20" s="90">
        <f>$G$20*N16</f>
        <v>0</v>
      </c>
      <c r="P20" s="46" t="s">
        <v>171</v>
      </c>
      <c r="Q20" s="89">
        <v>900000000</v>
      </c>
      <c r="R20" s="90">
        <f>$G$20*R16</f>
        <v>900000000</v>
      </c>
      <c r="S20" s="90">
        <f>$G$20*S16</f>
        <v>0</v>
      </c>
    </row>
    <row r="21" spans="1:30" ht="16.5" customHeight="1">
      <c r="C21" s="14"/>
      <c r="D21" s="14"/>
      <c r="E21" s="18"/>
      <c r="F21" s="46"/>
      <c r="G21" s="46"/>
      <c r="H21" s="14"/>
      <c r="I21" s="14"/>
      <c r="J21" s="18"/>
      <c r="K21" s="46"/>
      <c r="L21" s="46"/>
      <c r="M21" s="14"/>
      <c r="N21" s="14"/>
      <c r="O21" s="18"/>
      <c r="P21" s="46"/>
      <c r="Q21" s="46"/>
      <c r="R21" s="14"/>
      <c r="S21" s="14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1:30" ht="16.5" customHeight="1">
      <c r="A22" s="88" t="s">
        <v>175</v>
      </c>
      <c r="B22" s="59">
        <f ca="1">B2</f>
        <v>3401000000</v>
      </c>
      <c r="C22" s="90"/>
      <c r="D22" s="90"/>
      <c r="E22" s="18"/>
      <c r="F22" s="88" t="s">
        <v>175</v>
      </c>
      <c r="G22" s="59">
        <f ca="1">IF(G20&gt;=G2,G20,G1)</f>
        <v>4000000000</v>
      </c>
      <c r="H22" s="90"/>
      <c r="I22" s="90"/>
      <c r="J22" s="18"/>
      <c r="K22" s="46" t="s">
        <v>79</v>
      </c>
      <c r="L22" s="59">
        <f ca="1">IF(L20&gt;=L2,L20,L1)</f>
        <v>4000000000</v>
      </c>
      <c r="M22" s="4"/>
      <c r="N22" s="4"/>
      <c r="O22" s="18"/>
      <c r="P22" s="46" t="s">
        <v>79</v>
      </c>
      <c r="Q22" s="59">
        <f ca="1">IF(Q20&gt;=Q2,Q20,Q1)</f>
        <v>4000000000</v>
      </c>
      <c r="R22" s="4">
        <f ca="1">R16*R21*R2/R1</f>
        <v>0</v>
      </c>
      <c r="S22" s="4" t="e">
        <f ca="1">S16*S21*S2/S1</f>
        <v>#DIV/0!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s="98" customFormat="1" ht="16.5" customHeight="1">
      <c r="A23" s="86" t="s">
        <v>80</v>
      </c>
      <c r="B23" s="87">
        <f>B4</f>
        <v>1000000000</v>
      </c>
      <c r="C23" s="87"/>
      <c r="D23" s="87"/>
      <c r="E23" s="86"/>
      <c r="F23" s="86" t="s">
        <v>80</v>
      </c>
      <c r="G23" s="87">
        <f>G4</f>
        <v>1000000000</v>
      </c>
      <c r="H23" s="87"/>
      <c r="I23" s="87"/>
      <c r="J23" s="86"/>
      <c r="K23" s="86" t="s">
        <v>80</v>
      </c>
      <c r="L23" s="87">
        <f>L4</f>
        <v>1000000000</v>
      </c>
      <c r="M23" s="87"/>
      <c r="N23" s="87"/>
      <c r="O23" s="86"/>
      <c r="P23" s="86" t="s">
        <v>80</v>
      </c>
      <c r="Q23" s="87">
        <f>Q4</f>
        <v>1000000000</v>
      </c>
      <c r="R23" s="87">
        <f ca="1">R4*R2/R1</f>
        <v>0</v>
      </c>
      <c r="S23" s="87" t="e">
        <f ca="1">S4*S2/S1</f>
        <v>#DIV/0!</v>
      </c>
      <c r="T23" s="86"/>
      <c r="U23" s="97"/>
      <c r="V23" s="86"/>
      <c r="W23" s="86"/>
      <c r="X23" s="86"/>
      <c r="Y23" s="86"/>
      <c r="Z23" s="86"/>
      <c r="AA23" s="86"/>
      <c r="AB23" s="86"/>
      <c r="AC23" s="86"/>
      <c r="AD23" s="86"/>
    </row>
    <row r="24" spans="1:30" ht="16.5" customHeight="1">
      <c r="A24" s="18" t="s">
        <v>81</v>
      </c>
      <c r="B24" s="4">
        <f t="shared" ref="B24" ca="1" si="7">B22-B23</f>
        <v>2401000000</v>
      </c>
      <c r="C24" s="4"/>
      <c r="D24" s="4"/>
      <c r="E24" s="18"/>
      <c r="F24" s="18" t="s">
        <v>81</v>
      </c>
      <c r="G24" s="4">
        <f t="shared" ref="G24" ca="1" si="8">G22-G23</f>
        <v>3000000000</v>
      </c>
      <c r="H24" s="4"/>
      <c r="I24" s="4"/>
      <c r="J24" s="18"/>
      <c r="K24" s="18" t="s">
        <v>81</v>
      </c>
      <c r="L24" s="4">
        <f t="shared" ref="L24" ca="1" si="9">L22-L23</f>
        <v>3000000000</v>
      </c>
      <c r="M24" s="4"/>
      <c r="N24" s="4"/>
      <c r="O24" s="18"/>
      <c r="P24" s="18" t="s">
        <v>81</v>
      </c>
      <c r="Q24" s="4">
        <f t="shared" ref="Q24" ca="1" si="10">Q22-Q23</f>
        <v>3000000000</v>
      </c>
      <c r="R24" s="4">
        <f t="shared" ref="R24:S24" ca="1" si="11">R22-R23</f>
        <v>0</v>
      </c>
      <c r="S24" s="4" t="e">
        <f t="shared" ca="1" si="11"/>
        <v>#DIV/0!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ht="16.5" customHeight="1">
      <c r="A25" s="25" t="s">
        <v>82</v>
      </c>
      <c r="B25" s="59">
        <f ca="1">IF(B10="1세대1주택",MAX(0,B24*(B22-1200000000)/B22),B24)</f>
        <v>1553837400.7644811</v>
      </c>
      <c r="C25" s="59"/>
      <c r="D25" s="59"/>
      <c r="E25" s="25"/>
      <c r="F25" s="25" t="s">
        <v>82</v>
      </c>
      <c r="G25" s="59">
        <f ca="1">IF(G10="1세대1주택",MAX(0,G24*(G22-1200000000)/G22),G24)</f>
        <v>2100000000</v>
      </c>
      <c r="H25" s="59"/>
      <c r="I25" s="59"/>
      <c r="J25" s="25"/>
      <c r="K25" s="25" t="s">
        <v>82</v>
      </c>
      <c r="L25" s="59">
        <f ca="1">IF(L10="1세대1주택",MAX(0,L24*(L22-1200000000)/L22),L24)</f>
        <v>2100000000</v>
      </c>
      <c r="M25" s="59"/>
      <c r="N25" s="59"/>
      <c r="O25" s="25"/>
      <c r="P25" s="25" t="s">
        <v>82</v>
      </c>
      <c r="Q25" s="59">
        <f ca="1">IF(Q10="1세대1주택",MAX(0,Q24*(Q22-1200000000)/Q22),Q24)</f>
        <v>2100000000</v>
      </c>
      <c r="R25" s="59">
        <f ca="1">IF(R10="1세대1주택",MAX(0,R24*(R21-1200000000)/R21),R24)</f>
        <v>0</v>
      </c>
      <c r="S25" s="59" t="e">
        <f ca="1">IF(S10="1세대1주택",MAX(0,S24*(S21-1200000000)/S21),S24)</f>
        <v>#DIV/0!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6.5" customHeight="1">
      <c r="A26" s="47" t="s">
        <v>83</v>
      </c>
      <c r="B26" s="48">
        <f>IF(B13&gt;=3,IF(AND(B10="1세대1주택",B14&gt;=2),MIN(40%,B13*4%)+MIN(40%,B14*4%),IF(B15="기본세율",MIN(30%,B13*2%),0)))</f>
        <v>0.8</v>
      </c>
      <c r="C26" s="48"/>
      <c r="D26" s="48"/>
      <c r="E26" s="18"/>
      <c r="F26" s="47" t="s">
        <v>83</v>
      </c>
      <c r="G26" s="48">
        <f>IF(G13&gt;=3,IF(AND(G10="1세대1주택",G14&gt;=2),MIN(40%,G13*4%)+MIN(40%,G14*4%),IF(G15="기본세율",MIN(30%,G13*2%),0)))</f>
        <v>0.8</v>
      </c>
      <c r="H26" s="48"/>
      <c r="I26" s="48"/>
      <c r="J26" s="18"/>
      <c r="K26" s="47" t="s">
        <v>83</v>
      </c>
      <c r="L26" s="48">
        <f>IF(L13&gt;=3,IF(AND(L10="1세대1주택",L14&gt;=2),MIN(20%,L13*2%)+MIN(60%,L14*6%),IF(L15="기본세율",MIN(15%,L13*1%)+MIN(30%,L14*2%),0)))</f>
        <v>0.8</v>
      </c>
      <c r="M26" s="48"/>
      <c r="N26" s="48"/>
      <c r="O26" s="18"/>
      <c r="P26" s="47" t="s">
        <v>83</v>
      </c>
      <c r="Q26" s="48">
        <f>IF(Q13&gt;=3,IF(AND(Q10="1세대1주택",Q14&gt;=2),MIN(80%,Q14*8%),IF(Q15="기본세율",MIN(30%,Q14*2%),0)))</f>
        <v>0.8</v>
      </c>
      <c r="R26" s="48"/>
      <c r="S26" s="4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ht="16.5" customHeight="1" thickBot="1">
      <c r="A27" s="49" t="s">
        <v>85</v>
      </c>
      <c r="B27" s="50">
        <f t="shared" ref="B27" ca="1" si="12">B25*(1-B26)</f>
        <v>310767480.15289617</v>
      </c>
      <c r="C27" s="50"/>
      <c r="D27" s="50"/>
      <c r="E27" s="18"/>
      <c r="F27" s="49" t="s">
        <v>85</v>
      </c>
      <c r="G27" s="50">
        <f t="shared" ref="G27" ca="1" si="13">G25*(1-G26)</f>
        <v>419999999.99999988</v>
      </c>
      <c r="H27" s="50"/>
      <c r="I27" s="50"/>
      <c r="J27" s="18"/>
      <c r="K27" s="49" t="s">
        <v>85</v>
      </c>
      <c r="L27" s="50">
        <f ca="1">L25-MIN(L25*L26,L8)</f>
        <v>420000000</v>
      </c>
      <c r="M27" s="50"/>
      <c r="N27" s="50"/>
      <c r="O27" s="18"/>
      <c r="P27" s="49" t="s">
        <v>85</v>
      </c>
      <c r="Q27" s="50">
        <f ca="1">Q25-MIN(Q25*Q26,Q8)</f>
        <v>1100000000</v>
      </c>
      <c r="R27" s="50"/>
      <c r="S27" s="50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spans="1:30" ht="16.5" customHeight="1">
      <c r="A28" s="51" t="s">
        <v>87</v>
      </c>
      <c r="B28" s="52">
        <v>2500000</v>
      </c>
      <c r="C28" s="52"/>
      <c r="D28" s="52"/>
      <c r="E28" s="18"/>
      <c r="F28" s="51" t="s">
        <v>87</v>
      </c>
      <c r="G28" s="52">
        <f ca="1">IF(AND(G10="1세대1주택",G14&gt;=10,G22&lt;=3*10^9),25*10^6*IF($F$10="부부",IF(G18=TRUE,G16,1),G16),2500000)</f>
        <v>2500000</v>
      </c>
      <c r="H28" s="52"/>
      <c r="I28" s="52"/>
      <c r="J28" s="18"/>
      <c r="K28" s="51" t="s">
        <v>87</v>
      </c>
      <c r="L28" s="52">
        <f ca="1">IF(AND(L10="1세대1주택",L14&gt;=10,L22&lt;=3*10^9),25*10^6*IF($F$10="부부",IF(L18=TRUE,L16,1),L16),2500000)</f>
        <v>2500000</v>
      </c>
      <c r="M28" s="52"/>
      <c r="N28" s="52"/>
      <c r="O28" s="18"/>
      <c r="P28" s="51" t="s">
        <v>87</v>
      </c>
      <c r="Q28" s="52">
        <f ca="1">IF(AND(Q10="1세대1주택",Q14&gt;=10,Q22&lt;=3*10^9),25*10^6*IF($F$10="부부",IF(Q18=TRUE,Q16,1),Q16),2500000)</f>
        <v>2500000</v>
      </c>
      <c r="R28" s="52"/>
      <c r="S28" s="52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ht="16.5" customHeight="1" thickBot="1">
      <c r="A29" s="53" t="s">
        <v>61</v>
      </c>
      <c r="B29" s="54">
        <f t="shared" ref="B29" ca="1" si="14">B27-B28</f>
        <v>308267480.15289617</v>
      </c>
      <c r="C29" s="54"/>
      <c r="D29" s="54"/>
      <c r="E29" s="18"/>
      <c r="F29" s="53" t="s">
        <v>61</v>
      </c>
      <c r="G29" s="54">
        <f t="shared" ref="G29" ca="1" si="15">G27-G28</f>
        <v>417499999.99999988</v>
      </c>
      <c r="H29" s="54"/>
      <c r="I29" s="54"/>
      <c r="J29" s="18"/>
      <c r="K29" s="53" t="s">
        <v>61</v>
      </c>
      <c r="L29" s="54">
        <f t="shared" ref="L29" ca="1" si="16">L27-L28</f>
        <v>417500000</v>
      </c>
      <c r="M29" s="34"/>
      <c r="N29" s="34"/>
      <c r="O29" s="18"/>
      <c r="P29" s="53" t="s">
        <v>61</v>
      </c>
      <c r="Q29" s="54">
        <f t="shared" ref="Q29" ca="1" si="17">Q27-Q28</f>
        <v>1097500000</v>
      </c>
      <c r="R29" s="34"/>
      <c r="S29" s="34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1:30" ht="16.5" customHeight="1">
      <c r="A30" s="47" t="s">
        <v>62</v>
      </c>
      <c r="B30" s="48">
        <f t="array" aca="1" ref="B30" ca="1">INDEX(t!$AB$3:$AJ$10,MIN(ROWS(t!$AB$3:$AB$10),IF(B29&lt;=t!$AB$3,1,MATCH(B29-1,t!$AB$3:$AB$10,1)+1)),MATCH(B15,{"기본세율","기본세율+10%","기본세율+20%","기본세율+30%"},0)*2)</f>
        <v>0.4</v>
      </c>
      <c r="C30" s="48"/>
      <c r="D30" s="48"/>
      <c r="E30" s="18"/>
      <c r="F30" s="47" t="s">
        <v>62</v>
      </c>
      <c r="G30" s="48">
        <f t="array" aca="1" ref="G30" ca="1">INDEX(t!$AB$3:$AJ$10,MIN(ROWS(t!$AB$3:$AB$10),IF(G29&lt;=t!$AB$3,1,MATCH(G29-1,t!$AB$3:$AB$10,1)+1)),MATCH(G15,{"기본세율","기본세율+10%","기본세율+20%","기본세율+30%"},0)*2)</f>
        <v>0.4</v>
      </c>
      <c r="H30" s="48"/>
      <c r="I30" s="48"/>
      <c r="J30" s="18"/>
      <c r="K30" s="47" t="s">
        <v>62</v>
      </c>
      <c r="L30" s="48">
        <f t="array" aca="1" ref="L30" ca="1">INDEX(t!$AB$3:$AJ$10,MIN(ROWS(t!$AB$3:$AB$10),IF(L29&lt;=t!$AB$3,1,MATCH(L29-1,t!$AB$3:$AB$10,1)+1)),MATCH(L15,{"기본세율","기본세율+10%","기본세율+20%","기본세율+30%"},0)*2)</f>
        <v>0.4</v>
      </c>
      <c r="M30" s="48"/>
      <c r="N30" s="48"/>
      <c r="O30" s="18"/>
      <c r="P30" s="47" t="s">
        <v>62</v>
      </c>
      <c r="Q30" s="48">
        <f t="array" aca="1" ref="Q30" ca="1">INDEX(t!$AB$3:$AJ$10,MIN(ROWS(t!$AB$3:$AB$10),IF(Q29&lt;=t!$AB$3,1,MATCH(Q29-1,t!$AB$3:$AB$10,1)+1)),MATCH(Q15,{"기본세율","기본세율+10%","기본세율+20%","기본세율+30%"},0)*2)</f>
        <v>0.45</v>
      </c>
      <c r="R30" s="48"/>
      <c r="S30" s="4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ht="16.5" customHeight="1" thickBot="1">
      <c r="A31" s="49" t="s">
        <v>63</v>
      </c>
      <c r="B31" s="50">
        <f ca="1">B29*B30-INDEX(t!$AB$3:$AJ$10,MIN(ROWS(t!$AB$3:$AB$10),IF(B29&lt;=t!$AB$3,1,MATCH(B29-1,t!$AB$3:$AB$10,1)+1)),MATCH(B$15,{"기본세율","기본세율+10%","기본세율+20%","기본세율+30%"},0)*2+1)</f>
        <v>97366992.061158478</v>
      </c>
      <c r="C31" s="50"/>
      <c r="D31" s="50"/>
      <c r="E31" s="18"/>
      <c r="F31" s="49" t="s">
        <v>63</v>
      </c>
      <c r="G31" s="50">
        <f ca="1">G29*G30-INDEX(t!$AB$3:$AJ$10,MIN(ROWS(t!$AB$3:$AB$10),IF(G29&lt;=t!$AB$3,1,MATCH(G29-1,t!$AB$3:$AB$10,1)+1)),MATCH(G$15,{"기본세율","기본세율+10%","기본세율+20%","기본세율+30%"},0)*2+1)</f>
        <v>141059999.99999997</v>
      </c>
      <c r="H31" s="50"/>
      <c r="I31" s="50"/>
      <c r="J31" s="18"/>
      <c r="K31" s="49" t="s">
        <v>63</v>
      </c>
      <c r="L31" s="50">
        <f ca="1">L29*L30-INDEX(t!$AB$3:$AJ$10,MIN(ROWS(t!$AB$3:$AB$10),IF(L29&lt;=t!$AB$3,1,MATCH(L29-1,t!$AB$3:$AB$10,1)+1)),MATCH(L$15,{"기본세율","기본세율+10%","기본세율+20%","기본세율+30%"},0)*2+1)</f>
        <v>141060000</v>
      </c>
      <c r="M31" s="50"/>
      <c r="N31" s="50"/>
      <c r="O31" s="18"/>
      <c r="P31" s="49" t="s">
        <v>63</v>
      </c>
      <c r="Q31" s="50">
        <f ca="1">Q29*Q30-INDEX(t!$AB$3:$AJ$10,MIN(ROWS(t!$AB$3:$AB$10),IF(Q29&lt;=t!$AB$3,1,MATCH(Q29-1,t!$AB$3:$AB$10,1)+1)),MATCH(Q$15,{"기본세율","기본세율+10%","기본세율+20%","기본세율+30%"},0)*2+1)</f>
        <v>427935000</v>
      </c>
      <c r="R31" s="50"/>
      <c r="S31" s="50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6.5" customHeight="1">
      <c r="A32" s="18" t="s">
        <v>95</v>
      </c>
      <c r="B32" s="4">
        <f t="shared" ref="B32" ca="1" si="18">B31</f>
        <v>97366992.061158478</v>
      </c>
      <c r="C32" s="4"/>
      <c r="D32" s="4"/>
      <c r="E32" s="18"/>
      <c r="F32" s="18" t="s">
        <v>95</v>
      </c>
      <c r="G32" s="4">
        <f t="shared" ref="G32" ca="1" si="19">G31</f>
        <v>141059999.99999997</v>
      </c>
      <c r="H32" s="4"/>
      <c r="I32" s="4"/>
      <c r="J32" s="18"/>
      <c r="K32" s="18" t="s">
        <v>95</v>
      </c>
      <c r="L32" s="4">
        <f t="shared" ref="L32" ca="1" si="20">L31</f>
        <v>141060000</v>
      </c>
      <c r="M32" s="4"/>
      <c r="N32" s="4"/>
      <c r="O32" s="18"/>
      <c r="P32" s="18" t="s">
        <v>95</v>
      </c>
      <c r="Q32" s="4">
        <f t="shared" ref="Q32" ca="1" si="21">Q31</f>
        <v>427935000</v>
      </c>
      <c r="R32" s="4"/>
      <c r="S32" s="4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customHeight="1">
      <c r="A33" s="47" t="s">
        <v>96</v>
      </c>
      <c r="B33" s="64">
        <f t="shared" ref="B33" ca="1" si="22">B32*0.1</f>
        <v>9736699.2061158475</v>
      </c>
      <c r="C33" s="64"/>
      <c r="D33" s="64"/>
      <c r="F33" s="47" t="s">
        <v>96</v>
      </c>
      <c r="G33" s="64">
        <f t="shared" ref="G33" ca="1" si="23">G32*0.1</f>
        <v>14105999.999999998</v>
      </c>
      <c r="H33" s="64"/>
      <c r="I33" s="64"/>
      <c r="K33" s="47" t="s">
        <v>96</v>
      </c>
      <c r="L33" s="64">
        <f t="shared" ref="L33" ca="1" si="24">L32*0.1</f>
        <v>14106000</v>
      </c>
      <c r="M33" s="4"/>
      <c r="N33" s="4"/>
      <c r="P33" s="47" t="s">
        <v>96</v>
      </c>
      <c r="Q33" s="64">
        <f t="shared" ref="Q33" ca="1" si="25">Q32*0.1</f>
        <v>42793500</v>
      </c>
      <c r="R33" s="4"/>
      <c r="S33" s="4"/>
    </row>
    <row r="34" spans="1:30" ht="16.5" customHeight="1" thickBot="1">
      <c r="A34" s="65" t="s">
        <v>59</v>
      </c>
      <c r="B34" s="66">
        <f t="shared" ref="B34" ca="1" si="26">SUM(B32:B33)</f>
        <v>107103691.26727432</v>
      </c>
      <c r="C34" s="66"/>
      <c r="D34" s="66"/>
      <c r="F34" s="65" t="s">
        <v>59</v>
      </c>
      <c r="G34" s="66">
        <f t="shared" ref="G34" ca="1" si="27">SUM(G32:G33)</f>
        <v>155165999.99999997</v>
      </c>
      <c r="H34" s="66"/>
      <c r="I34" s="66"/>
      <c r="K34" s="65" t="s">
        <v>59</v>
      </c>
      <c r="L34" s="66">
        <f t="shared" ref="L34" ca="1" si="28">SUM(L32:L33)</f>
        <v>155166000</v>
      </c>
      <c r="M34" s="66"/>
      <c r="N34" s="66"/>
      <c r="P34" s="65" t="s">
        <v>59</v>
      </c>
      <c r="Q34" s="66">
        <f t="shared" ref="Q34" ca="1" si="29">SUM(Q32:Q33)</f>
        <v>470728500</v>
      </c>
      <c r="R34" s="66"/>
      <c r="S34" s="66"/>
    </row>
    <row r="35" spans="1:30" ht="16.5" customHeight="1" thickTop="1"/>
    <row r="36" spans="1:30" ht="16.5" customHeight="1">
      <c r="B36" s="7"/>
      <c r="C36" s="7"/>
      <c r="D36" s="7"/>
      <c r="H36" s="7"/>
      <c r="I36" s="7"/>
      <c r="M36" s="7"/>
      <c r="N36" s="7"/>
      <c r="R36" s="7"/>
      <c r="S36" s="7"/>
    </row>
    <row r="37" spans="1:30" ht="16.5" customHeight="1">
      <c r="A37" s="67" t="s">
        <v>178</v>
      </c>
      <c r="B37" s="92">
        <f ca="1">B41</f>
        <v>132000000</v>
      </c>
      <c r="C37" s="7"/>
      <c r="D37" s="7"/>
      <c r="E37" s="56"/>
      <c r="F37" s="67" t="s">
        <v>178</v>
      </c>
      <c r="G37" s="92">
        <f ca="1">G41</f>
        <v>132000000</v>
      </c>
      <c r="H37" s="7"/>
      <c r="I37" s="7"/>
      <c r="J37" s="5"/>
      <c r="K37" s="67" t="s">
        <v>178</v>
      </c>
      <c r="L37" s="92">
        <f ca="1">L41</f>
        <v>132000000</v>
      </c>
      <c r="M37" s="7"/>
      <c r="N37" s="7"/>
      <c r="O37" s="56"/>
      <c r="P37" s="67" t="s">
        <v>178</v>
      </c>
      <c r="Q37" s="92">
        <f ca="1">Q41</f>
        <v>132000000</v>
      </c>
      <c r="R37" s="7"/>
      <c r="S37" s="7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6.5" customHeight="1">
      <c r="A38" s="67"/>
      <c r="B38" s="4"/>
      <c r="C38" s="4"/>
      <c r="D38" s="4"/>
      <c r="F38" s="67"/>
      <c r="G38" s="4"/>
      <c r="H38" s="4"/>
      <c r="I38" s="4"/>
      <c r="K38" s="7"/>
      <c r="L38" s="7"/>
      <c r="M38" s="4"/>
      <c r="N38" s="4"/>
      <c r="P38" s="7"/>
      <c r="Q38" s="7"/>
      <c r="R38" s="4"/>
      <c r="S38" s="4"/>
    </row>
    <row r="39" spans="1:30" ht="16.5" customHeight="1">
      <c r="A39" s="3" t="s">
        <v>232</v>
      </c>
      <c r="B39" s="19"/>
      <c r="C39" s="19" t="str">
        <f t="array" aca="1" ref="C39" ca="1">INDEX(취득!$K$1:$K$8,MATCH(1,(취득!$I$1:$I$8=$B$11)*(취득!$J$1:$J$8=C$17),0))</f>
        <v>1.1~3.3%</v>
      </c>
      <c r="D39" s="19" t="str" cm="1">
        <f t="array" aca="1" ref="D39" ca="1">INDEX(취득!$K$1:$K$8,MATCH(1,(취득!$I$1:$I$8=$B$11)*(취득!$J$1:$J$8=D$17),0))</f>
        <v>1.1~3.3%</v>
      </c>
      <c r="F39" s="3" t="s">
        <v>32</v>
      </c>
      <c r="G39" s="19"/>
      <c r="H39" s="19" t="str" cm="1">
        <f t="array" aca="1" ref="H39" ca="1">INDEX(취득!$K$1:$K$8,MATCH(1,(취득!$I$1:$I$8=$G$11)*(취득!$J$1:$J$8=H$17),0))</f>
        <v>1.1~3.3%</v>
      </c>
      <c r="I39" s="19" t="str" cm="1">
        <f t="array" aca="1" ref="I39" ca="1">INDEX(취득!$K$1:$K$8,MATCH(1,(취득!$I$1:$I$8=$G$11)*(취득!$J$1:$J$8=I$17),0))</f>
        <v>1.1~3.3%</v>
      </c>
      <c r="K39" s="3" t="s">
        <v>32</v>
      </c>
      <c r="L39" s="3"/>
      <c r="M39" s="19" t="str" cm="1">
        <f t="array" aca="1" ref="M39" ca="1">INDEX(취득!$K$1:$K$8,MATCH(1,(취득!$I$1:$I$8=$L$11)*(취득!$J$1:$J$8=M$17),0))</f>
        <v>1.1~3.3%</v>
      </c>
      <c r="N39" s="19" t="str" cm="1">
        <f t="array" aca="1" ref="N39" ca="1">INDEX(취득!$K$1:$K$8,MATCH(1,(취득!$I$1:$I$8=$L$11)*(취득!$J$1:$J$8=N$17),0))</f>
        <v>1.1~3.3%</v>
      </c>
      <c r="P39" s="3" t="s">
        <v>32</v>
      </c>
      <c r="Q39" s="3"/>
      <c r="R39" s="19" t="str" cm="1">
        <f t="array" aca="1" ref="R39" ca="1">INDEX(취득!$K$1:$K$8,MATCH(1,(취득!$I$1:$I$8=$Q$11)*(취득!$J$1:$J$8=R$17),0))</f>
        <v>1.1~3.3%</v>
      </c>
      <c r="S39" s="19" t="str" cm="1">
        <f t="array" aca="1" ref="S39" ca="1">INDEX(취득!$K$1:$K$8,MATCH(1,(취득!$I$1:$I$8=$Q$11)*(취득!$J$1:$J$8=S$17),0))</f>
        <v>1.1~3.3%</v>
      </c>
    </row>
    <row r="40" spans="1:30" ht="16.5" customHeight="1">
      <c r="A40" s="3" t="s">
        <v>34</v>
      </c>
      <c r="B40" s="19"/>
      <c r="C40" s="19" cm="1">
        <f t="array" ref="C40">IF($B$12="85 초과",INDEX(취득!$L$1:$L$8,MATCH(1,(취득!$I$1:$I$8=$B$11)*(취득!$J$1:$J$8=C$17),0)),0)</f>
        <v>0</v>
      </c>
      <c r="D40" s="19" cm="1">
        <f t="array" ref="D40">IF($B$12="85 초과",INDEX(취득!$L$1:$L$8,MATCH(1,(취득!$I$1:$I$8=$B$11)*(취득!$J$1:$J$8=D$17),0)),0)</f>
        <v>0</v>
      </c>
      <c r="F40" s="3" t="s">
        <v>34</v>
      </c>
      <c r="G40" s="19"/>
      <c r="H40" s="19" cm="1">
        <f t="array" ref="H40">IF($B$12="85 초과",INDEX(취득!$L$1:$L$8,MATCH(1,(취득!$I$1:$I$8=$B$11)*(취득!$J$1:$J$8=H$17),0)),0)</f>
        <v>0</v>
      </c>
      <c r="I40" s="19" cm="1">
        <f t="array" ref="I40">IF($B$12="85 초과",INDEX(취득!$L$1:$L$8,MATCH(1,(취득!$I$1:$I$8=$B$11)*(취득!$J$1:$J$8=I$17),0)),0)</f>
        <v>0</v>
      </c>
      <c r="K40" s="3" t="s">
        <v>34</v>
      </c>
      <c r="L40" s="3"/>
      <c r="M40" s="19" cm="1">
        <f t="array" ref="M40">IF($L$12="85 초과",INDEX(취득!$L$1:$L$8,MATCH(1,(취득!$I$1:$I$8=$L$11)*(취득!$J$1:$J$8=M$17),0)),0)</f>
        <v>0</v>
      </c>
      <c r="N40" s="19" cm="1">
        <f t="array" ref="N40">IF($L$12="85 초과",INDEX(취득!$L$1:$L$8,MATCH(1,(취득!$I$1:$I$8=$L$11)*(취득!$J$1:$J$8=N$17),0)),0)</f>
        <v>0</v>
      </c>
      <c r="P40" s="3" t="s">
        <v>34</v>
      </c>
      <c r="Q40" s="3"/>
      <c r="R40" s="19" cm="1">
        <f t="array" ref="R40">IF($Q$12="85 초과",INDEX(취득!$L$1:$L$8,MATCH(1,(취득!$I$1:$I$8=$Q$11)*(취득!$J$1:$J$8=R$17),0)),0)</f>
        <v>0</v>
      </c>
      <c r="S40" s="19" cm="1">
        <f t="array" ref="S40">IF($Q$12="85 초과",INDEX(취득!$L$1:$L$8,MATCH(1,(취득!$I$1:$I$8=$Q$11)*(취득!$J$1:$J$8=S$17),0)),0)</f>
        <v>0</v>
      </c>
    </row>
    <row r="41" spans="1:30" ht="16.5" customHeight="1" thickBot="1">
      <c r="A41" s="35" t="s">
        <v>45</v>
      </c>
      <c r="B41" s="36">
        <f ca="1">SUM(C41:D41)</f>
        <v>132000000</v>
      </c>
      <c r="C41" s="140">
        <f ca="1">(IF(C39="1.1~3.3%",(IF(C$1&lt;=6*10^8,1%,IF(C$1&gt;9*10^8,3%,ROUND((C$1*2/300000000-3)/100,5)))*1.1),C39)+C40)*C$1</f>
        <v>132000000</v>
      </c>
      <c r="D41" s="140">
        <f ca="1">(IF(D39="1.1~3.3%",(IF(D$1&lt;=6*10^8,1%,IF(D$1&gt;9*10^8,3%,ROUND((D$1*2/300000000-3)/100,5)))*1.1),D39)+D40)*D$1</f>
        <v>0</v>
      </c>
      <c r="F41" s="35" t="s">
        <v>45</v>
      </c>
      <c r="G41" s="36">
        <f ca="1">SUM(H41:I41)</f>
        <v>132000000</v>
      </c>
      <c r="H41" s="140">
        <f ca="1">(IF(H39="1.1~3.3%",(IF(H$1&lt;=6*10^8,1%,IF(H$1&gt;9*10^8,3%,ROUND((H$1*2/300000000-3)/100,5)))*1.1),H39)+H40)*H$1</f>
        <v>132000000</v>
      </c>
      <c r="I41" s="140">
        <f ca="1">(IF(I39="1.1~3.3%",(IF(I$1&lt;=6*10^8,1%,IF(I$1&gt;9*10^8,3%,ROUND((I$1*2/300000000-3)/100,5)))*1.1),I39)+I40)*I$1</f>
        <v>0</v>
      </c>
      <c r="K41" s="35" t="s">
        <v>45</v>
      </c>
      <c r="L41" s="36">
        <f ca="1">SUM(M41:N41)</f>
        <v>132000000</v>
      </c>
      <c r="M41" s="140">
        <f ca="1">(IF(M39="1.1~3.3%",(IF(M$1&lt;=6*10^8,1%,IF(M$1&gt;9*10^8,3%,ROUND((M$1*2/300000000-3)/100,5)))*1.1),M39)+M40)*M$1</f>
        <v>132000000</v>
      </c>
      <c r="N41" s="140">
        <f ca="1">(IF(N39="1.1~3.3%",(IF(N$1&lt;=6*10^8,1%,IF(N$1&gt;9*10^8,3%,ROUND((N$1*2/300000000-3)/100,5)))*1.1),N39)+N40)*N$1</f>
        <v>0</v>
      </c>
      <c r="P41" s="35" t="s">
        <v>45</v>
      </c>
      <c r="Q41" s="36">
        <f ca="1">SUM(R41:S41)</f>
        <v>132000000</v>
      </c>
      <c r="R41" s="140">
        <f ca="1">(IF(R39="1.1~3.3%",(IF(R$1&lt;=6*10^8,1%,IF(R$1&gt;9*10^8,3%,ROUND((R$1*2/300000000-3)/100,5)))*1.1),R39)+R40)*R$1</f>
        <v>132000000</v>
      </c>
      <c r="S41" s="140">
        <f ca="1">(IF(S39="1.1~3.3%",(IF(S$1&lt;=6*10^8,1%,IF(S$1&gt;9*10^8,3%,ROUND((S$1*2/300000000-3)/100,5)))*1.1),S39)+S40)*S$1</f>
        <v>0</v>
      </c>
    </row>
    <row r="42" spans="1:30" ht="16.5" customHeight="1" thickTop="1">
      <c r="A42" s="37"/>
      <c r="B42" s="3"/>
      <c r="C42" s="14"/>
      <c r="D42" s="3"/>
      <c r="F42" s="37"/>
      <c r="G42" s="37"/>
      <c r="H42" s="14"/>
      <c r="I42" s="3"/>
      <c r="M42" s="14"/>
      <c r="N42" s="3"/>
      <c r="R42" s="14"/>
      <c r="S42" s="3"/>
    </row>
    <row r="43" spans="1:30" ht="16.5" customHeight="1">
      <c r="A43" s="3"/>
      <c r="B43" s="3"/>
      <c r="C43" s="3"/>
      <c r="D43" s="3"/>
      <c r="F43" s="3"/>
      <c r="G43" s="3"/>
      <c r="H43" s="3"/>
      <c r="I43" s="3"/>
      <c r="K43" s="3"/>
      <c r="L43" s="3"/>
      <c r="M43" s="3"/>
      <c r="N43" s="3"/>
      <c r="P43" s="3"/>
      <c r="Q43" s="3"/>
      <c r="R43" s="3"/>
      <c r="S43" s="3"/>
    </row>
    <row r="44" spans="1:30" ht="16.5" customHeight="1"/>
    <row r="45" spans="1:30" ht="16.5" customHeight="1"/>
    <row r="46" spans="1:30" ht="16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ht="16.5" customHeight="1"/>
    <row r="48" spans="1:3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</sheetData>
  <phoneticPr fontId="16" type="noConversion"/>
  <conditionalFormatting sqref="B11:B14">
    <cfRule type="cellIs" dxfId="69" priority="5" operator="lessThan">
      <formula>1</formula>
    </cfRule>
    <cfRule type="cellIs" dxfId="68" priority="6" operator="lessThan">
      <formula>2</formula>
    </cfRule>
  </conditionalFormatting>
  <conditionalFormatting sqref="G13:G14">
    <cfRule type="cellIs" dxfId="67" priority="11" operator="lessThan">
      <formula>1</formula>
    </cfRule>
    <cfRule type="cellIs" dxfId="66" priority="12" operator="lessThan">
      <formula>2</formula>
    </cfRule>
  </conditionalFormatting>
  <conditionalFormatting sqref="L13:L14">
    <cfRule type="cellIs" dxfId="65" priority="3" operator="lessThan">
      <formula>1</formula>
    </cfRule>
    <cfRule type="cellIs" dxfId="64" priority="4" operator="lessThan">
      <formula>2</formula>
    </cfRule>
  </conditionalFormatting>
  <conditionalFormatting sqref="Q13:Q14">
    <cfRule type="cellIs" dxfId="63" priority="1" operator="lessThan">
      <formula>1</formula>
    </cfRule>
    <cfRule type="cellIs" dxfId="62" priority="2" operator="lessThan">
      <formula>2</formula>
    </cfRule>
  </conditionalFormatting>
  <dataValidations disablePrompts="1" count="5">
    <dataValidation type="list" allowBlank="1" showErrorMessage="1" sqref="K10 F10 P10" xr:uid="{238BF137-E61E-42F0-9069-A5A2712A4D0A}">
      <formula1>"부부"</formula1>
    </dataValidation>
    <dataValidation type="list" allowBlank="1" showErrorMessage="1" sqref="G10 B10 L10 Q10" xr:uid="{660B1BA2-164B-4EBF-A08A-C8750EEBD411}">
      <formula1>"1세대1주택,주택,2주택,3주택,토지,비사토"</formula1>
    </dataValidation>
    <dataValidation type="list" allowBlank="1" showErrorMessage="1" sqref="G18:I18 Q18 L18" xr:uid="{831F688E-68B4-4416-9593-7A8481D58B36}">
      <formula1>"TRUE"</formula1>
    </dataValidation>
    <dataValidation type="list" allowBlank="1" showInputMessage="1" showErrorMessage="1" sqref="M10:N10 R10:S10 H10:I10" xr:uid="{720178E2-F4F3-483D-9F62-D6FB36B2C69F}">
      <formula1>"특수관계"</formula1>
    </dataValidation>
    <dataValidation allowBlank="1" showErrorMessage="1" sqref="Q12:R12 G12:H12 L12:M12" xr:uid="{80FA308E-3CC2-4527-8C53-ABBB6138E2A6}"/>
  </dataValidations>
  <pageMargins left="0.25" right="0.25" top="0.75" bottom="0.75" header="0" footer="0"/>
  <pageSetup paperSize="9" orientation="landscape"/>
  <headerFooter>
    <oddFooter>&amp;C&amp;P/</oddFooter>
  </headerFooter>
  <rowBreaks count="1" manualBreakCount="1">
    <brk id="45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D1B2785B-15DA-404E-BE1C-EE510B867F5C}">
          <x14:formula1>
            <xm:f>t!$AR$2:$AR$5</xm:f>
          </x14:formula1>
          <xm:sqref>C10:D10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499984740745262"/>
  </sheetPr>
  <dimension ref="A1:Z998"/>
  <sheetViews>
    <sheetView workbookViewId="0"/>
    <sheetView workbookViewId="1"/>
  </sheetViews>
  <sheetFormatPr defaultColWidth="14.42578125" defaultRowHeight="15" customHeight="1"/>
  <cols>
    <col min="1" max="1" width="15.42578125" customWidth="1"/>
    <col min="2" max="2" width="18.140625" style="111" bestFit="1" customWidth="1"/>
    <col min="3" max="3" width="16.7109375" style="111" bestFit="1" customWidth="1"/>
    <col min="4" max="4" width="13.85546875" style="111" bestFit="1" customWidth="1"/>
    <col min="5" max="5" width="16.7109375" style="111" bestFit="1" customWidth="1"/>
    <col min="6" max="7" width="13.85546875" style="111" bestFit="1" customWidth="1"/>
    <col min="8" max="8" width="12.5703125" style="111" bestFit="1" customWidth="1"/>
    <col min="9" max="9" width="13.7109375" style="111" bestFit="1" customWidth="1"/>
    <col min="10" max="10" width="35.7109375" bestFit="1" customWidth="1"/>
    <col min="11" max="26" width="8.7109375" customWidth="1"/>
  </cols>
  <sheetData>
    <row r="1" spans="1:3" ht="16.5" customHeight="1">
      <c r="A1" s="3"/>
      <c r="B1" s="3"/>
    </row>
    <row r="2" spans="1:3" ht="16.5" customHeight="1">
      <c r="A2" s="3"/>
      <c r="B2" s="3"/>
    </row>
    <row r="3" spans="1:3" ht="16.5" customHeight="1">
      <c r="A3" s="3" t="s">
        <v>103</v>
      </c>
      <c r="B3" s="14">
        <f>기초!B17</f>
        <v>10050000000</v>
      </c>
    </row>
    <row r="4" spans="1:3" ht="16.5" customHeight="1">
      <c r="A4" s="3" t="s">
        <v>30</v>
      </c>
      <c r="B4" s="14">
        <f>SUM(기초!S:S)</f>
        <v>3000000000</v>
      </c>
      <c r="C4" s="14"/>
    </row>
    <row r="5" spans="1:3" ht="16.5" customHeight="1">
      <c r="A5" s="28" t="s">
        <v>106</v>
      </c>
      <c r="B5" s="22">
        <f>기초!J17</f>
        <v>900000000</v>
      </c>
    </row>
    <row r="6" spans="1:3" ht="16.5" customHeight="1">
      <c r="A6" s="29" t="s">
        <v>59</v>
      </c>
      <c r="B6" s="156">
        <f>B3+B4-B5</f>
        <v>12150000000</v>
      </c>
    </row>
    <row r="7" spans="1:3" ht="16.5" customHeight="1">
      <c r="A7" s="18" t="s">
        <v>116</v>
      </c>
      <c r="B7" s="14">
        <f>IF(COUNTIF(기초!$B:$B, "배우자")=0, 0, MAX(500000000, MIN(B6 * 기초!$B$25/ SUMIFS(기초!$B:$B,기초!$A:$A,"상속지분"), 3000000000)))</f>
        <v>3000000000</v>
      </c>
    </row>
    <row r="8" spans="1:3" ht="16.5" customHeight="1">
      <c r="A8" s="18" t="s">
        <v>127</v>
      </c>
      <c r="B8" s="14">
        <f>IF(COUNTIF(기초!$B:$B,"직계존비속")&gt;0,500000000)</f>
        <v>500000000</v>
      </c>
    </row>
    <row r="9" spans="1:3" ht="16.5" customHeight="1">
      <c r="A9" s="18" t="s">
        <v>120</v>
      </c>
      <c r="B9" s="14">
        <f>IF(기초!J17&lt;=20000000,기초!J17,IF(기초!J17&lt;=100000000,20000000,IF(기초!J17&lt;=10^9,기초!J17*20%,2*10^8)))</f>
        <v>180000000</v>
      </c>
    </row>
    <row r="10" spans="1:3" ht="16.5" customHeight="1">
      <c r="A10" s="47" t="s">
        <v>133</v>
      </c>
      <c r="B10" s="14">
        <f>IF(COUNTIF(기초!$B:$B,"동거")&gt;0,600000000)</f>
        <v>600000000</v>
      </c>
    </row>
    <row r="11" spans="1:3" ht="16.5" customHeight="1">
      <c r="A11" s="33" t="s">
        <v>61</v>
      </c>
      <c r="B11" s="34">
        <f>B6-SUM(B7:B10)</f>
        <v>7870000000</v>
      </c>
    </row>
    <row r="12" spans="1:3" ht="16.5" customHeight="1">
      <c r="A12" s="3" t="s">
        <v>62</v>
      </c>
      <c r="B12" s="16">
        <f t="array" ref="B12">INDEX(t!$AW$3:$AW$7,MATCH(TRUE,B11&lt;=t!$AV$3:$AV$7,0))</f>
        <v>0.5</v>
      </c>
    </row>
    <row r="13" spans="1:3" ht="16.5" customHeight="1">
      <c r="A13" s="3" t="s">
        <v>63</v>
      </c>
      <c r="B13" s="14">
        <f>B11*B12-VLOOKUP(B12,t!$AW$3:$AX$7,2,0)</f>
        <v>3475000000</v>
      </c>
    </row>
    <row r="14" spans="1:3" ht="16.5" customHeight="1">
      <c r="A14" s="28" t="s">
        <v>64</v>
      </c>
      <c r="B14" s="22">
        <f>SUM(기초!T:T)</f>
        <v>0</v>
      </c>
    </row>
    <row r="15" spans="1:3" ht="16.5" customHeight="1">
      <c r="A15" s="35" t="s">
        <v>45</v>
      </c>
      <c r="B15" s="36">
        <f>B13-B14</f>
        <v>3475000000</v>
      </c>
    </row>
    <row r="16" spans="1:3" ht="16.5" customHeight="1">
      <c r="A16" s="3"/>
      <c r="B16" s="16"/>
    </row>
    <row r="17" spans="1:26" ht="16.5" customHeight="1">
      <c r="A17" s="37"/>
      <c r="B17" s="14"/>
    </row>
    <row r="18" spans="1:26" ht="16.5" customHeight="1">
      <c r="A18" s="3"/>
    </row>
    <row r="19" spans="1:26" ht="16.5" customHeight="1">
      <c r="A19" s="103"/>
      <c r="B19" s="130" t="s">
        <v>282</v>
      </c>
      <c r="C19" s="103" t="s">
        <v>8</v>
      </c>
      <c r="D19" s="103" t="s">
        <v>9</v>
      </c>
      <c r="E19" s="103" t="s">
        <v>11</v>
      </c>
      <c r="F19" s="103" t="s">
        <v>12</v>
      </c>
      <c r="G19" s="103" t="s">
        <v>13</v>
      </c>
      <c r="H19" s="103" t="s">
        <v>15</v>
      </c>
      <c r="I19" s="103" t="s">
        <v>17</v>
      </c>
      <c r="J19" s="157" t="s">
        <v>10</v>
      </c>
    </row>
    <row r="20" spans="1:26" ht="16.5" customHeight="1">
      <c r="A20" s="130" t="s">
        <v>219</v>
      </c>
      <c r="B20" s="150"/>
      <c r="C20" s="116" t="str">
        <f>HLOOKUP(C$19,기초!$C$5:$I$16,MATCH($A20,기초!$A$5:$A$16,0),0)</f>
        <v>조정대상지역</v>
      </c>
      <c r="D20" s="116" t="str">
        <f>HLOOKUP(D$19,기초!$C$5:$I$16,MATCH($A20,기초!$A$5:$A$16,0),0)</f>
        <v>조정대상지역</v>
      </c>
      <c r="E20" s="116" t="str">
        <f>HLOOKUP(E$19,기초!$C$5:$I$16,MATCH($A20,기초!$A$5:$A$16,0),0)</f>
        <v>일반지역</v>
      </c>
      <c r="F20" s="116" t="str">
        <f>HLOOKUP(F$19,기초!$C$5:$I$16,MATCH($A20,기초!$A$5:$A$16,0),0)</f>
        <v>일반지역</v>
      </c>
      <c r="G20" s="116">
        <f>HLOOKUP(G$19,기초!$C$5:$I$16,MATCH($A20,기초!$A$5:$A$16,0),0)</f>
        <v>0</v>
      </c>
      <c r="H20" s="116">
        <f>HLOOKUP(H$19,기초!$C$5:$I$16,MATCH($A20,기초!$A$5:$A$16,0),0)</f>
        <v>0</v>
      </c>
      <c r="I20" s="116">
        <f>HLOOKUP(I$19,기초!$C$5:$I$16,MATCH($A20,기초!$A$5:$A$16,0),0)</f>
        <v>0</v>
      </c>
    </row>
    <row r="21" spans="1:26" ht="16.5" customHeight="1">
      <c r="A21" s="103" t="s">
        <v>38</v>
      </c>
      <c r="B21" s="150"/>
      <c r="C21" s="116">
        <f>HLOOKUP(C$19,기초!$C$5:$I$16,MATCH($A21,기초!$A$5:$A$16,0),0)</f>
        <v>3500000000</v>
      </c>
      <c r="D21" s="116">
        <f>HLOOKUP(D$19,기초!$C$5:$I$16,MATCH($A21,기초!$A$5:$A$16,0),0)</f>
        <v>1150000000</v>
      </c>
      <c r="E21" s="116">
        <f>HLOOKUP(E$19,기초!$C$5:$I$16,MATCH($A21,기초!$A$5:$A$16,0),0)</f>
        <v>1724999999.9999998</v>
      </c>
      <c r="F21" s="116">
        <f>HLOOKUP(F$19,기초!$C$5:$I$16,MATCH($A21,기초!$A$5:$A$16,0),0)</f>
        <v>2300000000</v>
      </c>
      <c r="G21" s="116">
        <f>HLOOKUP(G$19,기초!$C$5:$I$16,MATCH($A21,기초!$A$5:$A$16,0),0)</f>
        <v>0</v>
      </c>
      <c r="H21" s="116">
        <f>HLOOKUP(H$19,기초!$C$5:$I$16,MATCH($A21,기초!$A$5:$A$16,0),0)</f>
        <v>0</v>
      </c>
      <c r="I21" s="116">
        <f>HLOOKUP(I$19,기초!$C$5:$I$16,MATCH($A21,기초!$A$5:$A$16,0),0)</f>
        <v>0</v>
      </c>
    </row>
    <row r="22" spans="1:26" ht="16.5" customHeight="1">
      <c r="A22" s="103" t="s">
        <v>177</v>
      </c>
      <c r="B22" s="150"/>
      <c r="C22" s="116" t="str">
        <f>HLOOKUP(C$19,기초!$C$5:$I$16,MATCH($A22,기초!$A$5:$A$16,0),0)</f>
        <v>국평</v>
      </c>
      <c r="D22" s="116" t="str">
        <f>HLOOKUP(D$19,기초!$C$5:$I$16,MATCH($A22,기초!$A$5:$A$16,0),0)</f>
        <v>국평</v>
      </c>
      <c r="E22" s="116" t="str">
        <f>HLOOKUP(E$19,기초!$C$5:$I$16,MATCH($A22,기초!$A$5:$A$16,0),0)</f>
        <v>국평</v>
      </c>
      <c r="F22" s="116" t="str">
        <f>HLOOKUP(F$19,기초!$C$5:$I$16,MATCH($A22,기초!$A$5:$A$16,0),0)</f>
        <v>국평</v>
      </c>
      <c r="G22" s="116">
        <f>HLOOKUP(G$19,기초!$C$5:$I$16,MATCH($A22,기초!$A$5:$A$16,0),0)</f>
        <v>0</v>
      </c>
      <c r="H22" s="116">
        <f>HLOOKUP(H$19,기초!$C$5:$I$16,MATCH($A22,기초!$A$5:$A$16,0),0)</f>
        <v>0</v>
      </c>
      <c r="I22" s="116">
        <f>HLOOKUP(I$19,기초!$C$5:$I$16,MATCH($A22,기초!$A$5:$A$16,0),0)</f>
        <v>0</v>
      </c>
    </row>
    <row r="23" spans="1:26" ht="16.5" customHeight="1" thickBot="1">
      <c r="A23" s="152" t="s">
        <v>222</v>
      </c>
      <c r="B23" s="152"/>
      <c r="C23" s="155">
        <f t="shared" ref="C23:I23" si="0">IF(C22="85 초과",3.16%,IF(C22="농지",2.56%,2.96%))</f>
        <v>2.9600000000000001E-2</v>
      </c>
      <c r="D23" s="155">
        <f t="shared" si="0"/>
        <v>2.9600000000000001E-2</v>
      </c>
      <c r="E23" s="155">
        <f t="shared" si="0"/>
        <v>2.9600000000000001E-2</v>
      </c>
      <c r="F23" s="155">
        <f t="shared" si="0"/>
        <v>2.9600000000000001E-2</v>
      </c>
      <c r="G23" s="155">
        <f t="shared" si="0"/>
        <v>2.9600000000000001E-2</v>
      </c>
      <c r="H23" s="155">
        <f t="shared" si="0"/>
        <v>2.9600000000000001E-2</v>
      </c>
      <c r="I23" s="155">
        <f t="shared" si="0"/>
        <v>2.9600000000000001E-2</v>
      </c>
      <c r="J23" s="158" t="s">
        <v>236</v>
      </c>
    </row>
    <row r="24" spans="1:26" ht="16.5" customHeight="1" thickTop="1">
      <c r="A24" s="153" t="s">
        <v>45</v>
      </c>
      <c r="B24" s="154">
        <f>SUM(C24:I24)</f>
        <v>256780000</v>
      </c>
      <c r="C24" s="154">
        <f t="shared" ref="C24:I24" si="1">C21*C23</f>
        <v>103600000</v>
      </c>
      <c r="D24" s="154">
        <f t="shared" si="1"/>
        <v>34040000</v>
      </c>
      <c r="E24" s="154">
        <f t="shared" si="1"/>
        <v>51059999.999999993</v>
      </c>
      <c r="F24" s="154">
        <f t="shared" si="1"/>
        <v>68080000</v>
      </c>
      <c r="G24" s="154">
        <f t="shared" si="1"/>
        <v>0</v>
      </c>
      <c r="H24" s="154">
        <f t="shared" si="1"/>
        <v>0</v>
      </c>
      <c r="I24" s="154">
        <f t="shared" si="1"/>
        <v>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6.5" customHeight="1">
      <c r="A25" s="3"/>
      <c r="B25" s="3"/>
      <c r="C25" s="3"/>
      <c r="D25" s="3"/>
      <c r="E25" s="3"/>
      <c r="F25" s="3"/>
      <c r="G25" s="3"/>
      <c r="H25" s="3"/>
      <c r="I25" s="3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6.5" customHeight="1">
      <c r="A26" s="38" t="s">
        <v>59</v>
      </c>
      <c r="B26" s="39">
        <f>B15+B24</f>
        <v>3731780000</v>
      </c>
    </row>
    <row r="27" spans="1:26" ht="16.5" customHeight="1">
      <c r="A27" s="3"/>
      <c r="B27" s="3"/>
    </row>
    <row r="28" spans="1:26" ht="16.5" customHeight="1">
      <c r="A28" s="3"/>
      <c r="B28" s="3"/>
    </row>
    <row r="29" spans="1:26" ht="16.5" customHeight="1">
      <c r="A29" s="3"/>
      <c r="B29" s="3"/>
      <c r="C29" s="40"/>
      <c r="D29" s="40"/>
      <c r="E29" s="40"/>
      <c r="F29" s="40"/>
      <c r="G29" s="40"/>
      <c r="H29" s="40"/>
      <c r="I29" s="40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6.5" customHeight="1">
      <c r="A30" s="3"/>
      <c r="B30" s="3"/>
    </row>
    <row r="31" spans="1:26" ht="16.5" customHeight="1">
      <c r="A31" s="3"/>
      <c r="B31" s="3"/>
    </row>
    <row r="32" spans="1:26" ht="16.5" customHeight="1">
      <c r="A32" s="3"/>
      <c r="B32" s="3"/>
    </row>
    <row r="33" spans="1:26" ht="16.5" customHeight="1">
      <c r="A33" s="40"/>
      <c r="B33" s="40"/>
    </row>
    <row r="34" spans="1:26" ht="16.5" customHeight="1">
      <c r="A34" s="3"/>
      <c r="B34" s="3"/>
    </row>
    <row r="35" spans="1:26" ht="16.5" customHeight="1">
      <c r="A35" s="3"/>
      <c r="B35" s="3"/>
    </row>
    <row r="36" spans="1:26" ht="16.5" customHeight="1">
      <c r="A36" s="3"/>
      <c r="B36" s="3"/>
    </row>
    <row r="37" spans="1:26" ht="16.5" customHeight="1">
      <c r="A37" s="3"/>
      <c r="B37" s="3"/>
      <c r="C37" s="3"/>
      <c r="D37" s="3"/>
      <c r="E37" s="3"/>
      <c r="F37" s="3"/>
      <c r="G37" s="3"/>
      <c r="H37" s="3"/>
      <c r="I37" s="3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6.5" customHeight="1">
      <c r="A38" s="3"/>
      <c r="B38" s="3"/>
    </row>
    <row r="39" spans="1:26" ht="16.5" customHeight="1">
      <c r="A39" s="3"/>
      <c r="B39" s="3"/>
    </row>
    <row r="40" spans="1:26" ht="16.5" customHeight="1">
      <c r="A40" s="3"/>
      <c r="B40" s="3"/>
    </row>
    <row r="41" spans="1:26" ht="16.5" customHeight="1">
      <c r="A41" s="3"/>
      <c r="B41" s="3"/>
    </row>
    <row r="42" spans="1:26" ht="16.5" customHeight="1">
      <c r="A42" s="3"/>
      <c r="B42" s="3"/>
    </row>
    <row r="43" spans="1:26" ht="16.5" customHeight="1">
      <c r="A43" s="3"/>
      <c r="B43" s="3"/>
    </row>
    <row r="44" spans="1:26" ht="16.5" customHeight="1">
      <c r="A44" s="3"/>
      <c r="B44" s="3"/>
    </row>
    <row r="45" spans="1:26" ht="16.5" customHeight="1">
      <c r="A45" s="3"/>
      <c r="B45" s="3"/>
    </row>
    <row r="46" spans="1:26" ht="16.5" customHeight="1">
      <c r="A46" s="3"/>
      <c r="B46" s="3"/>
    </row>
    <row r="47" spans="1:26" ht="16.5" customHeight="1">
      <c r="A47" s="3"/>
      <c r="B47" s="3"/>
    </row>
    <row r="48" spans="1:26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</sheetData>
  <phoneticPr fontId="16" type="noConversion"/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000"/>
  <sheetViews>
    <sheetView topLeftCell="M1" workbookViewId="0">
      <selection activeCell="L23" sqref="L23:N28"/>
    </sheetView>
    <sheetView workbookViewId="1">
      <selection sqref="A1:E1"/>
    </sheetView>
  </sheetViews>
  <sheetFormatPr defaultColWidth="14.42578125" defaultRowHeight="15" customHeight="1"/>
  <cols>
    <col min="1" max="1" width="16.85546875" bestFit="1" customWidth="1"/>
    <col min="2" max="2" width="7.42578125" bestFit="1" customWidth="1"/>
    <col min="3" max="3" width="16.140625" bestFit="1" customWidth="1"/>
    <col min="4" max="4" width="8.7109375" bestFit="1" customWidth="1"/>
    <col min="5" max="5" width="17.42578125" bestFit="1" customWidth="1"/>
    <col min="6" max="6" width="8.140625" customWidth="1"/>
    <col min="7" max="7" width="12.85546875" bestFit="1" customWidth="1"/>
    <col min="8" max="8" width="15.85546875" bestFit="1" customWidth="1"/>
    <col min="9" max="9" width="6.42578125" bestFit="1" customWidth="1"/>
    <col min="10" max="10" width="8.7109375" customWidth="1"/>
    <col min="11" max="11" width="7.140625" customWidth="1"/>
    <col min="12" max="12" width="16.85546875" bestFit="1" customWidth="1"/>
    <col min="13" max="13" width="11.140625" bestFit="1" customWidth="1"/>
    <col min="14" max="14" width="20" bestFit="1" customWidth="1"/>
    <col min="15" max="15" width="10.28515625" bestFit="1" customWidth="1"/>
    <col min="16" max="16" width="16.42578125" bestFit="1" customWidth="1"/>
    <col min="17" max="17" width="8.7109375" customWidth="1"/>
    <col min="18" max="18" width="15.5703125" customWidth="1"/>
    <col min="19" max="19" width="8.7109375" customWidth="1"/>
    <col min="20" max="20" width="13" customWidth="1"/>
    <col min="21" max="21" width="8.7109375" customWidth="1"/>
    <col min="22" max="22" width="13" customWidth="1"/>
    <col min="23" max="25" width="5.42578125" customWidth="1"/>
    <col min="26" max="27" width="8.7109375" customWidth="1"/>
    <col min="28" max="28" width="16.85546875" bestFit="1" customWidth="1"/>
    <col min="29" max="29" width="6" bestFit="1" customWidth="1"/>
    <col min="30" max="30" width="13.85546875" bestFit="1" customWidth="1"/>
    <col min="31" max="31" width="6" bestFit="1" customWidth="1"/>
    <col min="32" max="32" width="13.85546875" bestFit="1" customWidth="1"/>
    <col min="33" max="33" width="6" bestFit="1" customWidth="1"/>
    <col min="34" max="34" width="13.85546875" bestFit="1" customWidth="1"/>
    <col min="35" max="35" width="6" bestFit="1" customWidth="1"/>
    <col min="36" max="36" width="13.85546875" bestFit="1" customWidth="1"/>
    <col min="37" max="37" width="8.7109375" customWidth="1"/>
    <col min="38" max="38" width="11.140625" customWidth="1"/>
    <col min="39" max="39" width="5.28515625" customWidth="1"/>
    <col min="40" max="41" width="14.5703125" customWidth="1"/>
    <col min="42" max="42" width="15.140625" customWidth="1"/>
    <col min="43" max="43" width="8.7109375" customWidth="1"/>
    <col min="44" max="44" width="11" customWidth="1"/>
    <col min="45" max="45" width="20.42578125" customWidth="1"/>
    <col min="46" max="46" width="6.7109375" customWidth="1"/>
    <col min="47" max="47" width="8.7109375" customWidth="1"/>
    <col min="48" max="48" width="14.5703125" customWidth="1"/>
    <col min="49" max="49" width="8.7109375" customWidth="1"/>
    <col min="50" max="50" width="13" customWidth="1"/>
    <col min="51" max="51" width="8.7109375" customWidth="1"/>
    <col min="52" max="52" width="14.5703125" customWidth="1"/>
    <col min="53" max="53" width="8.7109375" customWidth="1"/>
    <col min="54" max="54" width="13" customWidth="1"/>
  </cols>
  <sheetData>
    <row r="1" spans="1:56" ht="16.5" customHeight="1">
      <c r="A1" s="487" t="s">
        <v>105</v>
      </c>
      <c r="B1" s="485"/>
      <c r="C1" s="485"/>
      <c r="D1" s="485"/>
      <c r="E1" s="486"/>
      <c r="G1" s="492" t="s">
        <v>107</v>
      </c>
      <c r="H1" s="485"/>
      <c r="I1" s="486"/>
      <c r="L1" s="484" t="s">
        <v>108</v>
      </c>
      <c r="M1" s="485"/>
      <c r="N1" s="485"/>
      <c r="O1" s="485"/>
      <c r="P1" s="486"/>
      <c r="R1" s="491" t="s">
        <v>110</v>
      </c>
      <c r="S1" s="485"/>
      <c r="T1" s="486"/>
      <c r="V1" s="493" t="s">
        <v>111</v>
      </c>
      <c r="W1" s="485"/>
      <c r="X1" s="485"/>
      <c r="Y1" s="486"/>
      <c r="AB1" s="20" t="s">
        <v>95</v>
      </c>
      <c r="AC1" s="488" t="s">
        <v>112</v>
      </c>
      <c r="AD1" s="490"/>
      <c r="AE1" s="494" t="s">
        <v>113</v>
      </c>
      <c r="AF1" s="490"/>
      <c r="AG1" s="488" t="s">
        <v>114</v>
      </c>
      <c r="AH1" s="489"/>
      <c r="AI1" s="488" t="s">
        <v>115</v>
      </c>
      <c r="AJ1" s="490"/>
      <c r="AL1" s="11"/>
      <c r="AM1" s="11" t="s">
        <v>117</v>
      </c>
      <c r="AN1" s="11">
        <v>2028</v>
      </c>
      <c r="AO1" s="11">
        <v>2029</v>
      </c>
      <c r="AP1" s="11" t="s">
        <v>10</v>
      </c>
      <c r="AR1" s="11" t="s">
        <v>46</v>
      </c>
      <c r="AS1" s="15" t="s">
        <v>118</v>
      </c>
      <c r="AT1" s="15" t="s">
        <v>10</v>
      </c>
      <c r="AV1" s="491" t="s">
        <v>119</v>
      </c>
      <c r="AW1" s="485"/>
      <c r="AX1" s="486"/>
      <c r="AZ1" s="491" t="s">
        <v>120</v>
      </c>
      <c r="BA1" s="485"/>
      <c r="BB1" s="486"/>
      <c r="BD1" s="169" t="s">
        <v>253</v>
      </c>
    </row>
    <row r="2" spans="1:56" ht="16.5" customHeight="1">
      <c r="A2" s="14" t="s">
        <v>121</v>
      </c>
      <c r="B2" s="3" t="s">
        <v>122</v>
      </c>
      <c r="C2" s="14" t="s">
        <v>123</v>
      </c>
      <c r="D2" s="14" t="s">
        <v>124</v>
      </c>
      <c r="E2" s="14" t="s">
        <v>125</v>
      </c>
      <c r="F2" s="7"/>
      <c r="G2" s="3" t="s">
        <v>39</v>
      </c>
      <c r="H2" s="3" t="s">
        <v>121</v>
      </c>
      <c r="I2" s="3" t="s">
        <v>126</v>
      </c>
      <c r="K2" s="7"/>
      <c r="L2" s="3" t="s">
        <v>121</v>
      </c>
      <c r="M2" s="3" t="s">
        <v>112</v>
      </c>
      <c r="N2" s="3" t="s">
        <v>128</v>
      </c>
      <c r="O2" s="3" t="s">
        <v>7</v>
      </c>
      <c r="P2" s="3" t="s">
        <v>129</v>
      </c>
      <c r="R2" s="3" t="s">
        <v>121</v>
      </c>
      <c r="S2" s="3" t="s">
        <v>112</v>
      </c>
      <c r="T2" s="3" t="s">
        <v>128</v>
      </c>
      <c r="V2" s="3" t="s">
        <v>39</v>
      </c>
      <c r="W2" s="1">
        <v>2026</v>
      </c>
      <c r="X2" s="1">
        <v>2027</v>
      </c>
      <c r="Y2" s="1">
        <v>2028</v>
      </c>
      <c r="AB2" s="6" t="s">
        <v>121</v>
      </c>
      <c r="AC2" s="6" t="s">
        <v>62</v>
      </c>
      <c r="AD2" s="6" t="s">
        <v>130</v>
      </c>
      <c r="AE2" s="6" t="s">
        <v>62</v>
      </c>
      <c r="AF2" s="6" t="s">
        <v>130</v>
      </c>
      <c r="AG2" s="6" t="s">
        <v>62</v>
      </c>
      <c r="AH2" s="6" t="s">
        <v>130</v>
      </c>
      <c r="AI2" s="6" t="s">
        <v>62</v>
      </c>
      <c r="AJ2" s="6" t="s">
        <v>130</v>
      </c>
      <c r="AL2" s="6" t="s">
        <v>131</v>
      </c>
      <c r="AM2" s="69">
        <v>0.04</v>
      </c>
      <c r="AN2" s="69">
        <v>0.06</v>
      </c>
      <c r="AO2" s="69">
        <v>0.08</v>
      </c>
      <c r="AP2" s="11" t="s">
        <v>132</v>
      </c>
      <c r="AR2" s="11" t="s">
        <v>47</v>
      </c>
      <c r="AS2" s="21">
        <v>600000000</v>
      </c>
      <c r="AT2" s="21"/>
      <c r="AV2" s="2" t="s">
        <v>121</v>
      </c>
      <c r="AW2" s="2" t="s">
        <v>112</v>
      </c>
      <c r="AX2" s="2" t="s">
        <v>128</v>
      </c>
      <c r="AZ2" s="2" t="s">
        <v>121</v>
      </c>
      <c r="BA2" s="2" t="s">
        <v>112</v>
      </c>
      <c r="BB2" s="2" t="s">
        <v>128</v>
      </c>
      <c r="BD2" s="148" t="s">
        <v>0</v>
      </c>
    </row>
    <row r="3" spans="1:56" ht="16.5" customHeight="1">
      <c r="A3" s="14">
        <v>60000000</v>
      </c>
      <c r="B3" s="17">
        <v>1E-3</v>
      </c>
      <c r="C3" s="14">
        <v>0</v>
      </c>
      <c r="D3" s="17">
        <v>5.0000000000000001E-4</v>
      </c>
      <c r="E3" s="14">
        <v>0</v>
      </c>
      <c r="G3" s="3" t="s">
        <v>0</v>
      </c>
      <c r="H3" s="14">
        <v>300000000</v>
      </c>
      <c r="I3" s="37">
        <v>0.43</v>
      </c>
      <c r="K3" s="7"/>
      <c r="L3" s="14">
        <v>300000000</v>
      </c>
      <c r="M3" s="19">
        <v>5.0000000000000001E-3</v>
      </c>
      <c r="N3" s="14">
        <v>0</v>
      </c>
      <c r="O3" s="17">
        <v>5.0000000000000001E-3</v>
      </c>
      <c r="P3" s="14">
        <v>0</v>
      </c>
      <c r="R3" s="14">
        <v>1500000000</v>
      </c>
      <c r="S3" s="19">
        <v>0.01</v>
      </c>
      <c r="T3" s="14">
        <v>0</v>
      </c>
      <c r="V3" s="1" t="s">
        <v>0</v>
      </c>
      <c r="W3" s="7">
        <v>0.6</v>
      </c>
      <c r="X3" s="7">
        <v>0.7</v>
      </c>
      <c r="Y3" s="7">
        <v>0.7</v>
      </c>
      <c r="AB3" s="21">
        <v>14000000</v>
      </c>
      <c r="AC3" s="9">
        <v>0.06</v>
      </c>
      <c r="AD3" s="15">
        <v>0</v>
      </c>
      <c r="AE3" s="9">
        <v>0.16</v>
      </c>
      <c r="AF3" s="15">
        <v>0</v>
      </c>
      <c r="AG3" s="9">
        <v>0.26</v>
      </c>
      <c r="AH3" s="15">
        <v>0</v>
      </c>
      <c r="AI3" s="9">
        <v>0.36</v>
      </c>
      <c r="AJ3" s="15">
        <v>0</v>
      </c>
      <c r="AL3" s="6" t="s">
        <v>135</v>
      </c>
      <c r="AM3" s="69">
        <v>0.04</v>
      </c>
      <c r="AN3" s="69">
        <v>0.02</v>
      </c>
      <c r="AO3" s="69">
        <v>0</v>
      </c>
      <c r="AP3" s="11" t="s">
        <v>132</v>
      </c>
      <c r="AR3" s="11" t="s">
        <v>50</v>
      </c>
      <c r="AS3" s="15">
        <v>50000000</v>
      </c>
      <c r="AT3" s="15"/>
      <c r="AV3" s="21">
        <v>100000000</v>
      </c>
      <c r="AW3" s="10">
        <v>0.1</v>
      </c>
      <c r="AX3" s="21">
        <v>0</v>
      </c>
      <c r="AZ3" s="21">
        <v>20000000</v>
      </c>
      <c r="BA3" s="10"/>
      <c r="BB3" s="21">
        <v>0</v>
      </c>
      <c r="BD3" s="148" t="s">
        <v>14</v>
      </c>
    </row>
    <row r="4" spans="1:56" ht="16.5" customHeight="1">
      <c r="A4" s="14">
        <v>150000000</v>
      </c>
      <c r="B4" s="17">
        <v>1.5E-3</v>
      </c>
      <c r="C4" s="14">
        <v>30000</v>
      </c>
      <c r="D4" s="17">
        <v>1E-3</v>
      </c>
      <c r="E4" s="14">
        <v>30000</v>
      </c>
      <c r="G4" s="3" t="s">
        <v>0</v>
      </c>
      <c r="H4" s="14">
        <v>600000000</v>
      </c>
      <c r="I4" s="37">
        <v>0.44</v>
      </c>
      <c r="L4" s="14">
        <v>600000000</v>
      </c>
      <c r="M4" s="19">
        <v>7.0000000000000001E-3</v>
      </c>
      <c r="N4" s="14">
        <v>600000</v>
      </c>
      <c r="O4" s="17">
        <v>7.0000000000000001E-3</v>
      </c>
      <c r="P4" s="14">
        <v>600000</v>
      </c>
      <c r="R4" s="14">
        <v>4500000000</v>
      </c>
      <c r="S4" s="19">
        <v>0.02</v>
      </c>
      <c r="T4" s="14">
        <v>15000000</v>
      </c>
      <c r="V4" s="1" t="s">
        <v>134</v>
      </c>
      <c r="W4" s="7">
        <v>0.6</v>
      </c>
      <c r="X4" s="7">
        <v>0.7</v>
      </c>
      <c r="Y4" s="70">
        <v>0.8</v>
      </c>
      <c r="AB4" s="21">
        <v>50000000</v>
      </c>
      <c r="AC4" s="9">
        <v>0.15</v>
      </c>
      <c r="AD4" s="21">
        <v>1260000</v>
      </c>
      <c r="AE4" s="9">
        <v>0.25</v>
      </c>
      <c r="AF4" s="21">
        <v>1260000</v>
      </c>
      <c r="AG4" s="9">
        <v>0.35</v>
      </c>
      <c r="AH4" s="21">
        <v>1260000</v>
      </c>
      <c r="AI4" s="9">
        <v>0.45</v>
      </c>
      <c r="AJ4" s="21">
        <v>1260000</v>
      </c>
      <c r="AL4" s="11" t="s">
        <v>0</v>
      </c>
      <c r="AM4" s="15">
        <v>10</v>
      </c>
      <c r="AN4" s="11">
        <v>10</v>
      </c>
      <c r="AO4" s="11">
        <v>10</v>
      </c>
      <c r="AP4" s="11"/>
      <c r="AR4" s="11" t="s">
        <v>137</v>
      </c>
      <c r="AS4" s="15">
        <v>10000000</v>
      </c>
      <c r="AT4" s="15"/>
      <c r="AV4" s="21">
        <v>500000000</v>
      </c>
      <c r="AW4" s="10">
        <v>0.2</v>
      </c>
      <c r="AX4" s="21">
        <v>10000000</v>
      </c>
      <c r="AZ4" s="21">
        <v>100000000</v>
      </c>
      <c r="BA4" s="10"/>
      <c r="BB4" s="21">
        <v>20000000</v>
      </c>
      <c r="BD4" s="148" t="s">
        <v>4</v>
      </c>
    </row>
    <row r="5" spans="1:56" ht="16.5" customHeight="1">
      <c r="A5" s="14">
        <v>300000000</v>
      </c>
      <c r="B5" s="17">
        <v>2.5000000000000001E-3</v>
      </c>
      <c r="C5" s="14">
        <v>180000</v>
      </c>
      <c r="D5" s="17">
        <v>2E-3</v>
      </c>
      <c r="E5" s="14">
        <v>180000</v>
      </c>
      <c r="G5" s="3" t="s">
        <v>0</v>
      </c>
      <c r="H5" s="3" t="s">
        <v>138</v>
      </c>
      <c r="I5" s="37">
        <v>0.45</v>
      </c>
      <c r="L5" s="14">
        <v>1200000000</v>
      </c>
      <c r="M5" s="19">
        <v>0.01</v>
      </c>
      <c r="N5" s="14">
        <v>2400000</v>
      </c>
      <c r="O5" s="16">
        <v>0.01</v>
      </c>
      <c r="P5" s="14">
        <v>2400000</v>
      </c>
      <c r="R5" s="71">
        <v>9.9999999999999997E+98</v>
      </c>
      <c r="S5" s="19">
        <v>0.03</v>
      </c>
      <c r="T5" s="14">
        <v>60000000</v>
      </c>
      <c r="W5" s="7"/>
      <c r="X5" s="7"/>
      <c r="Y5" s="7"/>
      <c r="AB5" s="21">
        <v>88000000</v>
      </c>
      <c r="AC5" s="9">
        <v>0.24</v>
      </c>
      <c r="AD5" s="21">
        <v>5760000</v>
      </c>
      <c r="AE5" s="9">
        <v>0.34</v>
      </c>
      <c r="AF5" s="21">
        <v>5760000</v>
      </c>
      <c r="AG5" s="9">
        <v>0.44</v>
      </c>
      <c r="AH5" s="21">
        <v>5760000</v>
      </c>
      <c r="AI5" s="9">
        <v>0.54</v>
      </c>
      <c r="AJ5" s="21">
        <v>5760000</v>
      </c>
      <c r="AL5" s="11" t="s">
        <v>140</v>
      </c>
      <c r="AM5" s="69">
        <v>0</v>
      </c>
      <c r="AN5" s="69">
        <v>0.02</v>
      </c>
      <c r="AO5" s="69">
        <v>0.02</v>
      </c>
      <c r="AP5" s="11" t="s">
        <v>141</v>
      </c>
      <c r="AR5" s="11" t="s">
        <v>55</v>
      </c>
      <c r="AS5" s="15">
        <v>20000000</v>
      </c>
      <c r="AT5" s="15" t="s">
        <v>51</v>
      </c>
      <c r="AV5" s="21">
        <v>1000000000</v>
      </c>
      <c r="AW5" s="10">
        <v>0.3</v>
      </c>
      <c r="AX5" s="21">
        <v>60000000</v>
      </c>
      <c r="AZ5" s="21">
        <v>1000000000</v>
      </c>
      <c r="BA5" s="10">
        <v>0.2</v>
      </c>
      <c r="BB5" s="21">
        <v>60000000</v>
      </c>
      <c r="BD5" s="148" t="s">
        <v>5</v>
      </c>
    </row>
    <row r="6" spans="1:56" ht="16.5" customHeight="1">
      <c r="A6" s="71">
        <v>9.9999999999999997E+98</v>
      </c>
      <c r="B6" s="17">
        <v>4.0000000000000001E-3</v>
      </c>
      <c r="C6" s="14">
        <v>630000</v>
      </c>
      <c r="D6" s="17">
        <v>3.5000000000000001E-3</v>
      </c>
      <c r="E6" s="14">
        <v>630000</v>
      </c>
      <c r="G6" s="3"/>
      <c r="H6" s="3" t="s">
        <v>14</v>
      </c>
      <c r="I6" s="37">
        <v>0.6</v>
      </c>
      <c r="L6" s="14">
        <v>2500000000</v>
      </c>
      <c r="M6" s="19">
        <v>1.2999999999999999E-2</v>
      </c>
      <c r="N6" s="14">
        <v>6000000</v>
      </c>
      <c r="O6" s="17">
        <v>0.02</v>
      </c>
      <c r="P6" s="14">
        <v>14400000</v>
      </c>
      <c r="R6" s="14"/>
      <c r="S6" s="19"/>
      <c r="T6" s="14"/>
      <c r="W6" s="7"/>
      <c r="X6" s="7"/>
      <c r="Y6" s="7"/>
      <c r="AB6" s="21">
        <v>150000000</v>
      </c>
      <c r="AC6" s="9">
        <v>0.35</v>
      </c>
      <c r="AD6" s="21">
        <v>15440000</v>
      </c>
      <c r="AE6" s="9">
        <v>0.45</v>
      </c>
      <c r="AF6" s="21">
        <v>15440000</v>
      </c>
      <c r="AG6" s="9">
        <v>0.55000000000000004</v>
      </c>
      <c r="AH6" s="21">
        <v>15440000</v>
      </c>
      <c r="AI6" s="9">
        <v>0.65</v>
      </c>
      <c r="AJ6" s="21">
        <v>15440000</v>
      </c>
      <c r="AL6" s="11" t="s">
        <v>142</v>
      </c>
      <c r="AM6" s="69">
        <v>0.02</v>
      </c>
      <c r="AN6" s="69">
        <v>0.01</v>
      </c>
      <c r="AO6" s="69">
        <v>0</v>
      </c>
      <c r="AP6" s="11" t="s">
        <v>141</v>
      </c>
      <c r="AS6" s="4"/>
      <c r="AT6" s="4"/>
      <c r="AV6" s="21">
        <v>3000000000</v>
      </c>
      <c r="AW6" s="10">
        <v>0.4</v>
      </c>
      <c r="AX6" s="21">
        <v>160000000</v>
      </c>
      <c r="AZ6" s="72">
        <v>9.9999999999999997E+98</v>
      </c>
      <c r="BA6" s="10"/>
      <c r="BB6" s="21">
        <v>200000000</v>
      </c>
      <c r="BD6" s="148" t="s">
        <v>6</v>
      </c>
    </row>
    <row r="7" spans="1:56" ht="16.5" customHeight="1">
      <c r="A7" s="4"/>
      <c r="C7" s="4"/>
      <c r="E7" s="4"/>
      <c r="G7" s="3"/>
      <c r="H7" s="3" t="s">
        <v>72</v>
      </c>
      <c r="I7" s="37">
        <v>0.7</v>
      </c>
      <c r="L7" s="14">
        <v>5000000000</v>
      </c>
      <c r="M7" s="19">
        <v>1.4999999999999999E-2</v>
      </c>
      <c r="N7" s="14">
        <v>11000000</v>
      </c>
      <c r="O7" s="17">
        <v>0.03</v>
      </c>
      <c r="P7" s="14">
        <v>39400000</v>
      </c>
      <c r="R7" s="491" t="s">
        <v>143</v>
      </c>
      <c r="S7" s="485"/>
      <c r="T7" s="486"/>
      <c r="W7" s="7"/>
      <c r="X7" s="7"/>
      <c r="Y7" s="7"/>
      <c r="AB7" s="21">
        <v>300000000</v>
      </c>
      <c r="AC7" s="9">
        <v>0.38</v>
      </c>
      <c r="AD7" s="21">
        <v>19940000</v>
      </c>
      <c r="AE7" s="9">
        <v>0.48</v>
      </c>
      <c r="AF7" s="21">
        <v>19940000</v>
      </c>
      <c r="AG7" s="9">
        <v>0.57999999999999996</v>
      </c>
      <c r="AH7" s="21">
        <v>19940000</v>
      </c>
      <c r="AI7" s="9">
        <v>0.68</v>
      </c>
      <c r="AJ7" s="21">
        <v>19940000</v>
      </c>
      <c r="AL7" s="11" t="s">
        <v>43</v>
      </c>
      <c r="AM7" s="15">
        <v>15</v>
      </c>
      <c r="AN7" s="15">
        <v>15</v>
      </c>
      <c r="AO7" s="15">
        <v>15</v>
      </c>
      <c r="AP7" s="11" t="s">
        <v>144</v>
      </c>
      <c r="AS7" s="4"/>
      <c r="AT7" s="4"/>
      <c r="AV7" s="72">
        <v>9.9999999999999997E+98</v>
      </c>
      <c r="AW7" s="10">
        <v>0.5</v>
      </c>
      <c r="AX7" s="21">
        <v>460000000</v>
      </c>
      <c r="BD7" s="148" t="s">
        <v>72</v>
      </c>
    </row>
    <row r="8" spans="1:56" ht="16.5" customHeight="1">
      <c r="A8" s="487" t="s">
        <v>145</v>
      </c>
      <c r="B8" s="485"/>
      <c r="C8" s="486"/>
      <c r="D8" s="4"/>
      <c r="E8" s="4"/>
      <c r="G8" s="3"/>
      <c r="H8" s="3" t="s">
        <v>18</v>
      </c>
      <c r="I8" s="37">
        <v>0.7</v>
      </c>
      <c r="L8" s="14">
        <v>9400000000</v>
      </c>
      <c r="M8" s="19">
        <v>0.02</v>
      </c>
      <c r="N8" s="14">
        <v>36000000</v>
      </c>
      <c r="O8" s="16">
        <v>0.04</v>
      </c>
      <c r="P8" s="14">
        <v>89400000</v>
      </c>
      <c r="R8" s="3" t="s">
        <v>121</v>
      </c>
      <c r="S8" s="3" t="s">
        <v>112</v>
      </c>
      <c r="T8" s="3" t="s">
        <v>128</v>
      </c>
      <c r="W8" s="7"/>
      <c r="X8" s="7"/>
      <c r="Y8" s="7"/>
      <c r="AB8" s="21">
        <v>500000000</v>
      </c>
      <c r="AC8" s="9">
        <v>0.4</v>
      </c>
      <c r="AD8" s="21">
        <v>25940000</v>
      </c>
      <c r="AE8" s="9">
        <v>0.5</v>
      </c>
      <c r="AF8" s="21">
        <v>25940000</v>
      </c>
      <c r="AG8" s="9">
        <v>0.6</v>
      </c>
      <c r="AH8" s="21">
        <v>25940000</v>
      </c>
      <c r="AI8" s="9">
        <v>0.7</v>
      </c>
      <c r="AJ8" s="21">
        <v>25940000</v>
      </c>
      <c r="AL8" s="11" t="s">
        <v>146</v>
      </c>
      <c r="AM8" s="11"/>
      <c r="AN8" s="15">
        <v>2000000000</v>
      </c>
      <c r="AO8" s="15">
        <v>1000000000</v>
      </c>
      <c r="AP8" s="11"/>
      <c r="AS8" s="4"/>
      <c r="AT8" s="4"/>
      <c r="BD8" s="148" t="s">
        <v>252</v>
      </c>
    </row>
    <row r="9" spans="1:56" ht="16.5" customHeight="1">
      <c r="A9" s="14" t="s">
        <v>121</v>
      </c>
      <c r="B9" s="3" t="s">
        <v>62</v>
      </c>
      <c r="C9" s="14" t="s">
        <v>130</v>
      </c>
      <c r="E9" s="4"/>
      <c r="G9" s="3"/>
      <c r="H9" s="3" t="s">
        <v>21</v>
      </c>
      <c r="I9" s="37">
        <v>0.7</v>
      </c>
      <c r="L9" s="71">
        <v>9.9999999999999997E+98</v>
      </c>
      <c r="M9" s="19">
        <v>2.7E-2</v>
      </c>
      <c r="N9" s="14">
        <v>101800000</v>
      </c>
      <c r="O9" s="17">
        <v>0.05</v>
      </c>
      <c r="P9" s="14">
        <v>183400000</v>
      </c>
      <c r="R9" s="14">
        <v>20000000000</v>
      </c>
      <c r="S9" s="19">
        <v>5.0000000000000001E-3</v>
      </c>
      <c r="T9" s="14">
        <v>0</v>
      </c>
      <c r="W9" s="7"/>
      <c r="X9" s="7"/>
      <c r="Y9" s="7"/>
      <c r="AB9" s="21">
        <v>1000000000</v>
      </c>
      <c r="AC9" s="9">
        <v>0.42</v>
      </c>
      <c r="AD9" s="21">
        <v>35940000</v>
      </c>
      <c r="AE9" s="9">
        <v>0.52</v>
      </c>
      <c r="AF9" s="21">
        <v>35940000</v>
      </c>
      <c r="AG9" s="9">
        <v>0.62</v>
      </c>
      <c r="AH9" s="21">
        <v>35940000</v>
      </c>
      <c r="AI9" s="9">
        <v>0.72</v>
      </c>
      <c r="AJ9" s="21">
        <v>35940000</v>
      </c>
      <c r="AS9" s="4"/>
      <c r="AT9" s="4"/>
      <c r="BD9" s="148" t="s">
        <v>70</v>
      </c>
    </row>
    <row r="10" spans="1:56" ht="16.5" customHeight="1">
      <c r="A10" s="14">
        <v>150000000</v>
      </c>
      <c r="B10" s="17">
        <v>2E-3</v>
      </c>
      <c r="C10" s="14">
        <v>0</v>
      </c>
      <c r="D10" s="26"/>
      <c r="E10" s="4"/>
      <c r="G10" s="3"/>
      <c r="H10" s="3"/>
      <c r="I10" s="3"/>
      <c r="R10" s="14">
        <v>40000000000</v>
      </c>
      <c r="S10" s="19">
        <v>6.0000000000000001E-3</v>
      </c>
      <c r="T10" s="14">
        <v>20000000</v>
      </c>
      <c r="AB10" s="71">
        <v>9.9999999999999997E+98</v>
      </c>
      <c r="AC10" s="9">
        <v>0.45</v>
      </c>
      <c r="AD10" s="21">
        <v>65940000</v>
      </c>
      <c r="AE10" s="9">
        <v>0.55000000000000004</v>
      </c>
      <c r="AF10" s="21">
        <v>65940000</v>
      </c>
      <c r="AG10" s="9">
        <v>0.65</v>
      </c>
      <c r="AH10" s="21">
        <v>65940000</v>
      </c>
      <c r="AI10" s="9">
        <v>0.75</v>
      </c>
      <c r="AJ10" s="21">
        <v>65940000</v>
      </c>
      <c r="AS10" s="4"/>
      <c r="AT10" s="4"/>
    </row>
    <row r="11" spans="1:56" ht="16.5" customHeight="1">
      <c r="A11" s="14">
        <v>500000000</v>
      </c>
      <c r="B11" s="17">
        <v>3.0000000000000001E-3</v>
      </c>
      <c r="C11" s="14">
        <v>50000</v>
      </c>
      <c r="D11" s="4"/>
      <c r="E11" s="4"/>
      <c r="G11" s="3"/>
      <c r="H11" s="3"/>
      <c r="I11" s="3"/>
      <c r="L11" s="484" t="s">
        <v>148</v>
      </c>
      <c r="M11" s="485"/>
      <c r="N11" s="485"/>
      <c r="O11" s="485"/>
      <c r="P11" s="486"/>
      <c r="R11" s="71">
        <v>9.9999999999999997E+98</v>
      </c>
      <c r="S11" s="19">
        <v>7.0000000000000001E-3</v>
      </c>
      <c r="T11" s="14">
        <v>60000000</v>
      </c>
      <c r="AS11" s="4"/>
      <c r="AT11" s="4"/>
    </row>
    <row r="12" spans="1:56" ht="16.5" customHeight="1">
      <c r="A12" s="71">
        <v>9.9999999999999997E+98</v>
      </c>
      <c r="B12" s="17">
        <v>4.0000000000000001E-3</v>
      </c>
      <c r="C12" s="14">
        <v>250000</v>
      </c>
      <c r="E12" s="4"/>
      <c r="G12" s="3"/>
      <c r="H12" s="3"/>
      <c r="I12" s="3"/>
      <c r="L12" s="3" t="s">
        <v>121</v>
      </c>
      <c r="M12" s="3" t="s">
        <v>149</v>
      </c>
      <c r="N12" s="3" t="s">
        <v>150</v>
      </c>
      <c r="O12" s="3" t="s">
        <v>151</v>
      </c>
      <c r="P12" s="3" t="s">
        <v>152</v>
      </c>
      <c r="AS12" s="4"/>
      <c r="AT12" s="4"/>
    </row>
    <row r="13" spans="1:56" ht="16.5" customHeight="1">
      <c r="A13" s="4"/>
      <c r="C13" s="4"/>
      <c r="E13" s="4"/>
      <c r="G13" s="3"/>
      <c r="H13" s="3"/>
      <c r="I13" s="3"/>
      <c r="L13" s="14">
        <v>300000000</v>
      </c>
      <c r="M13" s="19">
        <v>5.0000000000000001E-3</v>
      </c>
      <c r="N13" s="14">
        <v>0</v>
      </c>
      <c r="O13" s="19">
        <v>5.0000000000000001E-3</v>
      </c>
      <c r="P13" s="14">
        <v>0</v>
      </c>
      <c r="AS13" s="4"/>
      <c r="AT13" s="4"/>
    </row>
    <row r="14" spans="1:56" ht="16.5" customHeight="1">
      <c r="A14" s="487" t="s">
        <v>153</v>
      </c>
      <c r="B14" s="485"/>
      <c r="C14" s="486"/>
      <c r="E14" s="4"/>
      <c r="G14" s="3"/>
      <c r="H14" s="3"/>
      <c r="I14" s="3"/>
      <c r="L14" s="14">
        <v>600000000</v>
      </c>
      <c r="M14" s="19">
        <v>7.0000000000000001E-3</v>
      </c>
      <c r="N14" s="14">
        <v>600000</v>
      </c>
      <c r="O14" s="19">
        <v>7.0000000000000001E-3</v>
      </c>
      <c r="P14" s="14">
        <v>600000</v>
      </c>
      <c r="AS14" s="4"/>
      <c r="AT14" s="4"/>
    </row>
    <row r="15" spans="1:56" ht="16.5" customHeight="1">
      <c r="A15" s="14" t="s">
        <v>121</v>
      </c>
      <c r="B15" s="3" t="s">
        <v>62</v>
      </c>
      <c r="C15" s="14" t="s">
        <v>130</v>
      </c>
      <c r="E15" s="4"/>
      <c r="G15" s="3"/>
      <c r="H15" s="3"/>
      <c r="I15" s="3"/>
      <c r="L15" s="14">
        <v>1200000000</v>
      </c>
      <c r="M15" s="19">
        <v>1.2999999999999999E-2</v>
      </c>
      <c r="N15" s="14">
        <v>4200000</v>
      </c>
      <c r="O15" s="73">
        <v>1.2999999999999999E-2</v>
      </c>
      <c r="P15" s="14">
        <v>4200000</v>
      </c>
      <c r="AS15" s="4"/>
      <c r="AT15" s="4"/>
    </row>
    <row r="16" spans="1:56" ht="16.5" customHeight="1">
      <c r="A16" s="14">
        <v>200000000</v>
      </c>
      <c r="B16" s="17">
        <v>2E-3</v>
      </c>
      <c r="C16" s="14">
        <v>0</v>
      </c>
      <c r="E16" s="4"/>
      <c r="G16" s="3"/>
      <c r="H16" s="3"/>
      <c r="I16" s="3"/>
      <c r="L16" s="14">
        <v>2500000000</v>
      </c>
      <c r="M16" s="19">
        <v>1.4999999999999999E-2</v>
      </c>
      <c r="N16" s="14">
        <v>6600000</v>
      </c>
      <c r="O16" s="19">
        <v>0.02</v>
      </c>
      <c r="P16" s="14">
        <v>12600000</v>
      </c>
      <c r="AS16" s="4"/>
      <c r="AT16" s="4"/>
    </row>
    <row r="17" spans="1:46" ht="16.5" customHeight="1">
      <c r="A17" s="14">
        <v>1000000000</v>
      </c>
      <c r="B17" s="17">
        <v>3.0000000000000001E-3</v>
      </c>
      <c r="C17" s="14">
        <v>200000</v>
      </c>
      <c r="E17" s="4"/>
      <c r="G17" s="3"/>
      <c r="H17" s="3"/>
      <c r="I17" s="3"/>
      <c r="L17" s="14">
        <v>5000000000</v>
      </c>
      <c r="M17" s="19">
        <v>0.02</v>
      </c>
      <c r="N17" s="14">
        <v>19100000</v>
      </c>
      <c r="O17" s="19">
        <v>0.03</v>
      </c>
      <c r="P17" s="14">
        <v>37600000</v>
      </c>
      <c r="AS17" s="4"/>
      <c r="AT17" s="4"/>
    </row>
    <row r="18" spans="1:46" ht="16.5" customHeight="1">
      <c r="A18" s="71">
        <v>9.9999999999999997E+98</v>
      </c>
      <c r="B18" s="17">
        <v>4.0000000000000001E-3</v>
      </c>
      <c r="C18" s="14">
        <v>1200000</v>
      </c>
      <c r="E18" s="4"/>
      <c r="G18" s="3"/>
      <c r="H18" s="3"/>
      <c r="I18" s="3"/>
      <c r="L18" s="14">
        <v>9400000000</v>
      </c>
      <c r="M18" s="19">
        <v>2.7E-2</v>
      </c>
      <c r="N18" s="14">
        <v>54100000</v>
      </c>
      <c r="O18" s="19">
        <v>0.04</v>
      </c>
      <c r="P18" s="14">
        <v>87600000</v>
      </c>
      <c r="AS18" s="4"/>
      <c r="AT18" s="4"/>
    </row>
    <row r="19" spans="1:46" ht="16.5" customHeight="1">
      <c r="A19" s="4"/>
      <c r="C19" s="4"/>
      <c r="E19" s="4"/>
      <c r="G19" s="3"/>
      <c r="H19" s="3"/>
      <c r="I19" s="3"/>
      <c r="L19" s="71">
        <v>9.9999999999999997E+98</v>
      </c>
      <c r="M19" s="19">
        <v>3.5000000000000003E-2</v>
      </c>
      <c r="N19" s="14">
        <v>129300000</v>
      </c>
      <c r="O19" s="19">
        <v>0.05</v>
      </c>
      <c r="P19" s="14">
        <v>181600000</v>
      </c>
      <c r="AS19" s="4"/>
      <c r="AT19" s="4"/>
    </row>
    <row r="20" spans="1:46" ht="16.5" customHeight="1">
      <c r="A20" s="487" t="s">
        <v>154</v>
      </c>
      <c r="B20" s="485"/>
      <c r="C20" s="486"/>
      <c r="E20" s="4"/>
      <c r="G20" s="3"/>
      <c r="H20" s="3"/>
      <c r="I20" s="3"/>
      <c r="AS20" s="4"/>
      <c r="AT20" s="4"/>
    </row>
    <row r="21" spans="1:46" ht="16.5" customHeight="1">
      <c r="A21" s="4" t="s">
        <v>155</v>
      </c>
      <c r="B21" s="24">
        <v>4.0000000000000001E-3</v>
      </c>
      <c r="C21" s="4"/>
      <c r="E21" s="4"/>
      <c r="G21" s="14"/>
      <c r="H21" s="14"/>
      <c r="I21" s="3"/>
      <c r="L21" s="484" t="s">
        <v>156</v>
      </c>
      <c r="M21" s="485"/>
      <c r="N21" s="486"/>
      <c r="O21" s="4"/>
      <c r="P21" s="4"/>
      <c r="Q21" s="4"/>
      <c r="U21" s="4"/>
      <c r="V21" s="4"/>
      <c r="AS21" s="4"/>
      <c r="AT21" s="4"/>
    </row>
    <row r="22" spans="1:46" ht="16.5" customHeight="1">
      <c r="A22" s="4" t="s">
        <v>157</v>
      </c>
      <c r="B22" s="24">
        <v>5.0000000000000001E-4</v>
      </c>
      <c r="C22" s="4"/>
      <c r="E22" s="4"/>
      <c r="G22" s="3"/>
      <c r="H22" s="3"/>
      <c r="I22" s="3"/>
      <c r="L22" s="3" t="s">
        <v>121</v>
      </c>
      <c r="M22" s="3" t="s">
        <v>158</v>
      </c>
      <c r="N22" s="3" t="s">
        <v>159</v>
      </c>
      <c r="O22" s="3"/>
      <c r="P22" s="3"/>
      <c r="AS22" s="4"/>
      <c r="AT22" s="4"/>
    </row>
    <row r="23" spans="1:46" ht="16.5" customHeight="1">
      <c r="A23" s="4" t="s">
        <v>72</v>
      </c>
      <c r="B23" s="24">
        <v>2.5000000000000001E-3</v>
      </c>
      <c r="C23" s="4"/>
      <c r="E23" s="4"/>
      <c r="G23" s="3"/>
      <c r="H23" s="3"/>
      <c r="I23" s="3"/>
      <c r="L23" s="14">
        <v>300000000</v>
      </c>
      <c r="M23" s="19">
        <v>5.0000000000000001E-3</v>
      </c>
      <c r="N23" s="14">
        <v>0</v>
      </c>
      <c r="O23" s="19"/>
      <c r="P23" s="14"/>
      <c r="AS23" s="4"/>
      <c r="AT23" s="4"/>
    </row>
    <row r="24" spans="1:46" ht="16.5" customHeight="1">
      <c r="A24" s="4"/>
      <c r="C24" s="4"/>
      <c r="E24" s="4"/>
      <c r="G24" s="3"/>
      <c r="H24" s="3"/>
      <c r="I24" s="3"/>
      <c r="L24" s="14">
        <v>600000000</v>
      </c>
      <c r="M24" s="19">
        <v>7.0000000000000001E-3</v>
      </c>
      <c r="N24" s="14">
        <v>600000</v>
      </c>
      <c r="O24" s="19"/>
      <c r="P24" s="14"/>
      <c r="AS24" s="4"/>
      <c r="AT24" s="4"/>
    </row>
    <row r="25" spans="1:46" ht="16.5" customHeight="1">
      <c r="A25" s="487" t="s">
        <v>93</v>
      </c>
      <c r="B25" s="485"/>
      <c r="C25" s="486"/>
      <c r="E25" s="4"/>
      <c r="G25" s="3"/>
      <c r="H25" s="3"/>
      <c r="I25" s="3"/>
      <c r="L25" s="14">
        <v>1200000000</v>
      </c>
      <c r="M25" s="19">
        <v>1.2999999999999999E-2</v>
      </c>
      <c r="N25" s="14">
        <v>4200000</v>
      </c>
      <c r="O25" s="19"/>
      <c r="P25" s="14"/>
      <c r="AS25" s="4"/>
      <c r="AT25" s="4"/>
    </row>
    <row r="26" spans="1:46" ht="16.5" customHeight="1">
      <c r="A26" s="75" t="s">
        <v>121</v>
      </c>
      <c r="B26" s="75" t="s">
        <v>62</v>
      </c>
      <c r="C26" s="75" t="s">
        <v>290</v>
      </c>
      <c r="E26" s="4"/>
      <c r="G26" s="3"/>
      <c r="H26" s="3"/>
      <c r="I26" s="3"/>
      <c r="L26" s="14">
        <v>2500000000</v>
      </c>
      <c r="M26" s="19">
        <v>0.02</v>
      </c>
      <c r="N26" s="14">
        <v>12600000</v>
      </c>
      <c r="O26" s="19"/>
      <c r="P26" s="14"/>
      <c r="AS26" s="4"/>
      <c r="AT26" s="4"/>
    </row>
    <row r="27" spans="1:46" ht="16.5" customHeight="1">
      <c r="A27" s="76">
        <v>6000000</v>
      </c>
      <c r="B27" s="77">
        <v>4.0000000000000002E-4</v>
      </c>
      <c r="C27" s="75">
        <v>0</v>
      </c>
      <c r="E27" s="4"/>
      <c r="G27" s="3"/>
      <c r="H27" s="3"/>
      <c r="I27" s="3"/>
      <c r="L27" s="14">
        <v>5000000000</v>
      </c>
      <c r="M27" s="19">
        <v>0.03</v>
      </c>
      <c r="N27" s="14">
        <v>37600000</v>
      </c>
      <c r="O27" s="19"/>
      <c r="P27" s="14"/>
      <c r="AS27" s="4"/>
      <c r="AT27" s="4"/>
    </row>
    <row r="28" spans="1:46" ht="16.5" customHeight="1">
      <c r="A28" s="76">
        <v>13000000</v>
      </c>
      <c r="B28" s="77">
        <v>5.0000000000000001E-4</v>
      </c>
      <c r="C28" s="75">
        <v>600</v>
      </c>
      <c r="E28" s="4"/>
      <c r="G28" s="3"/>
      <c r="H28" s="3"/>
      <c r="I28" s="3"/>
      <c r="L28" s="14">
        <v>9400000000</v>
      </c>
      <c r="M28" s="19">
        <v>0.04</v>
      </c>
      <c r="N28" s="14">
        <v>87600000</v>
      </c>
      <c r="O28" s="19"/>
      <c r="P28" s="14"/>
      <c r="AS28" s="4"/>
      <c r="AT28" s="4"/>
    </row>
    <row r="29" spans="1:46" ht="16.5" customHeight="1">
      <c r="A29" s="76">
        <v>26000000</v>
      </c>
      <c r="B29" s="77">
        <v>5.9999999999999995E-4</v>
      </c>
      <c r="C29" s="76">
        <v>1900</v>
      </c>
      <c r="E29" s="4"/>
      <c r="G29" s="3"/>
      <c r="H29" s="3"/>
      <c r="I29" s="3"/>
      <c r="L29" s="71">
        <v>9.9999999999999997E+98</v>
      </c>
      <c r="M29" s="19">
        <v>0.05</v>
      </c>
      <c r="N29" s="14">
        <v>181600000</v>
      </c>
      <c r="O29" s="19"/>
      <c r="P29" s="14"/>
      <c r="AS29" s="4"/>
      <c r="AT29" s="4"/>
    </row>
    <row r="30" spans="1:46" ht="16.5" customHeight="1">
      <c r="A30" s="76">
        <v>39000000</v>
      </c>
      <c r="B30" s="77">
        <v>8.0000000000000004E-4</v>
      </c>
      <c r="C30" s="76">
        <v>7100</v>
      </c>
      <c r="E30" s="4"/>
      <c r="G30" s="3"/>
      <c r="H30" s="3"/>
      <c r="I30" s="3"/>
      <c r="AS30" s="4"/>
      <c r="AT30" s="4"/>
    </row>
    <row r="31" spans="1:46" ht="16.5" customHeight="1">
      <c r="A31" s="76">
        <v>64000000</v>
      </c>
      <c r="B31" s="77">
        <v>1E-3</v>
      </c>
      <c r="C31" s="76">
        <v>14900</v>
      </c>
      <c r="E31" s="199">
        <f>(220426399-A31)*0.12%+27700</f>
        <v>215411.67879999999</v>
      </c>
      <c r="G31" s="3"/>
      <c r="H31" s="3"/>
      <c r="I31" s="3"/>
      <c r="AS31" s="4"/>
      <c r="AT31" s="4"/>
    </row>
    <row r="32" spans="1:46" ht="16.5" customHeight="1">
      <c r="A32" s="71">
        <v>9.9999999999999997E+98</v>
      </c>
      <c r="B32" s="77">
        <v>1.1999999999999999E-3</v>
      </c>
      <c r="C32" s="76">
        <v>27700</v>
      </c>
      <c r="E32" s="4"/>
      <c r="G32" s="3"/>
      <c r="H32" s="3"/>
      <c r="I32" s="3"/>
      <c r="AS32" s="4"/>
      <c r="AT32" s="4"/>
    </row>
    <row r="33" spans="1:46" ht="16.5" customHeight="1">
      <c r="A33" s="4"/>
      <c r="C33" s="4"/>
      <c r="E33" s="4"/>
      <c r="G33" s="3"/>
      <c r="H33" s="3"/>
      <c r="I33" s="3"/>
      <c r="AS33" s="4"/>
      <c r="AT33" s="4"/>
    </row>
    <row r="34" spans="1:46" ht="16.5" customHeight="1">
      <c r="A34" s="4"/>
      <c r="C34" s="4"/>
      <c r="E34" s="4"/>
      <c r="G34" s="3"/>
      <c r="H34" s="3"/>
      <c r="I34" s="3"/>
      <c r="AS34" s="4"/>
      <c r="AT34" s="4"/>
    </row>
    <row r="35" spans="1:46" ht="16.5" customHeight="1">
      <c r="A35" s="4"/>
      <c r="C35" s="4"/>
      <c r="E35" s="4"/>
      <c r="G35" s="3"/>
      <c r="H35" s="3"/>
      <c r="I35" s="3"/>
      <c r="AS35" s="4"/>
      <c r="AT35" s="4"/>
    </row>
    <row r="36" spans="1:46" ht="16.5" customHeight="1">
      <c r="A36" s="4"/>
      <c r="C36" s="4"/>
      <c r="E36" s="4"/>
      <c r="G36" s="3"/>
      <c r="H36" s="3"/>
      <c r="I36" s="3"/>
      <c r="AS36" s="4"/>
      <c r="AT36" s="4"/>
    </row>
    <row r="37" spans="1:46" ht="16.5" customHeight="1">
      <c r="A37" s="4"/>
      <c r="C37" s="4"/>
      <c r="E37" s="4"/>
      <c r="G37" s="3"/>
      <c r="H37" s="3"/>
      <c r="I37" s="3"/>
      <c r="AS37" s="4"/>
      <c r="AT37" s="4"/>
    </row>
    <row r="38" spans="1:46" ht="16.5" customHeight="1">
      <c r="A38" s="4"/>
      <c r="C38" s="4"/>
      <c r="E38" s="4"/>
      <c r="G38" s="3"/>
      <c r="H38" s="3"/>
      <c r="I38" s="3"/>
      <c r="AS38" s="4"/>
      <c r="AT38" s="4"/>
    </row>
    <row r="39" spans="1:46" ht="16.5" customHeight="1">
      <c r="A39" s="4"/>
      <c r="C39" s="4"/>
      <c r="E39" s="4"/>
      <c r="G39" s="3"/>
      <c r="H39" s="3"/>
      <c r="I39" s="3"/>
      <c r="AS39" s="4"/>
      <c r="AT39" s="4"/>
    </row>
    <row r="40" spans="1:46" ht="16.5" customHeight="1">
      <c r="A40" s="4"/>
      <c r="C40" s="4"/>
      <c r="E40" s="4"/>
      <c r="G40" s="3"/>
      <c r="H40" s="3"/>
      <c r="I40" s="3"/>
      <c r="AS40" s="4"/>
      <c r="AT40" s="4"/>
    </row>
    <row r="41" spans="1:46" ht="16.5" customHeight="1">
      <c r="A41" s="4"/>
      <c r="C41" s="4"/>
      <c r="E41" s="4"/>
      <c r="G41" s="3"/>
      <c r="H41" s="3"/>
      <c r="I41" s="3"/>
      <c r="AS41" s="4"/>
      <c r="AT41" s="4"/>
    </row>
    <row r="42" spans="1:46" ht="16.5" customHeight="1">
      <c r="A42" s="4"/>
      <c r="C42" s="4"/>
      <c r="E42" s="4"/>
      <c r="G42" s="3"/>
      <c r="H42" s="3"/>
      <c r="I42" s="3"/>
      <c r="AS42" s="4"/>
      <c r="AT42" s="4"/>
    </row>
    <row r="43" spans="1:46" ht="16.5" customHeight="1">
      <c r="A43" s="4"/>
      <c r="C43" s="4"/>
      <c r="E43" s="4"/>
      <c r="G43" s="3"/>
      <c r="H43" s="3"/>
      <c r="I43" s="3"/>
      <c r="AS43" s="4"/>
      <c r="AT43" s="4"/>
    </row>
    <row r="44" spans="1:46" ht="16.5" customHeight="1">
      <c r="A44" s="4"/>
      <c r="C44" s="4"/>
      <c r="E44" s="4"/>
      <c r="G44" s="3"/>
      <c r="H44" s="3"/>
      <c r="I44" s="3"/>
      <c r="AS44" s="4"/>
      <c r="AT44" s="4"/>
    </row>
    <row r="45" spans="1:46" ht="16.5" customHeight="1">
      <c r="A45" s="4"/>
      <c r="C45" s="4"/>
      <c r="E45" s="4"/>
      <c r="G45" s="3"/>
      <c r="H45" s="3"/>
      <c r="I45" s="3"/>
      <c r="AS45" s="4"/>
      <c r="AT45" s="4"/>
    </row>
    <row r="46" spans="1:46" ht="16.5" customHeight="1">
      <c r="A46" s="4"/>
      <c r="C46" s="4"/>
      <c r="E46" s="4"/>
      <c r="G46" s="3"/>
      <c r="H46" s="3"/>
      <c r="I46" s="3"/>
      <c r="AS46" s="4"/>
      <c r="AT46" s="4"/>
    </row>
    <row r="47" spans="1:46" ht="16.5" customHeight="1">
      <c r="A47" s="4"/>
      <c r="C47" s="4"/>
      <c r="E47" s="4"/>
      <c r="G47" s="3"/>
      <c r="H47" s="3"/>
      <c r="I47" s="3"/>
      <c r="AS47" s="4"/>
      <c r="AT47" s="4"/>
    </row>
    <row r="48" spans="1:46" ht="16.5" customHeight="1">
      <c r="A48" s="4"/>
      <c r="C48" s="4"/>
      <c r="E48" s="4"/>
      <c r="G48" s="3"/>
      <c r="H48" s="3"/>
      <c r="I48" s="3"/>
      <c r="AS48" s="4"/>
      <c r="AT48" s="4"/>
    </row>
    <row r="49" spans="1:46" ht="16.5" customHeight="1">
      <c r="A49" s="4"/>
      <c r="C49" s="4"/>
      <c r="E49" s="4"/>
      <c r="G49" s="3"/>
      <c r="H49" s="3"/>
      <c r="I49" s="3"/>
      <c r="AS49" s="4"/>
      <c r="AT49" s="4"/>
    </row>
    <row r="50" spans="1:46" ht="16.5" customHeight="1">
      <c r="A50" s="4"/>
      <c r="C50" s="4"/>
      <c r="E50" s="4"/>
      <c r="G50" s="3"/>
      <c r="H50" s="3"/>
      <c r="I50" s="3"/>
      <c r="AS50" s="4"/>
      <c r="AT50" s="4"/>
    </row>
    <row r="51" spans="1:46" ht="16.5" customHeight="1">
      <c r="A51" s="4"/>
      <c r="C51" s="4"/>
      <c r="E51" s="4"/>
      <c r="G51" s="3"/>
      <c r="H51" s="3"/>
      <c r="I51" s="3"/>
      <c r="AS51" s="4"/>
      <c r="AT51" s="4"/>
    </row>
    <row r="52" spans="1:46" ht="16.5" customHeight="1">
      <c r="A52" s="4"/>
      <c r="C52" s="4"/>
      <c r="E52" s="4"/>
      <c r="G52" s="3"/>
      <c r="H52" s="3"/>
      <c r="I52" s="3"/>
      <c r="AS52" s="4"/>
      <c r="AT52" s="4"/>
    </row>
    <row r="53" spans="1:46" ht="16.5" customHeight="1">
      <c r="A53" s="4"/>
      <c r="C53" s="4"/>
      <c r="E53" s="4"/>
      <c r="G53" s="3"/>
      <c r="H53" s="3"/>
      <c r="I53" s="3"/>
      <c r="AS53" s="4"/>
      <c r="AT53" s="4"/>
    </row>
    <row r="54" spans="1:46" ht="16.5" customHeight="1">
      <c r="A54" s="4"/>
      <c r="C54" s="4"/>
      <c r="E54" s="4"/>
      <c r="G54" s="3"/>
      <c r="H54" s="3"/>
      <c r="I54" s="3"/>
      <c r="AS54" s="4"/>
      <c r="AT54" s="4"/>
    </row>
    <row r="55" spans="1:46" ht="16.5" customHeight="1">
      <c r="A55" s="4"/>
      <c r="C55" s="4"/>
      <c r="E55" s="4"/>
      <c r="G55" s="3"/>
      <c r="H55" s="3"/>
      <c r="I55" s="3"/>
      <c r="AS55" s="4"/>
      <c r="AT55" s="4"/>
    </row>
    <row r="56" spans="1:46" ht="16.5" customHeight="1">
      <c r="A56" s="4"/>
      <c r="C56" s="4"/>
      <c r="E56" s="4"/>
      <c r="G56" s="3"/>
      <c r="H56" s="3"/>
      <c r="I56" s="3"/>
      <c r="AS56" s="4"/>
      <c r="AT56" s="4"/>
    </row>
    <row r="57" spans="1:46" ht="16.5" customHeight="1">
      <c r="A57" s="4"/>
      <c r="C57" s="4"/>
      <c r="E57" s="4"/>
      <c r="G57" s="3"/>
      <c r="H57" s="3"/>
      <c r="I57" s="3"/>
      <c r="AS57" s="4"/>
      <c r="AT57" s="4"/>
    </row>
    <row r="58" spans="1:46" ht="16.5" customHeight="1">
      <c r="A58" s="4"/>
      <c r="C58" s="4"/>
      <c r="E58" s="4"/>
      <c r="G58" s="3"/>
      <c r="H58" s="3"/>
      <c r="I58" s="3"/>
      <c r="AS58" s="4"/>
      <c r="AT58" s="4"/>
    </row>
    <row r="59" spans="1:46" ht="16.5" customHeight="1">
      <c r="A59" s="4"/>
      <c r="C59" s="4"/>
      <c r="E59" s="4"/>
      <c r="G59" s="3"/>
      <c r="H59" s="3"/>
      <c r="I59" s="3"/>
      <c r="AS59" s="4"/>
      <c r="AT59" s="4"/>
    </row>
    <row r="60" spans="1:46" ht="16.5" customHeight="1">
      <c r="A60" s="4"/>
      <c r="C60" s="4"/>
      <c r="E60" s="4"/>
      <c r="G60" s="3"/>
      <c r="H60" s="3"/>
      <c r="I60" s="3"/>
      <c r="AS60" s="4"/>
      <c r="AT60" s="4"/>
    </row>
    <row r="61" spans="1:46" ht="16.5" customHeight="1">
      <c r="A61" s="4"/>
      <c r="C61" s="4"/>
      <c r="E61" s="4"/>
      <c r="G61" s="3"/>
      <c r="H61" s="3"/>
      <c r="I61" s="3"/>
      <c r="AS61" s="4"/>
      <c r="AT61" s="4"/>
    </row>
    <row r="62" spans="1:46" ht="16.5" customHeight="1">
      <c r="A62" s="4"/>
      <c r="C62" s="4"/>
      <c r="E62" s="4"/>
      <c r="G62" s="3"/>
      <c r="H62" s="3"/>
      <c r="I62" s="3"/>
      <c r="AS62" s="4"/>
      <c r="AT62" s="4"/>
    </row>
    <row r="63" spans="1:46" ht="16.5" customHeight="1">
      <c r="A63" s="4"/>
      <c r="C63" s="4"/>
      <c r="E63" s="4"/>
      <c r="G63" s="3"/>
      <c r="H63" s="3"/>
      <c r="I63" s="3"/>
      <c r="AS63" s="4"/>
      <c r="AT63" s="4"/>
    </row>
    <row r="64" spans="1:46" ht="16.5" customHeight="1">
      <c r="A64" s="4"/>
      <c r="C64" s="4"/>
      <c r="E64" s="4"/>
      <c r="G64" s="3"/>
      <c r="H64" s="3"/>
      <c r="I64" s="3"/>
      <c r="AS64" s="4"/>
      <c r="AT64" s="4"/>
    </row>
    <row r="65" spans="1:46" ht="16.5" customHeight="1">
      <c r="A65" s="4"/>
      <c r="C65" s="4"/>
      <c r="E65" s="4"/>
      <c r="G65" s="3"/>
      <c r="H65" s="3"/>
      <c r="I65" s="3"/>
      <c r="AS65" s="4"/>
      <c r="AT65" s="4"/>
    </row>
    <row r="66" spans="1:46" ht="16.5" customHeight="1">
      <c r="A66" s="4"/>
      <c r="C66" s="4"/>
      <c r="E66" s="4"/>
      <c r="G66" s="3"/>
      <c r="H66" s="3"/>
      <c r="I66" s="3"/>
      <c r="AS66" s="4"/>
      <c r="AT66" s="4"/>
    </row>
    <row r="67" spans="1:46" ht="16.5" customHeight="1">
      <c r="A67" s="4"/>
      <c r="C67" s="4"/>
      <c r="E67" s="4"/>
      <c r="G67" s="3"/>
      <c r="H67" s="3"/>
      <c r="I67" s="3"/>
      <c r="AS67" s="4"/>
      <c r="AT67" s="4"/>
    </row>
    <row r="68" spans="1:46" ht="16.5" customHeight="1">
      <c r="A68" s="4"/>
      <c r="C68" s="4"/>
      <c r="E68" s="4"/>
      <c r="G68" s="3"/>
      <c r="H68" s="3"/>
      <c r="I68" s="3"/>
      <c r="AS68" s="4"/>
      <c r="AT68" s="4"/>
    </row>
    <row r="69" spans="1:46" ht="16.5" customHeight="1">
      <c r="A69" s="4"/>
      <c r="C69" s="4"/>
      <c r="E69" s="4"/>
      <c r="G69" s="3"/>
      <c r="H69" s="3"/>
      <c r="I69" s="3"/>
      <c r="AS69" s="4"/>
      <c r="AT69" s="4"/>
    </row>
    <row r="70" spans="1:46" ht="16.5" customHeight="1">
      <c r="A70" s="4"/>
      <c r="C70" s="4"/>
      <c r="E70" s="4"/>
      <c r="G70" s="3"/>
      <c r="H70" s="3"/>
      <c r="I70" s="3"/>
      <c r="AS70" s="4"/>
      <c r="AT70" s="4"/>
    </row>
    <row r="71" spans="1:46" ht="16.5" customHeight="1">
      <c r="A71" s="4"/>
      <c r="C71" s="4"/>
      <c r="E71" s="4"/>
      <c r="G71" s="3"/>
      <c r="H71" s="3"/>
      <c r="I71" s="3"/>
      <c r="AS71" s="4"/>
      <c r="AT71" s="4"/>
    </row>
    <row r="72" spans="1:46" ht="16.5" customHeight="1">
      <c r="A72" s="4"/>
      <c r="C72" s="4"/>
      <c r="E72" s="4"/>
      <c r="G72" s="3"/>
      <c r="H72" s="3"/>
      <c r="I72" s="3"/>
      <c r="AS72" s="4"/>
      <c r="AT72" s="4"/>
    </row>
    <row r="73" spans="1:46" ht="16.5" customHeight="1">
      <c r="A73" s="4"/>
      <c r="C73" s="4"/>
      <c r="E73" s="4"/>
      <c r="G73" s="3"/>
      <c r="H73" s="3"/>
      <c r="I73" s="3"/>
      <c r="AS73" s="4"/>
      <c r="AT73" s="4"/>
    </row>
    <row r="74" spans="1:46" ht="16.5" customHeight="1">
      <c r="A74" s="4"/>
      <c r="C74" s="4"/>
      <c r="E74" s="4"/>
      <c r="G74" s="3"/>
      <c r="H74" s="3"/>
      <c r="I74" s="3"/>
      <c r="AS74" s="4"/>
      <c r="AT74" s="4"/>
    </row>
    <row r="75" spans="1:46" ht="16.5" customHeight="1">
      <c r="A75" s="4"/>
      <c r="C75" s="4"/>
      <c r="E75" s="4"/>
      <c r="G75" s="3"/>
      <c r="H75" s="3"/>
      <c r="I75" s="3"/>
      <c r="AS75" s="4"/>
      <c r="AT75" s="4"/>
    </row>
    <row r="76" spans="1:46" ht="16.5" customHeight="1">
      <c r="A76" s="4"/>
      <c r="C76" s="4"/>
      <c r="E76" s="4"/>
      <c r="G76" s="3"/>
      <c r="H76" s="3"/>
      <c r="I76" s="3"/>
      <c r="AS76" s="4"/>
      <c r="AT76" s="4"/>
    </row>
    <row r="77" spans="1:46" ht="16.5" customHeight="1">
      <c r="A77" s="4"/>
      <c r="C77" s="4"/>
      <c r="E77" s="4"/>
      <c r="G77" s="3"/>
      <c r="H77" s="3"/>
      <c r="I77" s="3"/>
      <c r="AS77" s="4"/>
      <c r="AT77" s="4"/>
    </row>
    <row r="78" spans="1:46" ht="16.5" customHeight="1">
      <c r="A78" s="4"/>
      <c r="C78" s="4"/>
      <c r="E78" s="4"/>
      <c r="G78" s="3"/>
      <c r="H78" s="3"/>
      <c r="I78" s="3"/>
      <c r="AS78" s="4"/>
      <c r="AT78" s="4"/>
    </row>
    <row r="79" spans="1:46" ht="16.5" customHeight="1">
      <c r="A79" s="4"/>
      <c r="C79" s="4"/>
      <c r="E79" s="4"/>
      <c r="G79" s="3"/>
      <c r="H79" s="3"/>
      <c r="I79" s="3"/>
      <c r="AS79" s="4"/>
      <c r="AT79" s="4"/>
    </row>
    <row r="80" spans="1:46" ht="16.5" customHeight="1">
      <c r="A80" s="4"/>
      <c r="C80" s="4"/>
      <c r="E80" s="4"/>
      <c r="G80" s="3"/>
      <c r="H80" s="3"/>
      <c r="I80" s="3"/>
      <c r="AS80" s="4"/>
      <c r="AT80" s="4"/>
    </row>
    <row r="81" spans="1:46" ht="16.5" customHeight="1">
      <c r="A81" s="4"/>
      <c r="C81" s="4"/>
      <c r="E81" s="4"/>
      <c r="G81" s="3"/>
      <c r="H81" s="3"/>
      <c r="I81" s="3"/>
      <c r="AS81" s="4"/>
      <c r="AT81" s="4"/>
    </row>
    <row r="82" spans="1:46" ht="16.5" customHeight="1">
      <c r="A82" s="4"/>
      <c r="C82" s="4"/>
      <c r="E82" s="4"/>
      <c r="G82" s="3"/>
      <c r="H82" s="3"/>
      <c r="I82" s="3"/>
      <c r="AS82" s="4"/>
      <c r="AT82" s="4"/>
    </row>
    <row r="83" spans="1:46" ht="16.5" customHeight="1">
      <c r="A83" s="4"/>
      <c r="C83" s="4"/>
      <c r="E83" s="4"/>
      <c r="G83" s="3"/>
      <c r="H83" s="3"/>
      <c r="I83" s="3"/>
      <c r="AS83" s="4"/>
      <c r="AT83" s="4"/>
    </row>
    <row r="84" spans="1:46" ht="16.5" customHeight="1">
      <c r="A84" s="4"/>
      <c r="C84" s="4"/>
      <c r="E84" s="4"/>
      <c r="G84" s="3"/>
      <c r="H84" s="3"/>
      <c r="I84" s="3"/>
      <c r="AS84" s="4"/>
      <c r="AT84" s="4"/>
    </row>
    <row r="85" spans="1:46" ht="16.5" customHeight="1">
      <c r="A85" s="4"/>
      <c r="C85" s="4"/>
      <c r="E85" s="4"/>
      <c r="G85" s="3"/>
      <c r="H85" s="3"/>
      <c r="I85" s="3"/>
      <c r="AS85" s="4"/>
      <c r="AT85" s="4"/>
    </row>
    <row r="86" spans="1:46" ht="16.5" customHeight="1">
      <c r="A86" s="4"/>
      <c r="C86" s="4"/>
      <c r="E86" s="4"/>
      <c r="G86" s="3"/>
      <c r="H86" s="3"/>
      <c r="I86" s="3"/>
      <c r="AS86" s="4"/>
      <c r="AT86" s="4"/>
    </row>
    <row r="87" spans="1:46" ht="16.5" customHeight="1">
      <c r="A87" s="4"/>
      <c r="C87" s="4"/>
      <c r="E87" s="4"/>
      <c r="G87" s="3"/>
      <c r="H87" s="3"/>
      <c r="I87" s="3"/>
      <c r="AS87" s="4"/>
      <c r="AT87" s="4"/>
    </row>
    <row r="88" spans="1:46" ht="16.5" customHeight="1">
      <c r="A88" s="4"/>
      <c r="C88" s="4"/>
      <c r="E88" s="4"/>
      <c r="G88" s="3"/>
      <c r="H88" s="3"/>
      <c r="I88" s="3"/>
      <c r="AS88" s="4"/>
      <c r="AT88" s="4"/>
    </row>
    <row r="89" spans="1:46" ht="16.5" customHeight="1">
      <c r="A89" s="4"/>
      <c r="C89" s="4"/>
      <c r="E89" s="4"/>
      <c r="G89" s="3"/>
      <c r="H89" s="3"/>
      <c r="I89" s="3"/>
      <c r="AS89" s="4"/>
      <c r="AT89" s="4"/>
    </row>
    <row r="90" spans="1:46" ht="16.5" customHeight="1">
      <c r="A90" s="4"/>
      <c r="C90" s="4"/>
      <c r="E90" s="4"/>
      <c r="G90" s="3"/>
      <c r="H90" s="3"/>
      <c r="I90" s="3"/>
      <c r="AS90" s="4"/>
      <c r="AT90" s="4"/>
    </row>
    <row r="91" spans="1:46" ht="16.5" customHeight="1">
      <c r="A91" s="4"/>
      <c r="C91" s="4"/>
      <c r="E91" s="4"/>
      <c r="G91" s="3"/>
      <c r="H91" s="3"/>
      <c r="I91" s="3"/>
      <c r="AS91" s="4"/>
      <c r="AT91" s="4"/>
    </row>
    <row r="92" spans="1:46" ht="16.5" customHeight="1">
      <c r="A92" s="4"/>
      <c r="C92" s="4"/>
      <c r="E92" s="4"/>
      <c r="G92" s="3"/>
      <c r="H92" s="3"/>
      <c r="I92" s="3"/>
      <c r="AS92" s="4"/>
      <c r="AT92" s="4"/>
    </row>
    <row r="93" spans="1:46" ht="16.5" customHeight="1">
      <c r="A93" s="4"/>
      <c r="C93" s="4"/>
      <c r="E93" s="4"/>
      <c r="G93" s="3"/>
      <c r="H93" s="3"/>
      <c r="I93" s="3"/>
      <c r="AS93" s="4"/>
      <c r="AT93" s="4"/>
    </row>
    <row r="94" spans="1:46" ht="16.5" customHeight="1">
      <c r="A94" s="4"/>
      <c r="C94" s="4"/>
      <c r="E94" s="4"/>
      <c r="G94" s="3"/>
      <c r="H94" s="3"/>
      <c r="I94" s="3"/>
      <c r="AS94" s="4"/>
      <c r="AT94" s="4"/>
    </row>
    <row r="95" spans="1:46" ht="16.5" customHeight="1">
      <c r="A95" s="4"/>
      <c r="C95" s="4"/>
      <c r="E95" s="4"/>
      <c r="G95" s="3"/>
      <c r="H95" s="3"/>
      <c r="I95" s="3"/>
      <c r="AS95" s="4"/>
      <c r="AT95" s="4"/>
    </row>
    <row r="96" spans="1:46" ht="16.5" customHeight="1">
      <c r="A96" s="4"/>
      <c r="C96" s="4"/>
      <c r="E96" s="4"/>
      <c r="G96" s="3"/>
      <c r="H96" s="3"/>
      <c r="I96" s="3"/>
      <c r="AS96" s="4"/>
      <c r="AT96" s="4"/>
    </row>
    <row r="97" spans="1:46" ht="16.5" customHeight="1">
      <c r="A97" s="4"/>
      <c r="C97" s="4"/>
      <c r="E97" s="4"/>
      <c r="G97" s="3"/>
      <c r="H97" s="3"/>
      <c r="I97" s="3"/>
      <c r="AS97" s="4"/>
      <c r="AT97" s="4"/>
    </row>
    <row r="98" spans="1:46" ht="16.5" customHeight="1">
      <c r="A98" s="4"/>
      <c r="C98" s="4"/>
      <c r="E98" s="4"/>
      <c r="G98" s="3"/>
      <c r="H98" s="3"/>
      <c r="I98" s="3"/>
      <c r="AS98" s="4"/>
      <c r="AT98" s="4"/>
    </row>
    <row r="99" spans="1:46" ht="16.5" customHeight="1">
      <c r="A99" s="4"/>
      <c r="C99" s="4"/>
      <c r="E99" s="4"/>
      <c r="G99" s="3"/>
      <c r="H99" s="3"/>
      <c r="I99" s="3"/>
      <c r="AS99" s="4"/>
      <c r="AT99" s="4"/>
    </row>
    <row r="100" spans="1:46" ht="16.5" customHeight="1">
      <c r="A100" s="4"/>
      <c r="C100" s="4"/>
      <c r="E100" s="4"/>
      <c r="G100" s="3"/>
      <c r="H100" s="3"/>
      <c r="I100" s="3"/>
      <c r="AS100" s="4"/>
      <c r="AT100" s="4"/>
    </row>
    <row r="101" spans="1:46" ht="16.5" customHeight="1">
      <c r="A101" s="4"/>
      <c r="C101" s="4"/>
      <c r="E101" s="4"/>
      <c r="G101" s="3"/>
      <c r="H101" s="3"/>
      <c r="I101" s="3"/>
      <c r="AS101" s="4"/>
      <c r="AT101" s="4"/>
    </row>
    <row r="102" spans="1:46" ht="16.5" customHeight="1">
      <c r="A102" s="4"/>
      <c r="C102" s="4"/>
      <c r="E102" s="4"/>
      <c r="G102" s="3"/>
      <c r="H102" s="3"/>
      <c r="I102" s="3"/>
      <c r="AS102" s="4"/>
      <c r="AT102" s="4"/>
    </row>
    <row r="103" spans="1:46" ht="16.5" customHeight="1">
      <c r="A103" s="4"/>
      <c r="C103" s="4"/>
      <c r="E103" s="4"/>
      <c r="G103" s="3"/>
      <c r="H103" s="3"/>
      <c r="I103" s="3"/>
      <c r="AS103" s="4"/>
      <c r="AT103" s="4"/>
    </row>
    <row r="104" spans="1:46" ht="16.5" customHeight="1">
      <c r="A104" s="4"/>
      <c r="C104" s="4"/>
      <c r="E104" s="4"/>
      <c r="G104" s="3"/>
      <c r="H104" s="3"/>
      <c r="I104" s="3"/>
      <c r="AS104" s="4"/>
      <c r="AT104" s="4"/>
    </row>
    <row r="105" spans="1:46" ht="16.5" customHeight="1">
      <c r="A105" s="4"/>
      <c r="C105" s="4"/>
      <c r="E105" s="4"/>
      <c r="G105" s="3"/>
      <c r="H105" s="3"/>
      <c r="I105" s="3"/>
      <c r="AS105" s="4"/>
      <c r="AT105" s="4"/>
    </row>
    <row r="106" spans="1:46" ht="16.5" customHeight="1">
      <c r="A106" s="4"/>
      <c r="C106" s="4"/>
      <c r="E106" s="4"/>
      <c r="G106" s="3"/>
      <c r="H106" s="3"/>
      <c r="I106" s="3"/>
      <c r="AS106" s="4"/>
      <c r="AT106" s="4"/>
    </row>
    <row r="107" spans="1:46" ht="16.5" customHeight="1">
      <c r="A107" s="4"/>
      <c r="C107" s="4"/>
      <c r="E107" s="4"/>
      <c r="G107" s="3"/>
      <c r="H107" s="3"/>
      <c r="I107" s="3"/>
      <c r="AS107" s="4"/>
      <c r="AT107" s="4"/>
    </row>
    <row r="108" spans="1:46" ht="16.5" customHeight="1">
      <c r="A108" s="4"/>
      <c r="C108" s="4"/>
      <c r="E108" s="4"/>
      <c r="G108" s="3"/>
      <c r="H108" s="3"/>
      <c r="I108" s="3"/>
      <c r="AS108" s="4"/>
      <c r="AT108" s="4"/>
    </row>
    <row r="109" spans="1:46" ht="16.5" customHeight="1">
      <c r="A109" s="4"/>
      <c r="C109" s="4"/>
      <c r="E109" s="4"/>
      <c r="G109" s="3"/>
      <c r="H109" s="3"/>
      <c r="I109" s="3"/>
      <c r="AS109" s="4"/>
      <c r="AT109" s="4"/>
    </row>
    <row r="110" spans="1:46" ht="16.5" customHeight="1">
      <c r="A110" s="4"/>
      <c r="C110" s="4"/>
      <c r="E110" s="4"/>
      <c r="G110" s="3"/>
      <c r="H110" s="3"/>
      <c r="I110" s="3"/>
      <c r="AS110" s="4"/>
      <c r="AT110" s="4"/>
    </row>
    <row r="111" spans="1:46" ht="16.5" customHeight="1">
      <c r="A111" s="4"/>
      <c r="C111" s="4"/>
      <c r="E111" s="4"/>
      <c r="G111" s="3"/>
      <c r="H111" s="3"/>
      <c r="I111" s="3"/>
      <c r="AS111" s="4"/>
      <c r="AT111" s="4"/>
    </row>
    <row r="112" spans="1:46" ht="16.5" customHeight="1">
      <c r="A112" s="4"/>
      <c r="C112" s="4"/>
      <c r="E112" s="4"/>
      <c r="G112" s="3"/>
      <c r="H112" s="3"/>
      <c r="I112" s="3"/>
      <c r="AS112" s="4"/>
      <c r="AT112" s="4"/>
    </row>
    <row r="113" spans="1:46" ht="16.5" customHeight="1">
      <c r="A113" s="4"/>
      <c r="C113" s="4"/>
      <c r="E113" s="4"/>
      <c r="G113" s="3"/>
      <c r="H113" s="3"/>
      <c r="I113" s="3"/>
      <c r="AS113" s="4"/>
      <c r="AT113" s="4"/>
    </row>
    <row r="114" spans="1:46" ht="16.5" customHeight="1">
      <c r="A114" s="4"/>
      <c r="C114" s="4"/>
      <c r="E114" s="4"/>
      <c r="G114" s="3"/>
      <c r="H114" s="3"/>
      <c r="I114" s="3"/>
      <c r="AS114" s="4"/>
      <c r="AT114" s="4"/>
    </row>
    <row r="115" spans="1:46" ht="16.5" customHeight="1">
      <c r="A115" s="4"/>
      <c r="C115" s="4"/>
      <c r="E115" s="4"/>
      <c r="G115" s="3"/>
      <c r="H115" s="3"/>
      <c r="I115" s="3"/>
      <c r="AS115" s="4"/>
      <c r="AT115" s="4"/>
    </row>
    <row r="116" spans="1:46" ht="16.5" customHeight="1">
      <c r="A116" s="4"/>
      <c r="C116" s="4"/>
      <c r="E116" s="4"/>
      <c r="G116" s="3"/>
      <c r="H116" s="3"/>
      <c r="I116" s="3"/>
      <c r="AS116" s="4"/>
      <c r="AT116" s="4"/>
    </row>
    <row r="117" spans="1:46" ht="16.5" customHeight="1">
      <c r="A117" s="4"/>
      <c r="C117" s="4"/>
      <c r="E117" s="4"/>
      <c r="G117" s="3"/>
      <c r="H117" s="3"/>
      <c r="I117" s="3"/>
      <c r="AS117" s="4"/>
      <c r="AT117" s="4"/>
    </row>
    <row r="118" spans="1:46" ht="16.5" customHeight="1">
      <c r="A118" s="4"/>
      <c r="C118" s="4"/>
      <c r="E118" s="4"/>
      <c r="G118" s="3"/>
      <c r="H118" s="3"/>
      <c r="I118" s="3"/>
      <c r="AS118" s="4"/>
      <c r="AT118" s="4"/>
    </row>
    <row r="119" spans="1:46" ht="16.5" customHeight="1">
      <c r="A119" s="4"/>
      <c r="C119" s="4"/>
      <c r="E119" s="4"/>
      <c r="G119" s="3"/>
      <c r="H119" s="3"/>
      <c r="I119" s="3"/>
      <c r="AS119" s="4"/>
      <c r="AT119" s="4"/>
    </row>
    <row r="120" spans="1:46" ht="16.5" customHeight="1">
      <c r="A120" s="4"/>
      <c r="C120" s="4"/>
      <c r="E120" s="4"/>
      <c r="G120" s="3"/>
      <c r="H120" s="3"/>
      <c r="I120" s="3"/>
      <c r="AS120" s="4"/>
      <c r="AT120" s="4"/>
    </row>
    <row r="121" spans="1:46" ht="16.5" customHeight="1">
      <c r="A121" s="4"/>
      <c r="C121" s="4"/>
      <c r="E121" s="4"/>
      <c r="G121" s="3"/>
      <c r="H121" s="3"/>
      <c r="I121" s="3"/>
      <c r="AS121" s="4"/>
      <c r="AT121" s="4"/>
    </row>
    <row r="122" spans="1:46" ht="16.5" customHeight="1">
      <c r="A122" s="4"/>
      <c r="C122" s="4"/>
      <c r="E122" s="4"/>
      <c r="G122" s="3"/>
      <c r="H122" s="3"/>
      <c r="I122" s="3"/>
      <c r="AS122" s="4"/>
      <c r="AT122" s="4"/>
    </row>
    <row r="123" spans="1:46" ht="16.5" customHeight="1">
      <c r="A123" s="4"/>
      <c r="C123" s="4"/>
      <c r="E123" s="4"/>
      <c r="G123" s="3"/>
      <c r="H123" s="3"/>
      <c r="I123" s="3"/>
      <c r="AS123" s="4"/>
      <c r="AT123" s="4"/>
    </row>
    <row r="124" spans="1:46" ht="16.5" customHeight="1">
      <c r="A124" s="4"/>
      <c r="C124" s="4"/>
      <c r="E124" s="4"/>
      <c r="G124" s="3"/>
      <c r="H124" s="3"/>
      <c r="I124" s="3"/>
      <c r="AS124" s="4"/>
      <c r="AT124" s="4"/>
    </row>
    <row r="125" spans="1:46" ht="16.5" customHeight="1">
      <c r="A125" s="4"/>
      <c r="C125" s="4"/>
      <c r="E125" s="4"/>
      <c r="G125" s="3"/>
      <c r="H125" s="3"/>
      <c r="I125" s="3"/>
      <c r="AS125" s="4"/>
      <c r="AT125" s="4"/>
    </row>
    <row r="126" spans="1:46" ht="16.5" customHeight="1">
      <c r="A126" s="4"/>
      <c r="C126" s="4"/>
      <c r="E126" s="4"/>
      <c r="G126" s="3"/>
      <c r="H126" s="3"/>
      <c r="I126" s="3"/>
      <c r="AS126" s="4"/>
      <c r="AT126" s="4"/>
    </row>
    <row r="127" spans="1:46" ht="16.5" customHeight="1">
      <c r="A127" s="4"/>
      <c r="C127" s="4"/>
      <c r="E127" s="4"/>
      <c r="G127" s="3"/>
      <c r="H127" s="3"/>
      <c r="I127" s="3"/>
      <c r="AS127" s="4"/>
      <c r="AT127" s="4"/>
    </row>
    <row r="128" spans="1:46" ht="16.5" customHeight="1">
      <c r="A128" s="4"/>
      <c r="C128" s="4"/>
      <c r="E128" s="4"/>
      <c r="G128" s="3"/>
      <c r="H128" s="3"/>
      <c r="I128" s="3"/>
      <c r="AS128" s="4"/>
      <c r="AT128" s="4"/>
    </row>
    <row r="129" spans="1:46" ht="16.5" customHeight="1">
      <c r="A129" s="4"/>
      <c r="C129" s="4"/>
      <c r="E129" s="4"/>
      <c r="G129" s="3"/>
      <c r="H129" s="3"/>
      <c r="I129" s="3"/>
      <c r="AS129" s="4"/>
      <c r="AT129" s="4"/>
    </row>
    <row r="130" spans="1:46" ht="16.5" customHeight="1">
      <c r="A130" s="4"/>
      <c r="C130" s="4"/>
      <c r="E130" s="4"/>
      <c r="G130" s="3"/>
      <c r="H130" s="3"/>
      <c r="I130" s="3"/>
      <c r="AS130" s="4"/>
      <c r="AT130" s="4"/>
    </row>
    <row r="131" spans="1:46" ht="16.5" customHeight="1">
      <c r="A131" s="4"/>
      <c r="C131" s="4"/>
      <c r="E131" s="4"/>
      <c r="G131" s="3"/>
      <c r="H131" s="3"/>
      <c r="I131" s="3"/>
      <c r="AS131" s="4"/>
      <c r="AT131" s="4"/>
    </row>
    <row r="132" spans="1:46" ht="16.5" customHeight="1">
      <c r="A132" s="4"/>
      <c r="C132" s="4"/>
      <c r="E132" s="4"/>
      <c r="G132" s="3"/>
      <c r="H132" s="3"/>
      <c r="I132" s="3"/>
      <c r="AS132" s="4"/>
      <c r="AT132" s="4"/>
    </row>
    <row r="133" spans="1:46" ht="16.5" customHeight="1">
      <c r="A133" s="4"/>
      <c r="C133" s="4"/>
      <c r="E133" s="4"/>
      <c r="G133" s="3"/>
      <c r="H133" s="3"/>
      <c r="I133" s="3"/>
      <c r="AS133" s="4"/>
      <c r="AT133" s="4"/>
    </row>
    <row r="134" spans="1:46" ht="16.5" customHeight="1">
      <c r="A134" s="4"/>
      <c r="C134" s="4"/>
      <c r="E134" s="4"/>
      <c r="G134" s="3"/>
      <c r="H134" s="3"/>
      <c r="I134" s="3"/>
      <c r="AS134" s="4"/>
      <c r="AT134" s="4"/>
    </row>
    <row r="135" spans="1:46" ht="16.5" customHeight="1">
      <c r="A135" s="4"/>
      <c r="C135" s="4"/>
      <c r="E135" s="4"/>
      <c r="G135" s="3"/>
      <c r="H135" s="3"/>
      <c r="I135" s="3"/>
      <c r="AS135" s="4"/>
      <c r="AT135" s="4"/>
    </row>
    <row r="136" spans="1:46" ht="16.5" customHeight="1">
      <c r="A136" s="4"/>
      <c r="C136" s="4"/>
      <c r="E136" s="4"/>
      <c r="G136" s="3"/>
      <c r="H136" s="3"/>
      <c r="I136" s="3"/>
      <c r="AS136" s="4"/>
      <c r="AT136" s="4"/>
    </row>
    <row r="137" spans="1:46" ht="16.5" customHeight="1">
      <c r="A137" s="4"/>
      <c r="C137" s="4"/>
      <c r="E137" s="4"/>
      <c r="G137" s="3"/>
      <c r="H137" s="3"/>
      <c r="I137" s="3"/>
      <c r="AS137" s="4"/>
      <c r="AT137" s="4"/>
    </row>
    <row r="138" spans="1:46" ht="16.5" customHeight="1">
      <c r="A138" s="4"/>
      <c r="C138" s="4"/>
      <c r="E138" s="4"/>
      <c r="G138" s="3"/>
      <c r="H138" s="3"/>
      <c r="I138" s="3"/>
      <c r="AS138" s="4"/>
      <c r="AT138" s="4"/>
    </row>
    <row r="139" spans="1:46" ht="16.5" customHeight="1">
      <c r="A139" s="4"/>
      <c r="C139" s="4"/>
      <c r="E139" s="4"/>
      <c r="G139" s="3"/>
      <c r="H139" s="3"/>
      <c r="I139" s="3"/>
      <c r="AS139" s="4"/>
      <c r="AT139" s="4"/>
    </row>
    <row r="140" spans="1:46" ht="16.5" customHeight="1">
      <c r="A140" s="4"/>
      <c r="C140" s="4"/>
      <c r="E140" s="4"/>
      <c r="G140" s="3"/>
      <c r="H140" s="3"/>
      <c r="I140" s="3"/>
      <c r="AS140" s="4"/>
      <c r="AT140" s="4"/>
    </row>
    <row r="141" spans="1:46" ht="16.5" customHeight="1">
      <c r="A141" s="4"/>
      <c r="C141" s="4"/>
      <c r="E141" s="4"/>
      <c r="G141" s="3"/>
      <c r="H141" s="3"/>
      <c r="I141" s="3"/>
      <c r="AS141" s="4"/>
      <c r="AT141" s="4"/>
    </row>
    <row r="142" spans="1:46" ht="16.5" customHeight="1">
      <c r="A142" s="4"/>
      <c r="C142" s="4"/>
      <c r="E142" s="4"/>
      <c r="G142" s="3"/>
      <c r="H142" s="3"/>
      <c r="I142" s="3"/>
      <c r="AS142" s="4"/>
      <c r="AT142" s="4"/>
    </row>
    <row r="143" spans="1:46" ht="16.5" customHeight="1">
      <c r="A143" s="4"/>
      <c r="C143" s="4"/>
      <c r="E143" s="4"/>
      <c r="G143" s="3"/>
      <c r="H143" s="3"/>
      <c r="I143" s="3"/>
      <c r="AS143" s="4"/>
      <c r="AT143" s="4"/>
    </row>
    <row r="144" spans="1:46" ht="16.5" customHeight="1">
      <c r="A144" s="4"/>
      <c r="C144" s="4"/>
      <c r="E144" s="4"/>
      <c r="G144" s="3"/>
      <c r="H144" s="3"/>
      <c r="I144" s="3"/>
      <c r="AS144" s="4"/>
      <c r="AT144" s="4"/>
    </row>
    <row r="145" spans="1:46" ht="16.5" customHeight="1">
      <c r="A145" s="4"/>
      <c r="C145" s="4"/>
      <c r="E145" s="4"/>
      <c r="G145" s="3"/>
      <c r="H145" s="3"/>
      <c r="I145" s="3"/>
      <c r="AS145" s="4"/>
      <c r="AT145" s="4"/>
    </row>
    <row r="146" spans="1:46" ht="16.5" customHeight="1">
      <c r="A146" s="4"/>
      <c r="C146" s="4"/>
      <c r="E146" s="4"/>
      <c r="G146" s="3"/>
      <c r="H146" s="3"/>
      <c r="I146" s="3"/>
      <c r="AS146" s="4"/>
      <c r="AT146" s="4"/>
    </row>
    <row r="147" spans="1:46" ht="16.5" customHeight="1">
      <c r="A147" s="4"/>
      <c r="C147" s="4"/>
      <c r="E147" s="4"/>
      <c r="G147" s="3"/>
      <c r="H147" s="3"/>
      <c r="I147" s="3"/>
      <c r="AS147" s="4"/>
      <c r="AT147" s="4"/>
    </row>
    <row r="148" spans="1:46" ht="16.5" customHeight="1">
      <c r="A148" s="4"/>
      <c r="C148" s="4"/>
      <c r="E148" s="4"/>
      <c r="G148" s="3"/>
      <c r="H148" s="3"/>
      <c r="I148" s="3"/>
      <c r="AS148" s="4"/>
      <c r="AT148" s="4"/>
    </row>
    <row r="149" spans="1:46" ht="16.5" customHeight="1">
      <c r="A149" s="4"/>
      <c r="C149" s="4"/>
      <c r="E149" s="4"/>
      <c r="G149" s="3"/>
      <c r="H149" s="3"/>
      <c r="I149" s="3"/>
      <c r="AS149" s="4"/>
      <c r="AT149" s="4"/>
    </row>
    <row r="150" spans="1:46" ht="16.5" customHeight="1">
      <c r="A150" s="4"/>
      <c r="C150" s="4"/>
      <c r="E150" s="4"/>
      <c r="G150" s="3"/>
      <c r="H150" s="3"/>
      <c r="I150" s="3"/>
      <c r="AS150" s="4"/>
      <c r="AT150" s="4"/>
    </row>
    <row r="151" spans="1:46" ht="16.5" customHeight="1">
      <c r="A151" s="4"/>
      <c r="C151" s="4"/>
      <c r="E151" s="4"/>
      <c r="G151" s="3"/>
      <c r="H151" s="3"/>
      <c r="I151" s="3"/>
      <c r="AS151" s="4"/>
      <c r="AT151" s="4"/>
    </row>
    <row r="152" spans="1:46" ht="16.5" customHeight="1">
      <c r="A152" s="4"/>
      <c r="C152" s="4"/>
      <c r="E152" s="4"/>
      <c r="G152" s="3"/>
      <c r="H152" s="3"/>
      <c r="I152" s="3"/>
      <c r="AS152" s="4"/>
      <c r="AT152" s="4"/>
    </row>
    <row r="153" spans="1:46" ht="16.5" customHeight="1">
      <c r="A153" s="4"/>
      <c r="C153" s="4"/>
      <c r="E153" s="4"/>
      <c r="G153" s="3"/>
      <c r="H153" s="3"/>
      <c r="I153" s="3"/>
      <c r="AS153" s="4"/>
      <c r="AT153" s="4"/>
    </row>
    <row r="154" spans="1:46" ht="16.5" customHeight="1">
      <c r="A154" s="4"/>
      <c r="C154" s="4"/>
      <c r="E154" s="4"/>
      <c r="G154" s="3"/>
      <c r="H154" s="3"/>
      <c r="I154" s="3"/>
      <c r="AS154" s="4"/>
      <c r="AT154" s="4"/>
    </row>
    <row r="155" spans="1:46" ht="16.5" customHeight="1">
      <c r="A155" s="4"/>
      <c r="C155" s="4"/>
      <c r="E155" s="4"/>
      <c r="G155" s="3"/>
      <c r="H155" s="3"/>
      <c r="I155" s="3"/>
      <c r="AS155" s="4"/>
      <c r="AT155" s="4"/>
    </row>
    <row r="156" spans="1:46" ht="16.5" customHeight="1">
      <c r="A156" s="4"/>
      <c r="C156" s="4"/>
      <c r="E156" s="4"/>
      <c r="G156" s="3"/>
      <c r="H156" s="3"/>
      <c r="I156" s="3"/>
      <c r="AS156" s="4"/>
      <c r="AT156" s="4"/>
    </row>
    <row r="157" spans="1:46" ht="16.5" customHeight="1">
      <c r="A157" s="4"/>
      <c r="C157" s="4"/>
      <c r="E157" s="4"/>
      <c r="G157" s="3"/>
      <c r="H157" s="3"/>
      <c r="I157" s="3"/>
      <c r="AS157" s="4"/>
      <c r="AT157" s="4"/>
    </row>
    <row r="158" spans="1:46" ht="16.5" customHeight="1">
      <c r="A158" s="4"/>
      <c r="C158" s="4"/>
      <c r="E158" s="4"/>
      <c r="G158" s="3"/>
      <c r="H158" s="3"/>
      <c r="I158" s="3"/>
      <c r="AS158" s="4"/>
      <c r="AT158" s="4"/>
    </row>
    <row r="159" spans="1:46" ht="16.5" customHeight="1">
      <c r="A159" s="4"/>
      <c r="C159" s="4"/>
      <c r="E159" s="4"/>
      <c r="G159" s="3"/>
      <c r="H159" s="3"/>
      <c r="I159" s="3"/>
      <c r="AS159" s="4"/>
      <c r="AT159" s="4"/>
    </row>
    <row r="160" spans="1:46" ht="16.5" customHeight="1">
      <c r="A160" s="4"/>
      <c r="C160" s="4"/>
      <c r="E160" s="4"/>
      <c r="G160" s="3"/>
      <c r="H160" s="3"/>
      <c r="I160" s="3"/>
      <c r="AS160" s="4"/>
      <c r="AT160" s="4"/>
    </row>
    <row r="161" spans="1:46" ht="16.5" customHeight="1">
      <c r="A161" s="4"/>
      <c r="C161" s="4"/>
      <c r="E161" s="4"/>
      <c r="G161" s="3"/>
      <c r="H161" s="3"/>
      <c r="I161" s="3"/>
      <c r="AS161" s="4"/>
      <c r="AT161" s="4"/>
    </row>
    <row r="162" spans="1:46" ht="16.5" customHeight="1">
      <c r="A162" s="4"/>
      <c r="C162" s="4"/>
      <c r="E162" s="4"/>
      <c r="G162" s="3"/>
      <c r="H162" s="3"/>
      <c r="I162" s="3"/>
      <c r="AS162" s="4"/>
      <c r="AT162" s="4"/>
    </row>
    <row r="163" spans="1:46" ht="16.5" customHeight="1">
      <c r="A163" s="4"/>
      <c r="C163" s="4"/>
      <c r="E163" s="4"/>
      <c r="G163" s="3"/>
      <c r="H163" s="3"/>
      <c r="I163" s="3"/>
      <c r="AS163" s="4"/>
      <c r="AT163" s="4"/>
    </row>
    <row r="164" spans="1:46" ht="16.5" customHeight="1">
      <c r="A164" s="4"/>
      <c r="C164" s="4"/>
      <c r="E164" s="4"/>
      <c r="G164" s="3"/>
      <c r="H164" s="3"/>
      <c r="I164" s="3"/>
      <c r="AS164" s="4"/>
      <c r="AT164" s="4"/>
    </row>
    <row r="165" spans="1:46" ht="16.5" customHeight="1">
      <c r="A165" s="4"/>
      <c r="C165" s="4"/>
      <c r="E165" s="4"/>
      <c r="G165" s="3"/>
      <c r="H165" s="3"/>
      <c r="I165" s="3"/>
      <c r="AS165" s="4"/>
      <c r="AT165" s="4"/>
    </row>
    <row r="166" spans="1:46" ht="16.5" customHeight="1">
      <c r="A166" s="4"/>
      <c r="C166" s="4"/>
      <c r="E166" s="4"/>
      <c r="G166" s="3"/>
      <c r="H166" s="3"/>
      <c r="I166" s="3"/>
      <c r="AS166" s="4"/>
      <c r="AT166" s="4"/>
    </row>
    <row r="167" spans="1:46" ht="16.5" customHeight="1">
      <c r="A167" s="4"/>
      <c r="C167" s="4"/>
      <c r="E167" s="4"/>
      <c r="G167" s="3"/>
      <c r="H167" s="3"/>
      <c r="I167" s="3"/>
      <c r="AS167" s="4"/>
      <c r="AT167" s="4"/>
    </row>
    <row r="168" spans="1:46" ht="16.5" customHeight="1">
      <c r="A168" s="4"/>
      <c r="C168" s="4"/>
      <c r="E168" s="4"/>
      <c r="G168" s="3"/>
      <c r="H168" s="3"/>
      <c r="I168" s="3"/>
      <c r="AS168" s="4"/>
      <c r="AT168" s="4"/>
    </row>
    <row r="169" spans="1:46" ht="16.5" customHeight="1">
      <c r="A169" s="4"/>
      <c r="C169" s="4"/>
      <c r="E169" s="4"/>
      <c r="G169" s="3"/>
      <c r="H169" s="3"/>
      <c r="I169" s="3"/>
      <c r="AS169" s="4"/>
      <c r="AT169" s="4"/>
    </row>
    <row r="170" spans="1:46" ht="16.5" customHeight="1">
      <c r="A170" s="4"/>
      <c r="C170" s="4"/>
      <c r="E170" s="4"/>
      <c r="G170" s="3"/>
      <c r="H170" s="3"/>
      <c r="I170" s="3"/>
      <c r="AS170" s="4"/>
      <c r="AT170" s="4"/>
    </row>
    <row r="171" spans="1:46" ht="16.5" customHeight="1">
      <c r="A171" s="4"/>
      <c r="C171" s="4"/>
      <c r="E171" s="4"/>
      <c r="G171" s="3"/>
      <c r="H171" s="3"/>
      <c r="I171" s="3"/>
      <c r="AS171" s="4"/>
      <c r="AT171" s="4"/>
    </row>
    <row r="172" spans="1:46" ht="16.5" customHeight="1">
      <c r="A172" s="4"/>
      <c r="C172" s="4"/>
      <c r="E172" s="4"/>
      <c r="G172" s="3"/>
      <c r="H172" s="3"/>
      <c r="I172" s="3"/>
      <c r="AS172" s="4"/>
      <c r="AT172" s="4"/>
    </row>
    <row r="173" spans="1:46" ht="16.5" customHeight="1">
      <c r="A173" s="4"/>
      <c r="C173" s="4"/>
      <c r="E173" s="4"/>
      <c r="G173" s="3"/>
      <c r="H173" s="3"/>
      <c r="I173" s="3"/>
      <c r="AS173" s="4"/>
      <c r="AT173" s="4"/>
    </row>
    <row r="174" spans="1:46" ht="16.5" customHeight="1">
      <c r="A174" s="4"/>
      <c r="C174" s="4"/>
      <c r="E174" s="4"/>
      <c r="G174" s="3"/>
      <c r="H174" s="3"/>
      <c r="I174" s="3"/>
      <c r="AS174" s="4"/>
      <c r="AT174" s="4"/>
    </row>
    <row r="175" spans="1:46" ht="16.5" customHeight="1">
      <c r="A175" s="4"/>
      <c r="C175" s="4"/>
      <c r="E175" s="4"/>
      <c r="G175" s="3"/>
      <c r="H175" s="3"/>
      <c r="I175" s="3"/>
      <c r="AS175" s="4"/>
      <c r="AT175" s="4"/>
    </row>
    <row r="176" spans="1:46" ht="16.5" customHeight="1">
      <c r="A176" s="4"/>
      <c r="C176" s="4"/>
      <c r="E176" s="4"/>
      <c r="G176" s="3"/>
      <c r="H176" s="3"/>
      <c r="I176" s="3"/>
      <c r="AS176" s="4"/>
      <c r="AT176" s="4"/>
    </row>
    <row r="177" spans="1:46" ht="16.5" customHeight="1">
      <c r="A177" s="4"/>
      <c r="C177" s="4"/>
      <c r="E177" s="4"/>
      <c r="G177" s="3"/>
      <c r="H177" s="3"/>
      <c r="I177" s="3"/>
      <c r="AS177" s="4"/>
      <c r="AT177" s="4"/>
    </row>
    <row r="178" spans="1:46" ht="16.5" customHeight="1">
      <c r="A178" s="4"/>
      <c r="C178" s="4"/>
      <c r="E178" s="4"/>
      <c r="G178" s="3"/>
      <c r="H178" s="3"/>
      <c r="I178" s="3"/>
      <c r="AS178" s="4"/>
      <c r="AT178" s="4"/>
    </row>
    <row r="179" spans="1:46" ht="16.5" customHeight="1">
      <c r="A179" s="4"/>
      <c r="C179" s="4"/>
      <c r="E179" s="4"/>
      <c r="G179" s="3"/>
      <c r="H179" s="3"/>
      <c r="I179" s="3"/>
      <c r="AS179" s="4"/>
      <c r="AT179" s="4"/>
    </row>
    <row r="180" spans="1:46" ht="16.5" customHeight="1">
      <c r="A180" s="4"/>
      <c r="C180" s="4"/>
      <c r="E180" s="4"/>
      <c r="G180" s="3"/>
      <c r="H180" s="3"/>
      <c r="I180" s="3"/>
      <c r="AS180" s="4"/>
      <c r="AT180" s="4"/>
    </row>
    <row r="181" spans="1:46" ht="16.5" customHeight="1">
      <c r="A181" s="4"/>
      <c r="C181" s="4"/>
      <c r="E181" s="4"/>
      <c r="G181" s="3"/>
      <c r="H181" s="3"/>
      <c r="I181" s="3"/>
      <c r="AS181" s="4"/>
      <c r="AT181" s="4"/>
    </row>
    <row r="182" spans="1:46" ht="16.5" customHeight="1">
      <c r="A182" s="4"/>
      <c r="C182" s="4"/>
      <c r="E182" s="4"/>
      <c r="G182" s="3"/>
      <c r="H182" s="3"/>
      <c r="I182" s="3"/>
      <c r="AS182" s="4"/>
      <c r="AT182" s="4"/>
    </row>
    <row r="183" spans="1:46" ht="16.5" customHeight="1">
      <c r="A183" s="4"/>
      <c r="C183" s="4"/>
      <c r="E183" s="4"/>
      <c r="G183" s="3"/>
      <c r="H183" s="3"/>
      <c r="I183" s="3"/>
      <c r="AS183" s="4"/>
      <c r="AT183" s="4"/>
    </row>
    <row r="184" spans="1:46" ht="16.5" customHeight="1">
      <c r="A184" s="4"/>
      <c r="C184" s="4"/>
      <c r="E184" s="4"/>
      <c r="G184" s="3"/>
      <c r="H184" s="3"/>
      <c r="I184" s="3"/>
      <c r="AS184" s="4"/>
      <c r="AT184" s="4"/>
    </row>
    <row r="185" spans="1:46" ht="16.5" customHeight="1">
      <c r="A185" s="4"/>
      <c r="C185" s="4"/>
      <c r="E185" s="4"/>
      <c r="G185" s="3"/>
      <c r="H185" s="3"/>
      <c r="I185" s="3"/>
      <c r="AS185" s="4"/>
      <c r="AT185" s="4"/>
    </row>
    <row r="186" spans="1:46" ht="16.5" customHeight="1">
      <c r="A186" s="4"/>
      <c r="C186" s="4"/>
      <c r="E186" s="4"/>
      <c r="G186" s="3"/>
      <c r="H186" s="3"/>
      <c r="I186" s="3"/>
      <c r="AS186" s="4"/>
      <c r="AT186" s="4"/>
    </row>
    <row r="187" spans="1:46" ht="16.5" customHeight="1">
      <c r="A187" s="4"/>
      <c r="C187" s="4"/>
      <c r="E187" s="4"/>
      <c r="G187" s="3"/>
      <c r="H187" s="3"/>
      <c r="I187" s="3"/>
      <c r="AS187" s="4"/>
      <c r="AT187" s="4"/>
    </row>
    <row r="188" spans="1:46" ht="16.5" customHeight="1">
      <c r="A188" s="4"/>
      <c r="C188" s="4"/>
      <c r="E188" s="4"/>
      <c r="G188" s="3"/>
      <c r="H188" s="3"/>
      <c r="I188" s="3"/>
      <c r="AS188" s="4"/>
      <c r="AT188" s="4"/>
    </row>
    <row r="189" spans="1:46" ht="16.5" customHeight="1">
      <c r="A189" s="4"/>
      <c r="C189" s="4"/>
      <c r="E189" s="4"/>
      <c r="G189" s="3"/>
      <c r="H189" s="3"/>
      <c r="I189" s="3"/>
      <c r="AS189" s="4"/>
      <c r="AT189" s="4"/>
    </row>
    <row r="190" spans="1:46" ht="16.5" customHeight="1">
      <c r="A190" s="4"/>
      <c r="C190" s="4"/>
      <c r="E190" s="4"/>
      <c r="G190" s="3"/>
      <c r="H190" s="3"/>
      <c r="I190" s="3"/>
      <c r="AS190" s="4"/>
      <c r="AT190" s="4"/>
    </row>
    <row r="191" spans="1:46" ht="16.5" customHeight="1">
      <c r="A191" s="4"/>
      <c r="C191" s="4"/>
      <c r="E191" s="4"/>
      <c r="G191" s="3"/>
      <c r="H191" s="3"/>
      <c r="I191" s="3"/>
      <c r="AS191" s="4"/>
      <c r="AT191" s="4"/>
    </row>
    <row r="192" spans="1:46" ht="16.5" customHeight="1">
      <c r="A192" s="4"/>
      <c r="C192" s="4"/>
      <c r="E192" s="4"/>
      <c r="G192" s="3"/>
      <c r="H192" s="3"/>
      <c r="I192" s="3"/>
      <c r="AS192" s="4"/>
      <c r="AT192" s="4"/>
    </row>
    <row r="193" spans="1:46" ht="16.5" customHeight="1">
      <c r="A193" s="4"/>
      <c r="C193" s="4"/>
      <c r="E193" s="4"/>
      <c r="G193" s="3"/>
      <c r="H193" s="3"/>
      <c r="I193" s="3"/>
      <c r="AS193" s="4"/>
      <c r="AT193" s="4"/>
    </row>
    <row r="194" spans="1:46" ht="16.5" customHeight="1">
      <c r="A194" s="4"/>
      <c r="C194" s="4"/>
      <c r="E194" s="4"/>
      <c r="G194" s="3"/>
      <c r="H194" s="3"/>
      <c r="I194" s="3"/>
      <c r="AS194" s="4"/>
      <c r="AT194" s="4"/>
    </row>
    <row r="195" spans="1:46" ht="16.5" customHeight="1">
      <c r="A195" s="4"/>
      <c r="C195" s="4"/>
      <c r="E195" s="4"/>
      <c r="G195" s="3"/>
      <c r="H195" s="3"/>
      <c r="I195" s="3"/>
      <c r="AS195" s="4"/>
      <c r="AT195" s="4"/>
    </row>
    <row r="196" spans="1:46" ht="16.5" customHeight="1">
      <c r="A196" s="4"/>
      <c r="C196" s="4"/>
      <c r="E196" s="4"/>
      <c r="G196" s="3"/>
      <c r="H196" s="3"/>
      <c r="I196" s="3"/>
      <c r="AS196" s="4"/>
      <c r="AT196" s="4"/>
    </row>
    <row r="197" spans="1:46" ht="16.5" customHeight="1">
      <c r="A197" s="4"/>
      <c r="C197" s="4"/>
      <c r="E197" s="4"/>
      <c r="G197" s="3"/>
      <c r="H197" s="3"/>
      <c r="I197" s="3"/>
      <c r="AS197" s="4"/>
      <c r="AT197" s="4"/>
    </row>
    <row r="198" spans="1:46" ht="16.5" customHeight="1">
      <c r="A198" s="4"/>
      <c r="C198" s="4"/>
      <c r="E198" s="4"/>
      <c r="G198" s="3"/>
      <c r="H198" s="3"/>
      <c r="I198" s="3"/>
      <c r="AS198" s="4"/>
      <c r="AT198" s="4"/>
    </row>
    <row r="199" spans="1:46" ht="16.5" customHeight="1">
      <c r="A199" s="4"/>
      <c r="C199" s="4"/>
      <c r="E199" s="4"/>
      <c r="G199" s="3"/>
      <c r="H199" s="3"/>
      <c r="I199" s="3"/>
      <c r="AS199" s="4"/>
      <c r="AT199" s="4"/>
    </row>
    <row r="200" spans="1:46" ht="16.5" customHeight="1">
      <c r="A200" s="4"/>
      <c r="C200" s="4"/>
      <c r="E200" s="4"/>
      <c r="G200" s="3"/>
      <c r="H200" s="3"/>
      <c r="I200" s="3"/>
      <c r="AS200" s="4"/>
      <c r="AT200" s="4"/>
    </row>
    <row r="201" spans="1:46" ht="16.5" customHeight="1">
      <c r="A201" s="4"/>
      <c r="C201" s="4"/>
      <c r="E201" s="4"/>
      <c r="G201" s="3"/>
      <c r="H201" s="3"/>
      <c r="I201" s="3"/>
      <c r="AS201" s="4"/>
      <c r="AT201" s="4"/>
    </row>
    <row r="202" spans="1:46" ht="16.5" customHeight="1">
      <c r="A202" s="4"/>
      <c r="C202" s="4"/>
      <c r="E202" s="4"/>
      <c r="G202" s="3"/>
      <c r="H202" s="3"/>
      <c r="I202" s="3"/>
      <c r="AS202" s="4"/>
      <c r="AT202" s="4"/>
    </row>
    <row r="203" spans="1:46" ht="16.5" customHeight="1">
      <c r="A203" s="4"/>
      <c r="C203" s="4"/>
      <c r="E203" s="4"/>
      <c r="G203" s="3"/>
      <c r="H203" s="3"/>
      <c r="I203" s="3"/>
      <c r="AS203" s="4"/>
      <c r="AT203" s="4"/>
    </row>
    <row r="204" spans="1:46" ht="16.5" customHeight="1">
      <c r="A204" s="4"/>
      <c r="C204" s="4"/>
      <c r="E204" s="4"/>
      <c r="G204" s="3"/>
      <c r="H204" s="3"/>
      <c r="I204" s="3"/>
      <c r="AS204" s="4"/>
      <c r="AT204" s="4"/>
    </row>
    <row r="205" spans="1:46" ht="16.5" customHeight="1">
      <c r="A205" s="4"/>
      <c r="C205" s="4"/>
      <c r="E205" s="4"/>
      <c r="G205" s="3"/>
      <c r="H205" s="3"/>
      <c r="I205" s="3"/>
      <c r="AS205" s="4"/>
      <c r="AT205" s="4"/>
    </row>
    <row r="206" spans="1:46" ht="16.5" customHeight="1">
      <c r="A206" s="4"/>
      <c r="C206" s="4"/>
      <c r="E206" s="4"/>
      <c r="G206" s="3"/>
      <c r="H206" s="3"/>
      <c r="I206" s="3"/>
      <c r="AS206" s="4"/>
      <c r="AT206" s="4"/>
    </row>
    <row r="207" spans="1:46" ht="16.5" customHeight="1">
      <c r="A207" s="4"/>
      <c r="C207" s="4"/>
      <c r="E207" s="4"/>
      <c r="G207" s="3"/>
      <c r="H207" s="3"/>
      <c r="I207" s="3"/>
      <c r="AS207" s="4"/>
      <c r="AT207" s="4"/>
    </row>
    <row r="208" spans="1:46" ht="16.5" customHeight="1">
      <c r="A208" s="4"/>
      <c r="C208" s="4"/>
      <c r="E208" s="4"/>
      <c r="G208" s="3"/>
      <c r="H208" s="3"/>
      <c r="I208" s="3"/>
      <c r="AS208" s="4"/>
      <c r="AT208" s="4"/>
    </row>
    <row r="209" spans="1:46" ht="16.5" customHeight="1">
      <c r="A209" s="4"/>
      <c r="C209" s="4"/>
      <c r="E209" s="4"/>
      <c r="G209" s="3"/>
      <c r="H209" s="3"/>
      <c r="I209" s="3"/>
      <c r="AS209" s="4"/>
      <c r="AT209" s="4"/>
    </row>
    <row r="210" spans="1:46" ht="16.5" customHeight="1">
      <c r="A210" s="4"/>
      <c r="C210" s="4"/>
      <c r="E210" s="4"/>
      <c r="G210" s="3"/>
      <c r="H210" s="3"/>
      <c r="I210" s="3"/>
      <c r="AS210" s="4"/>
      <c r="AT210" s="4"/>
    </row>
    <row r="211" spans="1:46" ht="16.5" customHeight="1">
      <c r="A211" s="4"/>
      <c r="C211" s="4"/>
      <c r="E211" s="4"/>
      <c r="G211" s="3"/>
      <c r="H211" s="3"/>
      <c r="I211" s="3"/>
      <c r="AS211" s="4"/>
      <c r="AT211" s="4"/>
    </row>
    <row r="212" spans="1:46" ht="16.5" customHeight="1">
      <c r="A212" s="4"/>
      <c r="C212" s="4"/>
      <c r="E212" s="4"/>
      <c r="G212" s="3"/>
      <c r="H212" s="3"/>
      <c r="I212" s="3"/>
      <c r="AS212" s="4"/>
      <c r="AT212" s="4"/>
    </row>
    <row r="213" spans="1:46" ht="16.5" customHeight="1">
      <c r="A213" s="4"/>
      <c r="C213" s="4"/>
      <c r="E213" s="4"/>
      <c r="G213" s="3"/>
      <c r="H213" s="3"/>
      <c r="I213" s="3"/>
      <c r="AS213" s="4"/>
      <c r="AT213" s="4"/>
    </row>
    <row r="214" spans="1:46" ht="16.5" customHeight="1">
      <c r="A214" s="4"/>
      <c r="C214" s="4"/>
      <c r="E214" s="4"/>
      <c r="G214" s="3"/>
      <c r="H214" s="3"/>
      <c r="I214" s="3"/>
      <c r="AS214" s="4"/>
      <c r="AT214" s="4"/>
    </row>
    <row r="215" spans="1:46" ht="16.5" customHeight="1">
      <c r="A215" s="4"/>
      <c r="C215" s="4"/>
      <c r="E215" s="4"/>
      <c r="G215" s="3"/>
      <c r="H215" s="3"/>
      <c r="I215" s="3"/>
      <c r="AS215" s="4"/>
      <c r="AT215" s="4"/>
    </row>
    <row r="216" spans="1:46" ht="16.5" customHeight="1">
      <c r="A216" s="4"/>
      <c r="C216" s="4"/>
      <c r="E216" s="4"/>
      <c r="G216" s="3"/>
      <c r="H216" s="3"/>
      <c r="I216" s="3"/>
      <c r="AS216" s="4"/>
      <c r="AT216" s="4"/>
    </row>
    <row r="217" spans="1:46" ht="16.5" customHeight="1">
      <c r="A217" s="4"/>
      <c r="C217" s="4"/>
      <c r="E217" s="4"/>
      <c r="G217" s="3"/>
      <c r="H217" s="3"/>
      <c r="I217" s="3"/>
      <c r="AS217" s="4"/>
      <c r="AT217" s="4"/>
    </row>
    <row r="218" spans="1:46" ht="16.5" customHeight="1">
      <c r="A218" s="4"/>
      <c r="C218" s="4"/>
      <c r="E218" s="4"/>
      <c r="G218" s="3"/>
      <c r="H218" s="3"/>
      <c r="I218" s="3"/>
      <c r="AS218" s="4"/>
      <c r="AT218" s="4"/>
    </row>
    <row r="219" spans="1:46" ht="16.5" customHeight="1">
      <c r="A219" s="4"/>
      <c r="C219" s="4"/>
      <c r="E219" s="4"/>
      <c r="G219" s="3"/>
      <c r="H219" s="3"/>
      <c r="I219" s="3"/>
      <c r="AS219" s="4"/>
      <c r="AT219" s="4"/>
    </row>
    <row r="220" spans="1:46" ht="16.5" customHeight="1">
      <c r="A220" s="4"/>
      <c r="C220" s="4"/>
      <c r="E220" s="4"/>
      <c r="G220" s="3"/>
      <c r="H220" s="3"/>
      <c r="I220" s="3"/>
      <c r="AS220" s="4"/>
      <c r="AT220" s="4"/>
    </row>
    <row r="221" spans="1:46" ht="16.5" customHeight="1">
      <c r="A221" s="4"/>
      <c r="C221" s="4"/>
      <c r="E221" s="4"/>
      <c r="G221" s="3"/>
      <c r="H221" s="3"/>
      <c r="I221" s="3"/>
      <c r="AS221" s="4"/>
      <c r="AT221" s="4"/>
    </row>
    <row r="222" spans="1:46" ht="16.5" customHeight="1">
      <c r="A222" s="4"/>
      <c r="C222" s="4"/>
      <c r="E222" s="4"/>
      <c r="G222" s="3"/>
      <c r="H222" s="3"/>
      <c r="I222" s="3"/>
      <c r="AS222" s="4"/>
      <c r="AT222" s="4"/>
    </row>
    <row r="223" spans="1:46" ht="16.5" customHeight="1">
      <c r="A223" s="4"/>
      <c r="C223" s="4"/>
      <c r="E223" s="4"/>
      <c r="G223" s="3"/>
      <c r="H223" s="3"/>
      <c r="I223" s="3"/>
      <c r="AS223" s="4"/>
      <c r="AT223" s="4"/>
    </row>
    <row r="224" spans="1:46" ht="16.5" customHeight="1">
      <c r="A224" s="4"/>
      <c r="C224" s="4"/>
      <c r="E224" s="4"/>
      <c r="G224" s="3"/>
      <c r="H224" s="3"/>
      <c r="I224" s="3"/>
      <c r="AS224" s="4"/>
      <c r="AT224" s="4"/>
    </row>
    <row r="225" spans="1:46" ht="16.5" customHeight="1">
      <c r="A225" s="4"/>
      <c r="C225" s="4"/>
      <c r="E225" s="4"/>
      <c r="G225" s="3"/>
      <c r="H225" s="3"/>
      <c r="I225" s="3"/>
      <c r="AS225" s="4"/>
      <c r="AT225" s="4"/>
    </row>
    <row r="226" spans="1:46" ht="16.5" customHeight="1">
      <c r="A226" s="4"/>
      <c r="C226" s="4"/>
      <c r="E226" s="4"/>
      <c r="G226" s="3"/>
      <c r="H226" s="3"/>
      <c r="I226" s="3"/>
      <c r="AS226" s="4"/>
      <c r="AT226" s="4"/>
    </row>
    <row r="227" spans="1:46" ht="16.5" customHeight="1">
      <c r="A227" s="4"/>
      <c r="C227" s="4"/>
      <c r="E227" s="4"/>
      <c r="G227" s="3"/>
      <c r="H227" s="3"/>
      <c r="I227" s="3"/>
      <c r="AS227" s="4"/>
      <c r="AT227" s="4"/>
    </row>
    <row r="228" spans="1:46" ht="16.5" customHeight="1">
      <c r="A228" s="4"/>
      <c r="C228" s="4"/>
      <c r="E228" s="4"/>
      <c r="G228" s="3"/>
      <c r="H228" s="3"/>
      <c r="I228" s="3"/>
      <c r="AS228" s="4"/>
      <c r="AT228" s="4"/>
    </row>
    <row r="229" spans="1:46" ht="16.5" customHeight="1">
      <c r="A229" s="4"/>
      <c r="C229" s="4"/>
      <c r="E229" s="4"/>
      <c r="G229" s="3"/>
      <c r="H229" s="3"/>
      <c r="I229" s="3"/>
      <c r="AS229" s="4"/>
      <c r="AT229" s="4"/>
    </row>
    <row r="230" spans="1:46" ht="16.5" customHeight="1">
      <c r="A230" s="4"/>
      <c r="C230" s="4"/>
      <c r="E230" s="4"/>
      <c r="G230" s="3"/>
      <c r="H230" s="3"/>
      <c r="I230" s="3"/>
      <c r="AS230" s="4"/>
      <c r="AT230" s="4"/>
    </row>
    <row r="231" spans="1:46" ht="16.5" customHeight="1">
      <c r="A231" s="4"/>
      <c r="C231" s="4"/>
      <c r="E231" s="4"/>
      <c r="G231" s="3"/>
      <c r="H231" s="3"/>
      <c r="I231" s="3"/>
      <c r="AS231" s="4"/>
      <c r="AT231" s="4"/>
    </row>
    <row r="232" spans="1:46" ht="16.5" customHeight="1">
      <c r="A232" s="4"/>
      <c r="C232" s="4"/>
      <c r="E232" s="4"/>
      <c r="G232" s="3"/>
      <c r="H232" s="3"/>
      <c r="I232" s="3"/>
      <c r="AS232" s="4"/>
      <c r="AT232" s="4"/>
    </row>
    <row r="233" spans="1:46" ht="16.5" customHeight="1">
      <c r="A233" s="4"/>
      <c r="C233" s="4"/>
      <c r="E233" s="4"/>
      <c r="G233" s="3"/>
      <c r="H233" s="3"/>
      <c r="I233" s="3"/>
      <c r="AS233" s="4"/>
      <c r="AT233" s="4"/>
    </row>
    <row r="234" spans="1:46" ht="16.5" customHeight="1">
      <c r="A234" s="4"/>
      <c r="C234" s="4"/>
      <c r="E234" s="4"/>
      <c r="G234" s="3"/>
      <c r="H234" s="3"/>
      <c r="I234" s="3"/>
      <c r="AS234" s="4"/>
      <c r="AT234" s="4"/>
    </row>
    <row r="235" spans="1:46" ht="16.5" customHeight="1">
      <c r="A235" s="4"/>
      <c r="C235" s="4"/>
      <c r="E235" s="4"/>
      <c r="G235" s="3"/>
      <c r="H235" s="3"/>
      <c r="I235" s="3"/>
      <c r="AS235" s="4"/>
      <c r="AT235" s="4"/>
    </row>
    <row r="236" spans="1:46" ht="16.5" customHeight="1">
      <c r="A236" s="4"/>
      <c r="C236" s="4"/>
      <c r="E236" s="4"/>
      <c r="G236" s="3"/>
      <c r="H236" s="3"/>
      <c r="I236" s="3"/>
      <c r="AS236" s="4"/>
      <c r="AT236" s="4"/>
    </row>
    <row r="237" spans="1:46" ht="16.5" customHeight="1">
      <c r="A237" s="4"/>
      <c r="C237" s="4"/>
      <c r="E237" s="4"/>
      <c r="G237" s="3"/>
      <c r="H237" s="3"/>
      <c r="I237" s="3"/>
      <c r="AS237" s="4"/>
      <c r="AT237" s="4"/>
    </row>
    <row r="238" spans="1:46" ht="16.5" customHeight="1">
      <c r="A238" s="4"/>
      <c r="C238" s="4"/>
      <c r="E238" s="4"/>
      <c r="G238" s="3"/>
      <c r="H238" s="3"/>
      <c r="I238" s="3"/>
      <c r="AS238" s="4"/>
      <c r="AT238" s="4"/>
    </row>
    <row r="239" spans="1:46" ht="16.5" customHeight="1">
      <c r="A239" s="4"/>
      <c r="C239" s="4"/>
      <c r="E239" s="4"/>
      <c r="G239" s="3"/>
      <c r="H239" s="3"/>
      <c r="I239" s="3"/>
      <c r="AS239" s="4"/>
      <c r="AT239" s="4"/>
    </row>
    <row r="240" spans="1:46" ht="16.5" customHeight="1">
      <c r="A240" s="4"/>
      <c r="C240" s="4"/>
      <c r="E240" s="4"/>
      <c r="G240" s="3"/>
      <c r="H240" s="3"/>
      <c r="I240" s="3"/>
      <c r="AS240" s="4"/>
      <c r="AT240" s="4"/>
    </row>
    <row r="241" spans="1:46" ht="16.5" customHeight="1">
      <c r="A241" s="4"/>
      <c r="C241" s="4"/>
      <c r="E241" s="4"/>
      <c r="G241" s="3"/>
      <c r="H241" s="3"/>
      <c r="I241" s="3"/>
      <c r="AS241" s="4"/>
      <c r="AT241" s="4"/>
    </row>
    <row r="242" spans="1:46" ht="16.5" customHeight="1">
      <c r="A242" s="4"/>
      <c r="C242" s="4"/>
      <c r="E242" s="4"/>
      <c r="G242" s="3"/>
      <c r="H242" s="3"/>
      <c r="I242" s="3"/>
      <c r="AS242" s="4"/>
      <c r="AT242" s="4"/>
    </row>
    <row r="243" spans="1:46" ht="16.5" customHeight="1">
      <c r="A243" s="4"/>
      <c r="C243" s="4"/>
      <c r="E243" s="4"/>
      <c r="G243" s="3"/>
      <c r="H243" s="3"/>
      <c r="I243" s="3"/>
      <c r="AS243" s="4"/>
      <c r="AT243" s="4"/>
    </row>
    <row r="244" spans="1:46" ht="16.5" customHeight="1">
      <c r="A244" s="4"/>
      <c r="C244" s="4"/>
      <c r="E244" s="4"/>
      <c r="G244" s="3"/>
      <c r="H244" s="3"/>
      <c r="I244" s="3"/>
      <c r="AS244" s="4"/>
      <c r="AT244" s="4"/>
    </row>
    <row r="245" spans="1:46" ht="16.5" customHeight="1">
      <c r="A245" s="4"/>
      <c r="C245" s="4"/>
      <c r="E245" s="4"/>
      <c r="G245" s="3"/>
      <c r="H245" s="3"/>
      <c r="I245" s="3"/>
      <c r="AS245" s="4"/>
      <c r="AT245" s="4"/>
    </row>
    <row r="246" spans="1:46" ht="16.5" customHeight="1">
      <c r="A246" s="4"/>
      <c r="C246" s="4"/>
      <c r="E246" s="4"/>
      <c r="G246" s="3"/>
      <c r="H246" s="3"/>
      <c r="I246" s="3"/>
      <c r="AS246" s="4"/>
      <c r="AT246" s="4"/>
    </row>
    <row r="247" spans="1:46" ht="16.5" customHeight="1">
      <c r="A247" s="4"/>
      <c r="C247" s="4"/>
      <c r="E247" s="4"/>
      <c r="G247" s="3"/>
      <c r="H247" s="3"/>
      <c r="I247" s="3"/>
      <c r="AS247" s="4"/>
      <c r="AT247" s="4"/>
    </row>
    <row r="248" spans="1:46" ht="16.5" customHeight="1">
      <c r="A248" s="4"/>
      <c r="C248" s="4"/>
      <c r="E248" s="4"/>
      <c r="G248" s="3"/>
      <c r="H248" s="3"/>
      <c r="I248" s="3"/>
      <c r="AS248" s="4"/>
      <c r="AT248" s="4"/>
    </row>
    <row r="249" spans="1:46" ht="16.5" customHeight="1">
      <c r="A249" s="4"/>
      <c r="C249" s="4"/>
      <c r="E249" s="4"/>
      <c r="G249" s="3"/>
      <c r="H249" s="3"/>
      <c r="I249" s="3"/>
      <c r="AS249" s="4"/>
      <c r="AT249" s="4"/>
    </row>
    <row r="250" spans="1:46" ht="16.5" customHeight="1">
      <c r="A250" s="4"/>
      <c r="C250" s="4"/>
      <c r="E250" s="4"/>
      <c r="G250" s="3"/>
      <c r="H250" s="3"/>
      <c r="I250" s="3"/>
      <c r="AS250" s="4"/>
      <c r="AT250" s="4"/>
    </row>
    <row r="251" spans="1:46" ht="16.5" customHeight="1">
      <c r="A251" s="4"/>
      <c r="C251" s="4"/>
      <c r="E251" s="4"/>
      <c r="G251" s="3"/>
      <c r="H251" s="3"/>
      <c r="I251" s="3"/>
      <c r="AS251" s="4"/>
      <c r="AT251" s="4"/>
    </row>
    <row r="252" spans="1:46" ht="16.5" customHeight="1">
      <c r="A252" s="4"/>
      <c r="C252" s="4"/>
      <c r="E252" s="4"/>
      <c r="G252" s="3"/>
      <c r="H252" s="3"/>
      <c r="I252" s="3"/>
      <c r="AS252" s="4"/>
      <c r="AT252" s="4"/>
    </row>
    <row r="253" spans="1:46" ht="16.5" customHeight="1">
      <c r="A253" s="4"/>
      <c r="C253" s="4"/>
      <c r="E253" s="4"/>
      <c r="G253" s="3"/>
      <c r="H253" s="3"/>
      <c r="I253" s="3"/>
      <c r="AS253" s="4"/>
      <c r="AT253" s="4"/>
    </row>
    <row r="254" spans="1:46" ht="16.5" customHeight="1">
      <c r="A254" s="4"/>
      <c r="C254" s="4"/>
      <c r="E254" s="4"/>
      <c r="G254" s="3"/>
      <c r="H254" s="3"/>
      <c r="I254" s="3"/>
      <c r="AS254" s="4"/>
      <c r="AT254" s="4"/>
    </row>
    <row r="255" spans="1:46" ht="16.5" customHeight="1">
      <c r="A255" s="4"/>
      <c r="C255" s="4"/>
      <c r="E255" s="4"/>
      <c r="G255" s="3"/>
      <c r="H255" s="3"/>
      <c r="I255" s="3"/>
      <c r="AS255" s="4"/>
      <c r="AT255" s="4"/>
    </row>
    <row r="256" spans="1:46" ht="16.5" customHeight="1">
      <c r="A256" s="4"/>
      <c r="C256" s="4"/>
      <c r="E256" s="4"/>
      <c r="G256" s="3"/>
      <c r="H256" s="3"/>
      <c r="I256" s="3"/>
      <c r="AS256" s="4"/>
      <c r="AT256" s="4"/>
    </row>
    <row r="257" spans="1:46" ht="16.5" customHeight="1">
      <c r="A257" s="4"/>
      <c r="C257" s="4"/>
      <c r="E257" s="4"/>
      <c r="G257" s="3"/>
      <c r="H257" s="3"/>
      <c r="I257" s="3"/>
      <c r="AS257" s="4"/>
      <c r="AT257" s="4"/>
    </row>
    <row r="258" spans="1:46" ht="16.5" customHeight="1">
      <c r="A258" s="4"/>
      <c r="C258" s="4"/>
      <c r="E258" s="4"/>
      <c r="G258" s="3"/>
      <c r="H258" s="3"/>
      <c r="I258" s="3"/>
      <c r="AS258" s="4"/>
      <c r="AT258" s="4"/>
    </row>
    <row r="259" spans="1:46" ht="16.5" customHeight="1">
      <c r="A259" s="4"/>
      <c r="C259" s="4"/>
      <c r="E259" s="4"/>
      <c r="G259" s="3"/>
      <c r="H259" s="3"/>
      <c r="I259" s="3"/>
      <c r="AS259" s="4"/>
      <c r="AT259" s="4"/>
    </row>
    <row r="260" spans="1:46" ht="16.5" customHeight="1">
      <c r="A260" s="4"/>
      <c r="C260" s="4"/>
      <c r="E260" s="4"/>
      <c r="G260" s="3"/>
      <c r="H260" s="3"/>
      <c r="I260" s="3"/>
      <c r="AS260" s="4"/>
      <c r="AT260" s="4"/>
    </row>
    <row r="261" spans="1:46" ht="16.5" customHeight="1">
      <c r="A261" s="4"/>
      <c r="C261" s="4"/>
      <c r="E261" s="4"/>
      <c r="G261" s="3"/>
      <c r="H261" s="3"/>
      <c r="I261" s="3"/>
      <c r="AS261" s="4"/>
      <c r="AT261" s="4"/>
    </row>
    <row r="262" spans="1:46" ht="16.5" customHeight="1">
      <c r="A262" s="4"/>
      <c r="C262" s="4"/>
      <c r="E262" s="4"/>
      <c r="G262" s="3"/>
      <c r="H262" s="3"/>
      <c r="I262" s="3"/>
      <c r="AS262" s="4"/>
      <c r="AT262" s="4"/>
    </row>
    <row r="263" spans="1:46" ht="16.5" customHeight="1">
      <c r="A263" s="4"/>
      <c r="C263" s="4"/>
      <c r="E263" s="4"/>
      <c r="G263" s="3"/>
      <c r="H263" s="3"/>
      <c r="I263" s="3"/>
      <c r="AS263" s="4"/>
      <c r="AT263" s="4"/>
    </row>
    <row r="264" spans="1:46" ht="16.5" customHeight="1">
      <c r="A264" s="4"/>
      <c r="C264" s="4"/>
      <c r="E264" s="4"/>
      <c r="G264" s="3"/>
      <c r="H264" s="3"/>
      <c r="I264" s="3"/>
      <c r="AS264" s="4"/>
      <c r="AT264" s="4"/>
    </row>
    <row r="265" spans="1:46" ht="16.5" customHeight="1">
      <c r="A265" s="4"/>
      <c r="C265" s="4"/>
      <c r="E265" s="4"/>
      <c r="G265" s="3"/>
      <c r="H265" s="3"/>
      <c r="I265" s="3"/>
      <c r="AS265" s="4"/>
      <c r="AT265" s="4"/>
    </row>
    <row r="266" spans="1:46" ht="16.5" customHeight="1">
      <c r="A266" s="4"/>
      <c r="C266" s="4"/>
      <c r="E266" s="4"/>
      <c r="G266" s="3"/>
      <c r="H266" s="3"/>
      <c r="I266" s="3"/>
      <c r="AS266" s="4"/>
      <c r="AT266" s="4"/>
    </row>
    <row r="267" spans="1:46" ht="16.5" customHeight="1">
      <c r="A267" s="4"/>
      <c r="C267" s="4"/>
      <c r="E267" s="4"/>
      <c r="G267" s="3"/>
      <c r="H267" s="3"/>
      <c r="I267" s="3"/>
      <c r="AS267" s="4"/>
      <c r="AT267" s="4"/>
    </row>
    <row r="268" spans="1:46" ht="16.5" customHeight="1">
      <c r="A268" s="4"/>
      <c r="C268" s="4"/>
      <c r="E268" s="4"/>
      <c r="G268" s="3"/>
      <c r="H268" s="3"/>
      <c r="I268" s="3"/>
      <c r="AS268" s="4"/>
      <c r="AT268" s="4"/>
    </row>
    <row r="269" spans="1:46" ht="16.5" customHeight="1">
      <c r="A269" s="4"/>
      <c r="C269" s="4"/>
      <c r="E269" s="4"/>
      <c r="G269" s="3"/>
      <c r="H269" s="3"/>
      <c r="I269" s="3"/>
      <c r="AS269" s="4"/>
      <c r="AT269" s="4"/>
    </row>
    <row r="270" spans="1:46" ht="16.5" customHeight="1">
      <c r="A270" s="4"/>
      <c r="C270" s="4"/>
      <c r="E270" s="4"/>
      <c r="G270" s="3"/>
      <c r="H270" s="3"/>
      <c r="I270" s="3"/>
      <c r="AS270" s="4"/>
      <c r="AT270" s="4"/>
    </row>
    <row r="271" spans="1:46" ht="16.5" customHeight="1">
      <c r="A271" s="4"/>
      <c r="C271" s="4"/>
      <c r="E271" s="4"/>
      <c r="G271" s="3"/>
      <c r="H271" s="3"/>
      <c r="I271" s="3"/>
      <c r="AS271" s="4"/>
      <c r="AT271" s="4"/>
    </row>
    <row r="272" spans="1:46" ht="16.5" customHeight="1">
      <c r="A272" s="4"/>
      <c r="C272" s="4"/>
      <c r="E272" s="4"/>
      <c r="G272" s="3"/>
      <c r="H272" s="3"/>
      <c r="I272" s="3"/>
      <c r="AS272" s="4"/>
      <c r="AT272" s="4"/>
    </row>
    <row r="273" spans="1:46" ht="16.5" customHeight="1">
      <c r="A273" s="4"/>
      <c r="C273" s="4"/>
      <c r="E273" s="4"/>
      <c r="G273" s="3"/>
      <c r="H273" s="3"/>
      <c r="I273" s="3"/>
      <c r="AS273" s="4"/>
      <c r="AT273" s="4"/>
    </row>
    <row r="274" spans="1:46" ht="16.5" customHeight="1">
      <c r="A274" s="4"/>
      <c r="C274" s="4"/>
      <c r="E274" s="4"/>
      <c r="G274" s="3"/>
      <c r="H274" s="3"/>
      <c r="I274" s="3"/>
      <c r="AS274" s="4"/>
      <c r="AT274" s="4"/>
    </row>
    <row r="275" spans="1:46" ht="16.5" customHeight="1">
      <c r="A275" s="4"/>
      <c r="C275" s="4"/>
      <c r="E275" s="4"/>
      <c r="G275" s="3"/>
      <c r="H275" s="3"/>
      <c r="I275" s="3"/>
      <c r="AS275" s="4"/>
      <c r="AT275" s="4"/>
    </row>
    <row r="276" spans="1:46" ht="16.5" customHeight="1">
      <c r="A276" s="4"/>
      <c r="C276" s="4"/>
      <c r="E276" s="4"/>
      <c r="G276" s="3"/>
      <c r="H276" s="3"/>
      <c r="I276" s="3"/>
      <c r="AS276" s="4"/>
      <c r="AT276" s="4"/>
    </row>
    <row r="277" spans="1:46" ht="16.5" customHeight="1">
      <c r="A277" s="4"/>
      <c r="C277" s="4"/>
      <c r="E277" s="4"/>
      <c r="G277" s="3"/>
      <c r="H277" s="3"/>
      <c r="I277" s="3"/>
      <c r="AS277" s="4"/>
      <c r="AT277" s="4"/>
    </row>
    <row r="278" spans="1:46" ht="16.5" customHeight="1">
      <c r="A278" s="4"/>
      <c r="C278" s="4"/>
      <c r="E278" s="4"/>
      <c r="G278" s="3"/>
      <c r="H278" s="3"/>
      <c r="I278" s="3"/>
      <c r="AS278" s="4"/>
      <c r="AT278" s="4"/>
    </row>
    <row r="279" spans="1:46" ht="16.5" customHeight="1">
      <c r="A279" s="4"/>
      <c r="C279" s="4"/>
      <c r="E279" s="4"/>
      <c r="G279" s="3"/>
      <c r="H279" s="3"/>
      <c r="I279" s="3"/>
      <c r="AS279" s="4"/>
      <c r="AT279" s="4"/>
    </row>
    <row r="280" spans="1:46" ht="16.5" customHeight="1">
      <c r="A280" s="4"/>
      <c r="C280" s="4"/>
      <c r="E280" s="4"/>
      <c r="G280" s="3"/>
      <c r="H280" s="3"/>
      <c r="I280" s="3"/>
      <c r="AS280" s="4"/>
      <c r="AT280" s="4"/>
    </row>
    <row r="281" spans="1:46" ht="16.5" customHeight="1">
      <c r="A281" s="4"/>
      <c r="C281" s="4"/>
      <c r="E281" s="4"/>
      <c r="G281" s="3"/>
      <c r="H281" s="3"/>
      <c r="I281" s="3"/>
      <c r="AS281" s="4"/>
      <c r="AT281" s="4"/>
    </row>
    <row r="282" spans="1:46" ht="16.5" customHeight="1">
      <c r="A282" s="4"/>
      <c r="C282" s="4"/>
      <c r="E282" s="4"/>
      <c r="G282" s="3"/>
      <c r="H282" s="3"/>
      <c r="I282" s="3"/>
      <c r="AS282" s="4"/>
      <c r="AT282" s="4"/>
    </row>
    <row r="283" spans="1:46" ht="16.5" customHeight="1">
      <c r="A283" s="4"/>
      <c r="C283" s="4"/>
      <c r="E283" s="4"/>
      <c r="G283" s="3"/>
      <c r="H283" s="3"/>
      <c r="I283" s="3"/>
      <c r="AS283" s="4"/>
      <c r="AT283" s="4"/>
    </row>
    <row r="284" spans="1:46" ht="16.5" customHeight="1">
      <c r="A284" s="4"/>
      <c r="C284" s="4"/>
      <c r="E284" s="4"/>
      <c r="G284" s="3"/>
      <c r="H284" s="3"/>
      <c r="I284" s="3"/>
      <c r="AS284" s="4"/>
      <c r="AT284" s="4"/>
    </row>
    <row r="285" spans="1:46" ht="16.5" customHeight="1">
      <c r="A285" s="4"/>
      <c r="C285" s="4"/>
      <c r="E285" s="4"/>
      <c r="G285" s="3"/>
      <c r="H285" s="3"/>
      <c r="I285" s="3"/>
      <c r="AS285" s="4"/>
      <c r="AT285" s="4"/>
    </row>
    <row r="286" spans="1:46" ht="16.5" customHeight="1">
      <c r="A286" s="4"/>
      <c r="C286" s="4"/>
      <c r="E286" s="4"/>
      <c r="G286" s="3"/>
      <c r="H286" s="3"/>
      <c r="I286" s="3"/>
      <c r="AS286" s="4"/>
      <c r="AT286" s="4"/>
    </row>
    <row r="287" spans="1:46" ht="16.5" customHeight="1">
      <c r="A287" s="4"/>
      <c r="C287" s="4"/>
      <c r="E287" s="4"/>
      <c r="G287" s="3"/>
      <c r="H287" s="3"/>
      <c r="I287" s="3"/>
      <c r="AS287" s="4"/>
      <c r="AT287" s="4"/>
    </row>
    <row r="288" spans="1:46" ht="16.5" customHeight="1">
      <c r="A288" s="4"/>
      <c r="C288" s="4"/>
      <c r="E288" s="4"/>
      <c r="G288" s="3"/>
      <c r="H288" s="3"/>
      <c r="I288" s="3"/>
      <c r="AS288" s="4"/>
      <c r="AT288" s="4"/>
    </row>
    <row r="289" spans="1:46" ht="16.5" customHeight="1">
      <c r="A289" s="4"/>
      <c r="C289" s="4"/>
      <c r="E289" s="4"/>
      <c r="G289" s="3"/>
      <c r="H289" s="3"/>
      <c r="I289" s="3"/>
      <c r="AS289" s="4"/>
      <c r="AT289" s="4"/>
    </row>
    <row r="290" spans="1:46" ht="16.5" customHeight="1">
      <c r="A290" s="4"/>
      <c r="C290" s="4"/>
      <c r="E290" s="4"/>
      <c r="G290" s="3"/>
      <c r="H290" s="3"/>
      <c r="I290" s="3"/>
      <c r="AS290" s="4"/>
      <c r="AT290" s="4"/>
    </row>
    <row r="291" spans="1:46" ht="16.5" customHeight="1">
      <c r="A291" s="4"/>
      <c r="C291" s="4"/>
      <c r="E291" s="4"/>
      <c r="G291" s="3"/>
      <c r="H291" s="3"/>
      <c r="I291" s="3"/>
      <c r="AS291" s="4"/>
      <c r="AT291" s="4"/>
    </row>
    <row r="292" spans="1:46" ht="16.5" customHeight="1">
      <c r="A292" s="4"/>
      <c r="C292" s="4"/>
      <c r="E292" s="4"/>
      <c r="G292" s="3"/>
      <c r="H292" s="3"/>
      <c r="I292" s="3"/>
      <c r="AS292" s="4"/>
      <c r="AT292" s="4"/>
    </row>
    <row r="293" spans="1:46" ht="16.5" customHeight="1">
      <c r="A293" s="4"/>
      <c r="C293" s="4"/>
      <c r="E293" s="4"/>
      <c r="G293" s="3"/>
      <c r="H293" s="3"/>
      <c r="I293" s="3"/>
      <c r="AS293" s="4"/>
      <c r="AT293" s="4"/>
    </row>
    <row r="294" spans="1:46" ht="16.5" customHeight="1">
      <c r="A294" s="4"/>
      <c r="C294" s="4"/>
      <c r="E294" s="4"/>
      <c r="G294" s="3"/>
      <c r="H294" s="3"/>
      <c r="I294" s="3"/>
      <c r="AS294" s="4"/>
      <c r="AT294" s="4"/>
    </row>
    <row r="295" spans="1:46" ht="16.5" customHeight="1">
      <c r="A295" s="4"/>
      <c r="C295" s="4"/>
      <c r="E295" s="4"/>
      <c r="G295" s="3"/>
      <c r="H295" s="3"/>
      <c r="I295" s="3"/>
      <c r="AS295" s="4"/>
      <c r="AT295" s="4"/>
    </row>
    <row r="296" spans="1:46" ht="16.5" customHeight="1">
      <c r="A296" s="4"/>
      <c r="C296" s="4"/>
      <c r="E296" s="4"/>
      <c r="G296" s="3"/>
      <c r="H296" s="3"/>
      <c r="I296" s="3"/>
      <c r="AS296" s="4"/>
      <c r="AT296" s="4"/>
    </row>
    <row r="297" spans="1:46" ht="16.5" customHeight="1">
      <c r="A297" s="4"/>
      <c r="C297" s="4"/>
      <c r="E297" s="4"/>
      <c r="G297" s="3"/>
      <c r="H297" s="3"/>
      <c r="I297" s="3"/>
      <c r="AS297" s="4"/>
      <c r="AT297" s="4"/>
    </row>
    <row r="298" spans="1:46" ht="16.5" customHeight="1">
      <c r="A298" s="4"/>
      <c r="C298" s="4"/>
      <c r="E298" s="4"/>
      <c r="G298" s="3"/>
      <c r="H298" s="3"/>
      <c r="I298" s="3"/>
      <c r="AS298" s="4"/>
      <c r="AT298" s="4"/>
    </row>
    <row r="299" spans="1:46" ht="16.5" customHeight="1">
      <c r="A299" s="4"/>
      <c r="C299" s="4"/>
      <c r="E299" s="4"/>
      <c r="G299" s="3"/>
      <c r="H299" s="3"/>
      <c r="I299" s="3"/>
      <c r="AS299" s="4"/>
      <c r="AT299" s="4"/>
    </row>
    <row r="300" spans="1:46" ht="16.5" customHeight="1">
      <c r="A300" s="4"/>
      <c r="C300" s="4"/>
      <c r="E300" s="4"/>
      <c r="G300" s="3"/>
      <c r="H300" s="3"/>
      <c r="I300" s="3"/>
      <c r="AS300" s="4"/>
      <c r="AT300" s="4"/>
    </row>
    <row r="301" spans="1:46" ht="16.5" customHeight="1">
      <c r="A301" s="4"/>
      <c r="C301" s="4"/>
      <c r="E301" s="4"/>
      <c r="G301" s="3"/>
      <c r="H301" s="3"/>
      <c r="I301" s="3"/>
      <c r="AS301" s="4"/>
      <c r="AT301" s="4"/>
    </row>
    <row r="302" spans="1:46" ht="16.5" customHeight="1">
      <c r="A302" s="4"/>
      <c r="C302" s="4"/>
      <c r="E302" s="4"/>
      <c r="G302" s="3"/>
      <c r="H302" s="3"/>
      <c r="I302" s="3"/>
      <c r="AS302" s="4"/>
      <c r="AT302" s="4"/>
    </row>
    <row r="303" spans="1:46" ht="16.5" customHeight="1">
      <c r="A303" s="4"/>
      <c r="C303" s="4"/>
      <c r="E303" s="4"/>
      <c r="G303" s="3"/>
      <c r="H303" s="3"/>
      <c r="I303" s="3"/>
      <c r="AS303" s="4"/>
      <c r="AT303" s="4"/>
    </row>
    <row r="304" spans="1:46" ht="16.5" customHeight="1">
      <c r="A304" s="4"/>
      <c r="C304" s="4"/>
      <c r="E304" s="4"/>
      <c r="G304" s="3"/>
      <c r="H304" s="3"/>
      <c r="I304" s="3"/>
      <c r="AS304" s="4"/>
      <c r="AT304" s="4"/>
    </row>
    <row r="305" spans="1:46" ht="16.5" customHeight="1">
      <c r="A305" s="4"/>
      <c r="C305" s="4"/>
      <c r="E305" s="4"/>
      <c r="G305" s="3"/>
      <c r="H305" s="3"/>
      <c r="I305" s="3"/>
      <c r="AS305" s="4"/>
      <c r="AT305" s="4"/>
    </row>
    <row r="306" spans="1:46" ht="16.5" customHeight="1">
      <c r="A306" s="4"/>
      <c r="C306" s="4"/>
      <c r="E306" s="4"/>
      <c r="G306" s="3"/>
      <c r="H306" s="3"/>
      <c r="I306" s="3"/>
      <c r="AS306" s="4"/>
      <c r="AT306" s="4"/>
    </row>
    <row r="307" spans="1:46" ht="16.5" customHeight="1">
      <c r="A307" s="4"/>
      <c r="C307" s="4"/>
      <c r="E307" s="4"/>
      <c r="G307" s="3"/>
      <c r="H307" s="3"/>
      <c r="I307" s="3"/>
      <c r="AS307" s="4"/>
      <c r="AT307" s="4"/>
    </row>
    <row r="308" spans="1:46" ht="16.5" customHeight="1">
      <c r="A308" s="4"/>
      <c r="C308" s="4"/>
      <c r="E308" s="4"/>
      <c r="G308" s="3"/>
      <c r="H308" s="3"/>
      <c r="I308" s="3"/>
      <c r="AS308" s="4"/>
      <c r="AT308" s="4"/>
    </row>
    <row r="309" spans="1:46" ht="16.5" customHeight="1">
      <c r="A309" s="4"/>
      <c r="C309" s="4"/>
      <c r="E309" s="4"/>
      <c r="G309" s="3"/>
      <c r="H309" s="3"/>
      <c r="I309" s="3"/>
      <c r="AS309" s="4"/>
      <c r="AT309" s="4"/>
    </row>
    <row r="310" spans="1:46" ht="16.5" customHeight="1">
      <c r="A310" s="4"/>
      <c r="C310" s="4"/>
      <c r="E310" s="4"/>
      <c r="G310" s="3"/>
      <c r="H310" s="3"/>
      <c r="I310" s="3"/>
      <c r="AS310" s="4"/>
      <c r="AT310" s="4"/>
    </row>
    <row r="311" spans="1:46" ht="16.5" customHeight="1">
      <c r="A311" s="4"/>
      <c r="C311" s="4"/>
      <c r="E311" s="4"/>
      <c r="G311" s="3"/>
      <c r="H311" s="3"/>
      <c r="I311" s="3"/>
      <c r="AS311" s="4"/>
      <c r="AT311" s="4"/>
    </row>
    <row r="312" spans="1:46" ht="16.5" customHeight="1">
      <c r="A312" s="4"/>
      <c r="C312" s="4"/>
      <c r="E312" s="4"/>
      <c r="G312" s="3"/>
      <c r="H312" s="3"/>
      <c r="I312" s="3"/>
      <c r="AS312" s="4"/>
      <c r="AT312" s="4"/>
    </row>
    <row r="313" spans="1:46" ht="16.5" customHeight="1">
      <c r="A313" s="4"/>
      <c r="C313" s="4"/>
      <c r="E313" s="4"/>
      <c r="G313" s="3"/>
      <c r="H313" s="3"/>
      <c r="I313" s="3"/>
      <c r="AS313" s="4"/>
      <c r="AT313" s="4"/>
    </row>
    <row r="314" spans="1:46" ht="16.5" customHeight="1">
      <c r="A314" s="4"/>
      <c r="C314" s="4"/>
      <c r="E314" s="4"/>
      <c r="G314" s="3"/>
      <c r="H314" s="3"/>
      <c r="I314" s="3"/>
      <c r="AS314" s="4"/>
      <c r="AT314" s="4"/>
    </row>
    <row r="315" spans="1:46" ht="16.5" customHeight="1">
      <c r="A315" s="4"/>
      <c r="C315" s="4"/>
      <c r="E315" s="4"/>
      <c r="G315" s="3"/>
      <c r="H315" s="3"/>
      <c r="I315" s="3"/>
      <c r="AS315" s="4"/>
      <c r="AT315" s="4"/>
    </row>
    <row r="316" spans="1:46" ht="16.5" customHeight="1">
      <c r="A316" s="4"/>
      <c r="C316" s="4"/>
      <c r="E316" s="4"/>
      <c r="G316" s="3"/>
      <c r="H316" s="3"/>
      <c r="I316" s="3"/>
      <c r="AS316" s="4"/>
      <c r="AT316" s="4"/>
    </row>
    <row r="317" spans="1:46" ht="16.5" customHeight="1">
      <c r="A317" s="4"/>
      <c r="C317" s="4"/>
      <c r="E317" s="4"/>
      <c r="G317" s="3"/>
      <c r="H317" s="3"/>
      <c r="I317" s="3"/>
      <c r="AS317" s="4"/>
      <c r="AT317" s="4"/>
    </row>
    <row r="318" spans="1:46" ht="16.5" customHeight="1">
      <c r="A318" s="4"/>
      <c r="C318" s="4"/>
      <c r="E318" s="4"/>
      <c r="G318" s="3"/>
      <c r="H318" s="3"/>
      <c r="I318" s="3"/>
      <c r="AS318" s="4"/>
      <c r="AT318" s="4"/>
    </row>
    <row r="319" spans="1:46" ht="16.5" customHeight="1">
      <c r="A319" s="4"/>
      <c r="C319" s="4"/>
      <c r="E319" s="4"/>
      <c r="G319" s="3"/>
      <c r="H319" s="3"/>
      <c r="I319" s="3"/>
      <c r="AS319" s="4"/>
      <c r="AT319" s="4"/>
    </row>
    <row r="320" spans="1:46" ht="16.5" customHeight="1">
      <c r="A320" s="4"/>
      <c r="C320" s="4"/>
      <c r="E320" s="4"/>
      <c r="G320" s="3"/>
      <c r="H320" s="3"/>
      <c r="I320" s="3"/>
      <c r="AS320" s="4"/>
      <c r="AT320" s="4"/>
    </row>
    <row r="321" spans="1:46" ht="16.5" customHeight="1">
      <c r="A321" s="4"/>
      <c r="C321" s="4"/>
      <c r="E321" s="4"/>
      <c r="G321" s="3"/>
      <c r="H321" s="3"/>
      <c r="I321" s="3"/>
      <c r="AS321" s="4"/>
      <c r="AT321" s="4"/>
    </row>
    <row r="322" spans="1:46" ht="16.5" customHeight="1">
      <c r="A322" s="4"/>
      <c r="C322" s="4"/>
      <c r="E322" s="4"/>
      <c r="G322" s="3"/>
      <c r="H322" s="3"/>
      <c r="I322" s="3"/>
      <c r="AS322" s="4"/>
      <c r="AT322" s="4"/>
    </row>
    <row r="323" spans="1:46" ht="16.5" customHeight="1">
      <c r="A323" s="4"/>
      <c r="C323" s="4"/>
      <c r="E323" s="4"/>
      <c r="G323" s="3"/>
      <c r="H323" s="3"/>
      <c r="I323" s="3"/>
      <c r="AS323" s="4"/>
      <c r="AT323" s="4"/>
    </row>
    <row r="324" spans="1:46" ht="16.5" customHeight="1">
      <c r="A324" s="4"/>
      <c r="C324" s="4"/>
      <c r="E324" s="4"/>
      <c r="G324" s="3"/>
      <c r="H324" s="3"/>
      <c r="I324" s="3"/>
      <c r="AS324" s="4"/>
      <c r="AT324" s="4"/>
    </row>
    <row r="325" spans="1:46" ht="16.5" customHeight="1">
      <c r="A325" s="4"/>
      <c r="C325" s="4"/>
      <c r="E325" s="4"/>
      <c r="G325" s="3"/>
      <c r="H325" s="3"/>
      <c r="I325" s="3"/>
      <c r="AS325" s="4"/>
      <c r="AT325" s="4"/>
    </row>
    <row r="326" spans="1:46" ht="16.5" customHeight="1">
      <c r="A326" s="4"/>
      <c r="C326" s="4"/>
      <c r="E326" s="4"/>
      <c r="G326" s="3"/>
      <c r="H326" s="3"/>
      <c r="I326" s="3"/>
      <c r="AS326" s="4"/>
      <c r="AT326" s="4"/>
    </row>
    <row r="327" spans="1:46" ht="16.5" customHeight="1">
      <c r="A327" s="4"/>
      <c r="C327" s="4"/>
      <c r="E327" s="4"/>
      <c r="G327" s="3"/>
      <c r="H327" s="3"/>
      <c r="I327" s="3"/>
      <c r="AS327" s="4"/>
      <c r="AT327" s="4"/>
    </row>
    <row r="328" spans="1:46" ht="16.5" customHeight="1">
      <c r="A328" s="4"/>
      <c r="C328" s="4"/>
      <c r="E328" s="4"/>
      <c r="G328" s="3"/>
      <c r="H328" s="3"/>
      <c r="I328" s="3"/>
      <c r="AS328" s="4"/>
      <c r="AT328" s="4"/>
    </row>
    <row r="329" spans="1:46" ht="16.5" customHeight="1">
      <c r="A329" s="4"/>
      <c r="C329" s="4"/>
      <c r="E329" s="4"/>
      <c r="G329" s="3"/>
      <c r="H329" s="3"/>
      <c r="I329" s="3"/>
      <c r="AS329" s="4"/>
      <c r="AT329" s="4"/>
    </row>
    <row r="330" spans="1:46" ht="16.5" customHeight="1">
      <c r="A330" s="4"/>
      <c r="C330" s="4"/>
      <c r="E330" s="4"/>
      <c r="G330" s="3"/>
      <c r="H330" s="3"/>
      <c r="I330" s="3"/>
      <c r="AS330" s="4"/>
      <c r="AT330" s="4"/>
    </row>
    <row r="331" spans="1:46" ht="16.5" customHeight="1">
      <c r="A331" s="4"/>
      <c r="C331" s="4"/>
      <c r="E331" s="4"/>
      <c r="G331" s="3"/>
      <c r="H331" s="3"/>
      <c r="I331" s="3"/>
      <c r="AS331" s="4"/>
      <c r="AT331" s="4"/>
    </row>
    <row r="332" spans="1:46" ht="16.5" customHeight="1">
      <c r="A332" s="4"/>
      <c r="C332" s="4"/>
      <c r="E332" s="4"/>
      <c r="G332" s="3"/>
      <c r="H332" s="3"/>
      <c r="I332" s="3"/>
      <c r="AS332" s="4"/>
      <c r="AT332" s="4"/>
    </row>
    <row r="333" spans="1:46" ht="16.5" customHeight="1">
      <c r="A333" s="4"/>
      <c r="C333" s="4"/>
      <c r="E333" s="4"/>
      <c r="G333" s="3"/>
      <c r="H333" s="3"/>
      <c r="I333" s="3"/>
      <c r="AS333" s="4"/>
      <c r="AT333" s="4"/>
    </row>
    <row r="334" spans="1:46" ht="16.5" customHeight="1">
      <c r="A334" s="4"/>
      <c r="C334" s="4"/>
      <c r="E334" s="4"/>
      <c r="G334" s="3"/>
      <c r="H334" s="3"/>
      <c r="I334" s="3"/>
      <c r="AS334" s="4"/>
      <c r="AT334" s="4"/>
    </row>
    <row r="335" spans="1:46" ht="16.5" customHeight="1">
      <c r="A335" s="4"/>
      <c r="C335" s="4"/>
      <c r="E335" s="4"/>
      <c r="G335" s="3"/>
      <c r="H335" s="3"/>
      <c r="I335" s="3"/>
      <c r="AS335" s="4"/>
      <c r="AT335" s="4"/>
    </row>
    <row r="336" spans="1:46" ht="16.5" customHeight="1">
      <c r="A336" s="4"/>
      <c r="C336" s="4"/>
      <c r="E336" s="4"/>
      <c r="G336" s="3"/>
      <c r="H336" s="3"/>
      <c r="I336" s="3"/>
      <c r="AS336" s="4"/>
      <c r="AT336" s="4"/>
    </row>
    <row r="337" spans="1:46" ht="16.5" customHeight="1">
      <c r="A337" s="4"/>
      <c r="C337" s="4"/>
      <c r="E337" s="4"/>
      <c r="G337" s="3"/>
      <c r="H337" s="3"/>
      <c r="I337" s="3"/>
      <c r="AS337" s="4"/>
      <c r="AT337" s="4"/>
    </row>
    <row r="338" spans="1:46" ht="16.5" customHeight="1">
      <c r="A338" s="4"/>
      <c r="C338" s="4"/>
      <c r="E338" s="4"/>
      <c r="G338" s="3"/>
      <c r="H338" s="3"/>
      <c r="I338" s="3"/>
      <c r="AS338" s="4"/>
      <c r="AT338" s="4"/>
    </row>
    <row r="339" spans="1:46" ht="16.5" customHeight="1">
      <c r="A339" s="4"/>
      <c r="C339" s="4"/>
      <c r="E339" s="4"/>
      <c r="G339" s="3"/>
      <c r="H339" s="3"/>
      <c r="I339" s="3"/>
      <c r="AS339" s="4"/>
      <c r="AT339" s="4"/>
    </row>
    <row r="340" spans="1:46" ht="16.5" customHeight="1">
      <c r="A340" s="4"/>
      <c r="C340" s="4"/>
      <c r="E340" s="4"/>
      <c r="G340" s="3"/>
      <c r="H340" s="3"/>
      <c r="I340" s="3"/>
      <c r="AS340" s="4"/>
      <c r="AT340" s="4"/>
    </row>
    <row r="341" spans="1:46" ht="16.5" customHeight="1">
      <c r="A341" s="4"/>
      <c r="C341" s="4"/>
      <c r="E341" s="4"/>
      <c r="G341" s="3"/>
      <c r="H341" s="3"/>
      <c r="I341" s="3"/>
      <c r="AS341" s="4"/>
      <c r="AT341" s="4"/>
    </row>
    <row r="342" spans="1:46" ht="16.5" customHeight="1">
      <c r="A342" s="4"/>
      <c r="C342" s="4"/>
      <c r="E342" s="4"/>
      <c r="G342" s="3"/>
      <c r="H342" s="3"/>
      <c r="I342" s="3"/>
      <c r="AS342" s="4"/>
      <c r="AT342" s="4"/>
    </row>
    <row r="343" spans="1:46" ht="16.5" customHeight="1">
      <c r="A343" s="4"/>
      <c r="C343" s="4"/>
      <c r="E343" s="4"/>
      <c r="G343" s="3"/>
      <c r="H343" s="3"/>
      <c r="I343" s="3"/>
      <c r="AS343" s="4"/>
      <c r="AT343" s="4"/>
    </row>
    <row r="344" spans="1:46" ht="16.5" customHeight="1">
      <c r="A344" s="4"/>
      <c r="C344" s="4"/>
      <c r="E344" s="4"/>
      <c r="G344" s="3"/>
      <c r="H344" s="3"/>
      <c r="I344" s="3"/>
      <c r="AS344" s="4"/>
      <c r="AT344" s="4"/>
    </row>
    <row r="345" spans="1:46" ht="16.5" customHeight="1">
      <c r="A345" s="4"/>
      <c r="C345" s="4"/>
      <c r="E345" s="4"/>
      <c r="G345" s="3"/>
      <c r="H345" s="3"/>
      <c r="I345" s="3"/>
      <c r="AS345" s="4"/>
      <c r="AT345" s="4"/>
    </row>
    <row r="346" spans="1:46" ht="16.5" customHeight="1">
      <c r="A346" s="4"/>
      <c r="C346" s="4"/>
      <c r="E346" s="4"/>
      <c r="G346" s="3"/>
      <c r="H346" s="3"/>
      <c r="I346" s="3"/>
      <c r="AS346" s="4"/>
      <c r="AT346" s="4"/>
    </row>
    <row r="347" spans="1:46" ht="16.5" customHeight="1">
      <c r="A347" s="4"/>
      <c r="C347" s="4"/>
      <c r="E347" s="4"/>
      <c r="G347" s="3"/>
      <c r="H347" s="3"/>
      <c r="I347" s="3"/>
      <c r="AS347" s="4"/>
      <c r="AT347" s="4"/>
    </row>
    <row r="348" spans="1:46" ht="16.5" customHeight="1">
      <c r="A348" s="4"/>
      <c r="C348" s="4"/>
      <c r="E348" s="4"/>
      <c r="G348" s="3"/>
      <c r="H348" s="3"/>
      <c r="I348" s="3"/>
      <c r="AS348" s="4"/>
      <c r="AT348" s="4"/>
    </row>
    <row r="349" spans="1:46" ht="16.5" customHeight="1">
      <c r="A349" s="4"/>
      <c r="C349" s="4"/>
      <c r="E349" s="4"/>
      <c r="G349" s="3"/>
      <c r="H349" s="3"/>
      <c r="I349" s="3"/>
      <c r="AS349" s="4"/>
      <c r="AT349" s="4"/>
    </row>
    <row r="350" spans="1:46" ht="16.5" customHeight="1">
      <c r="A350" s="4"/>
      <c r="C350" s="4"/>
      <c r="E350" s="4"/>
      <c r="G350" s="3"/>
      <c r="H350" s="3"/>
      <c r="I350" s="3"/>
      <c r="AS350" s="4"/>
      <c r="AT350" s="4"/>
    </row>
    <row r="351" spans="1:46" ht="16.5" customHeight="1">
      <c r="A351" s="4"/>
      <c r="C351" s="4"/>
      <c r="E351" s="4"/>
      <c r="G351" s="3"/>
      <c r="H351" s="3"/>
      <c r="I351" s="3"/>
      <c r="AS351" s="4"/>
      <c r="AT351" s="4"/>
    </row>
    <row r="352" spans="1:46" ht="16.5" customHeight="1">
      <c r="A352" s="4"/>
      <c r="C352" s="4"/>
      <c r="E352" s="4"/>
      <c r="G352" s="3"/>
      <c r="H352" s="3"/>
      <c r="I352" s="3"/>
      <c r="AS352" s="4"/>
      <c r="AT352" s="4"/>
    </row>
    <row r="353" spans="1:46" ht="16.5" customHeight="1">
      <c r="A353" s="4"/>
      <c r="C353" s="4"/>
      <c r="E353" s="4"/>
      <c r="G353" s="3"/>
      <c r="H353" s="3"/>
      <c r="I353" s="3"/>
      <c r="AS353" s="4"/>
      <c r="AT353" s="4"/>
    </row>
    <row r="354" spans="1:46" ht="16.5" customHeight="1">
      <c r="A354" s="4"/>
      <c r="C354" s="4"/>
      <c r="E354" s="4"/>
      <c r="G354" s="3"/>
      <c r="H354" s="3"/>
      <c r="I354" s="3"/>
      <c r="AS354" s="4"/>
      <c r="AT354" s="4"/>
    </row>
    <row r="355" spans="1:46" ht="16.5" customHeight="1">
      <c r="A355" s="4"/>
      <c r="C355" s="4"/>
      <c r="E355" s="4"/>
      <c r="G355" s="3"/>
      <c r="H355" s="3"/>
      <c r="I355" s="3"/>
      <c r="AS355" s="4"/>
      <c r="AT355" s="4"/>
    </row>
    <row r="356" spans="1:46" ht="16.5" customHeight="1">
      <c r="A356" s="4"/>
      <c r="C356" s="4"/>
      <c r="E356" s="4"/>
      <c r="G356" s="3"/>
      <c r="H356" s="3"/>
      <c r="I356" s="3"/>
      <c r="AS356" s="4"/>
      <c r="AT356" s="4"/>
    </row>
    <row r="357" spans="1:46" ht="16.5" customHeight="1">
      <c r="A357" s="4"/>
      <c r="C357" s="4"/>
      <c r="E357" s="4"/>
      <c r="G357" s="3"/>
      <c r="H357" s="3"/>
      <c r="I357" s="3"/>
      <c r="AS357" s="4"/>
      <c r="AT357" s="4"/>
    </row>
    <row r="358" spans="1:46" ht="16.5" customHeight="1">
      <c r="A358" s="4"/>
      <c r="C358" s="4"/>
      <c r="E358" s="4"/>
      <c r="G358" s="3"/>
      <c r="H358" s="3"/>
      <c r="I358" s="3"/>
      <c r="AS358" s="4"/>
      <c r="AT358" s="4"/>
    </row>
    <row r="359" spans="1:46" ht="16.5" customHeight="1">
      <c r="A359" s="4"/>
      <c r="C359" s="4"/>
      <c r="E359" s="4"/>
      <c r="G359" s="3"/>
      <c r="H359" s="3"/>
      <c r="I359" s="3"/>
      <c r="AS359" s="4"/>
      <c r="AT359" s="4"/>
    </row>
    <row r="360" spans="1:46" ht="16.5" customHeight="1">
      <c r="A360" s="4"/>
      <c r="C360" s="4"/>
      <c r="E360" s="4"/>
      <c r="G360" s="3"/>
      <c r="H360" s="3"/>
      <c r="I360" s="3"/>
      <c r="AS360" s="4"/>
      <c r="AT360" s="4"/>
    </row>
    <row r="361" spans="1:46" ht="16.5" customHeight="1">
      <c r="A361" s="4"/>
      <c r="C361" s="4"/>
      <c r="E361" s="4"/>
      <c r="G361" s="3"/>
      <c r="H361" s="3"/>
      <c r="I361" s="3"/>
      <c r="AS361" s="4"/>
      <c r="AT361" s="4"/>
    </row>
    <row r="362" spans="1:46" ht="16.5" customHeight="1">
      <c r="A362" s="4"/>
      <c r="C362" s="4"/>
      <c r="E362" s="4"/>
      <c r="G362" s="3"/>
      <c r="H362" s="3"/>
      <c r="I362" s="3"/>
      <c r="AS362" s="4"/>
      <c r="AT362" s="4"/>
    </row>
    <row r="363" spans="1:46" ht="16.5" customHeight="1">
      <c r="A363" s="4"/>
      <c r="C363" s="4"/>
      <c r="E363" s="4"/>
      <c r="G363" s="3"/>
      <c r="H363" s="3"/>
      <c r="I363" s="3"/>
      <c r="AS363" s="4"/>
      <c r="AT363" s="4"/>
    </row>
    <row r="364" spans="1:46" ht="16.5" customHeight="1">
      <c r="A364" s="4"/>
      <c r="C364" s="4"/>
      <c r="E364" s="4"/>
      <c r="G364" s="3"/>
      <c r="H364" s="3"/>
      <c r="I364" s="3"/>
      <c r="AS364" s="4"/>
      <c r="AT364" s="4"/>
    </row>
    <row r="365" spans="1:46" ht="16.5" customHeight="1">
      <c r="A365" s="4"/>
      <c r="C365" s="4"/>
      <c r="E365" s="4"/>
      <c r="G365" s="3"/>
      <c r="H365" s="3"/>
      <c r="I365" s="3"/>
      <c r="AS365" s="4"/>
      <c r="AT365" s="4"/>
    </row>
    <row r="366" spans="1:46" ht="16.5" customHeight="1">
      <c r="A366" s="4"/>
      <c r="C366" s="4"/>
      <c r="E366" s="4"/>
      <c r="G366" s="3"/>
      <c r="H366" s="3"/>
      <c r="I366" s="3"/>
      <c r="AS366" s="4"/>
      <c r="AT366" s="4"/>
    </row>
    <row r="367" spans="1:46" ht="16.5" customHeight="1">
      <c r="A367" s="4"/>
      <c r="C367" s="4"/>
      <c r="E367" s="4"/>
      <c r="G367" s="3"/>
      <c r="H367" s="3"/>
      <c r="I367" s="3"/>
      <c r="AS367" s="4"/>
      <c r="AT367" s="4"/>
    </row>
    <row r="368" spans="1:46" ht="16.5" customHeight="1">
      <c r="A368" s="4"/>
      <c r="C368" s="4"/>
      <c r="E368" s="4"/>
      <c r="G368" s="3"/>
      <c r="H368" s="3"/>
      <c r="I368" s="3"/>
      <c r="AS368" s="4"/>
      <c r="AT368" s="4"/>
    </row>
    <row r="369" spans="1:46" ht="16.5" customHeight="1">
      <c r="A369" s="4"/>
      <c r="C369" s="4"/>
      <c r="E369" s="4"/>
      <c r="G369" s="3"/>
      <c r="H369" s="3"/>
      <c r="I369" s="3"/>
      <c r="AS369" s="4"/>
      <c r="AT369" s="4"/>
    </row>
    <row r="370" spans="1:46" ht="16.5" customHeight="1">
      <c r="A370" s="4"/>
      <c r="C370" s="4"/>
      <c r="E370" s="4"/>
      <c r="G370" s="3"/>
      <c r="H370" s="3"/>
      <c r="I370" s="3"/>
      <c r="AS370" s="4"/>
      <c r="AT370" s="4"/>
    </row>
    <row r="371" spans="1:46" ht="16.5" customHeight="1">
      <c r="A371" s="4"/>
      <c r="C371" s="4"/>
      <c r="E371" s="4"/>
      <c r="G371" s="3"/>
      <c r="H371" s="3"/>
      <c r="I371" s="3"/>
      <c r="AS371" s="4"/>
      <c r="AT371" s="4"/>
    </row>
    <row r="372" spans="1:46" ht="16.5" customHeight="1">
      <c r="A372" s="4"/>
      <c r="C372" s="4"/>
      <c r="E372" s="4"/>
      <c r="G372" s="3"/>
      <c r="H372" s="3"/>
      <c r="I372" s="3"/>
      <c r="AS372" s="4"/>
      <c r="AT372" s="4"/>
    </row>
    <row r="373" spans="1:46" ht="16.5" customHeight="1">
      <c r="A373" s="4"/>
      <c r="C373" s="4"/>
      <c r="E373" s="4"/>
      <c r="G373" s="3"/>
      <c r="H373" s="3"/>
      <c r="I373" s="3"/>
      <c r="AS373" s="4"/>
      <c r="AT373" s="4"/>
    </row>
    <row r="374" spans="1:46" ht="16.5" customHeight="1">
      <c r="A374" s="4"/>
      <c r="C374" s="4"/>
      <c r="E374" s="4"/>
      <c r="G374" s="3"/>
      <c r="H374" s="3"/>
      <c r="I374" s="3"/>
      <c r="AS374" s="4"/>
      <c r="AT374" s="4"/>
    </row>
    <row r="375" spans="1:46" ht="16.5" customHeight="1">
      <c r="A375" s="4"/>
      <c r="C375" s="4"/>
      <c r="E375" s="4"/>
      <c r="G375" s="3"/>
      <c r="H375" s="3"/>
      <c r="I375" s="3"/>
      <c r="AS375" s="4"/>
      <c r="AT375" s="4"/>
    </row>
    <row r="376" spans="1:46" ht="16.5" customHeight="1">
      <c r="A376" s="4"/>
      <c r="C376" s="4"/>
      <c r="E376" s="4"/>
      <c r="G376" s="3"/>
      <c r="H376" s="3"/>
      <c r="I376" s="3"/>
      <c r="AS376" s="4"/>
      <c r="AT376" s="4"/>
    </row>
    <row r="377" spans="1:46" ht="16.5" customHeight="1">
      <c r="A377" s="4"/>
      <c r="C377" s="4"/>
      <c r="E377" s="4"/>
      <c r="G377" s="3"/>
      <c r="H377" s="3"/>
      <c r="I377" s="3"/>
      <c r="AS377" s="4"/>
      <c r="AT377" s="4"/>
    </row>
    <row r="378" spans="1:46" ht="16.5" customHeight="1">
      <c r="A378" s="4"/>
      <c r="C378" s="4"/>
      <c r="E378" s="4"/>
      <c r="G378" s="3"/>
      <c r="H378" s="3"/>
      <c r="I378" s="3"/>
      <c r="AS378" s="4"/>
      <c r="AT378" s="4"/>
    </row>
    <row r="379" spans="1:46" ht="16.5" customHeight="1">
      <c r="A379" s="4"/>
      <c r="C379" s="4"/>
      <c r="E379" s="4"/>
      <c r="G379" s="3"/>
      <c r="H379" s="3"/>
      <c r="I379" s="3"/>
      <c r="AS379" s="4"/>
      <c r="AT379" s="4"/>
    </row>
    <row r="380" spans="1:46" ht="16.5" customHeight="1">
      <c r="A380" s="4"/>
      <c r="C380" s="4"/>
      <c r="E380" s="4"/>
      <c r="G380" s="3"/>
      <c r="H380" s="3"/>
      <c r="I380" s="3"/>
      <c r="AS380" s="4"/>
      <c r="AT380" s="4"/>
    </row>
    <row r="381" spans="1:46" ht="16.5" customHeight="1">
      <c r="A381" s="4"/>
      <c r="C381" s="4"/>
      <c r="E381" s="4"/>
      <c r="G381" s="3"/>
      <c r="H381" s="3"/>
      <c r="I381" s="3"/>
      <c r="AS381" s="4"/>
      <c r="AT381" s="4"/>
    </row>
    <row r="382" spans="1:46" ht="16.5" customHeight="1">
      <c r="A382" s="4"/>
      <c r="C382" s="4"/>
      <c r="E382" s="4"/>
      <c r="G382" s="3"/>
      <c r="H382" s="3"/>
      <c r="I382" s="3"/>
      <c r="AS382" s="4"/>
      <c r="AT382" s="4"/>
    </row>
    <row r="383" spans="1:46" ht="16.5" customHeight="1">
      <c r="A383" s="4"/>
      <c r="C383" s="4"/>
      <c r="E383" s="4"/>
      <c r="G383" s="3"/>
      <c r="H383" s="3"/>
      <c r="I383" s="3"/>
      <c r="AS383" s="4"/>
      <c r="AT383" s="4"/>
    </row>
    <row r="384" spans="1:46" ht="16.5" customHeight="1">
      <c r="A384" s="4"/>
      <c r="C384" s="4"/>
      <c r="E384" s="4"/>
      <c r="G384" s="3"/>
      <c r="H384" s="3"/>
      <c r="I384" s="3"/>
      <c r="AS384" s="4"/>
      <c r="AT384" s="4"/>
    </row>
    <row r="385" spans="1:46" ht="16.5" customHeight="1">
      <c r="A385" s="4"/>
      <c r="C385" s="4"/>
      <c r="E385" s="4"/>
      <c r="G385" s="3"/>
      <c r="H385" s="3"/>
      <c r="I385" s="3"/>
      <c r="AS385" s="4"/>
      <c r="AT385" s="4"/>
    </row>
    <row r="386" spans="1:46" ht="16.5" customHeight="1">
      <c r="A386" s="4"/>
      <c r="C386" s="4"/>
      <c r="E386" s="4"/>
      <c r="G386" s="3"/>
      <c r="H386" s="3"/>
      <c r="I386" s="3"/>
      <c r="AS386" s="4"/>
      <c r="AT386" s="4"/>
    </row>
    <row r="387" spans="1:46" ht="16.5" customHeight="1">
      <c r="A387" s="4"/>
      <c r="C387" s="4"/>
      <c r="E387" s="4"/>
      <c r="G387" s="3"/>
      <c r="H387" s="3"/>
      <c r="I387" s="3"/>
      <c r="AS387" s="4"/>
      <c r="AT387" s="4"/>
    </row>
    <row r="388" spans="1:46" ht="16.5" customHeight="1">
      <c r="A388" s="4"/>
      <c r="C388" s="4"/>
      <c r="E388" s="4"/>
      <c r="G388" s="3"/>
      <c r="H388" s="3"/>
      <c r="I388" s="3"/>
      <c r="AS388" s="4"/>
      <c r="AT388" s="4"/>
    </row>
    <row r="389" spans="1:46" ht="16.5" customHeight="1">
      <c r="A389" s="4"/>
      <c r="C389" s="4"/>
      <c r="E389" s="4"/>
      <c r="G389" s="3"/>
      <c r="H389" s="3"/>
      <c r="I389" s="3"/>
      <c r="AS389" s="4"/>
      <c r="AT389" s="4"/>
    </row>
    <row r="390" spans="1:46" ht="16.5" customHeight="1">
      <c r="A390" s="4"/>
      <c r="C390" s="4"/>
      <c r="E390" s="4"/>
      <c r="G390" s="3"/>
      <c r="H390" s="3"/>
      <c r="I390" s="3"/>
      <c r="AS390" s="4"/>
      <c r="AT390" s="4"/>
    </row>
    <row r="391" spans="1:46" ht="16.5" customHeight="1">
      <c r="A391" s="4"/>
      <c r="C391" s="4"/>
      <c r="E391" s="4"/>
      <c r="G391" s="3"/>
      <c r="H391" s="3"/>
      <c r="I391" s="3"/>
      <c r="AS391" s="4"/>
      <c r="AT391" s="4"/>
    </row>
    <row r="392" spans="1:46" ht="16.5" customHeight="1">
      <c r="A392" s="4"/>
      <c r="C392" s="4"/>
      <c r="E392" s="4"/>
      <c r="G392" s="3"/>
      <c r="H392" s="3"/>
      <c r="I392" s="3"/>
      <c r="AS392" s="4"/>
      <c r="AT392" s="4"/>
    </row>
    <row r="393" spans="1:46" ht="16.5" customHeight="1">
      <c r="A393" s="4"/>
      <c r="C393" s="4"/>
      <c r="E393" s="4"/>
      <c r="G393" s="3"/>
      <c r="H393" s="3"/>
      <c r="I393" s="3"/>
      <c r="AS393" s="4"/>
      <c r="AT393" s="4"/>
    </row>
    <row r="394" spans="1:46" ht="16.5" customHeight="1">
      <c r="A394" s="4"/>
      <c r="C394" s="4"/>
      <c r="E394" s="4"/>
      <c r="G394" s="3"/>
      <c r="H394" s="3"/>
      <c r="I394" s="3"/>
      <c r="AS394" s="4"/>
      <c r="AT394" s="4"/>
    </row>
    <row r="395" spans="1:46" ht="16.5" customHeight="1">
      <c r="A395" s="4"/>
      <c r="C395" s="4"/>
      <c r="E395" s="4"/>
      <c r="G395" s="3"/>
      <c r="H395" s="3"/>
      <c r="I395" s="3"/>
      <c r="AS395" s="4"/>
      <c r="AT395" s="4"/>
    </row>
    <row r="396" spans="1:46" ht="16.5" customHeight="1">
      <c r="A396" s="4"/>
      <c r="C396" s="4"/>
      <c r="E396" s="4"/>
      <c r="G396" s="3"/>
      <c r="H396" s="3"/>
      <c r="I396" s="3"/>
      <c r="AS396" s="4"/>
      <c r="AT396" s="4"/>
    </row>
    <row r="397" spans="1:46" ht="16.5" customHeight="1">
      <c r="A397" s="4"/>
      <c r="C397" s="4"/>
      <c r="E397" s="4"/>
      <c r="G397" s="3"/>
      <c r="H397" s="3"/>
      <c r="I397" s="3"/>
      <c r="AS397" s="4"/>
      <c r="AT397" s="4"/>
    </row>
    <row r="398" spans="1:46" ht="16.5" customHeight="1">
      <c r="A398" s="4"/>
      <c r="C398" s="4"/>
      <c r="E398" s="4"/>
      <c r="G398" s="3"/>
      <c r="H398" s="3"/>
      <c r="I398" s="3"/>
      <c r="AS398" s="4"/>
      <c r="AT398" s="4"/>
    </row>
    <row r="399" spans="1:46" ht="16.5" customHeight="1">
      <c r="A399" s="4"/>
      <c r="C399" s="4"/>
      <c r="E399" s="4"/>
      <c r="G399" s="3"/>
      <c r="H399" s="3"/>
      <c r="I399" s="3"/>
      <c r="AS399" s="4"/>
      <c r="AT399" s="4"/>
    </row>
    <row r="400" spans="1:46" ht="16.5" customHeight="1">
      <c r="A400" s="4"/>
      <c r="C400" s="4"/>
      <c r="E400" s="4"/>
      <c r="G400" s="3"/>
      <c r="H400" s="3"/>
      <c r="I400" s="3"/>
      <c r="AS400" s="4"/>
      <c r="AT400" s="4"/>
    </row>
    <row r="401" spans="1:46" ht="16.5" customHeight="1">
      <c r="A401" s="4"/>
      <c r="C401" s="4"/>
      <c r="E401" s="4"/>
      <c r="G401" s="3"/>
      <c r="H401" s="3"/>
      <c r="I401" s="3"/>
      <c r="AS401" s="4"/>
      <c r="AT401" s="4"/>
    </row>
    <row r="402" spans="1:46" ht="16.5" customHeight="1">
      <c r="A402" s="4"/>
      <c r="C402" s="4"/>
      <c r="E402" s="4"/>
      <c r="G402" s="3"/>
      <c r="H402" s="3"/>
      <c r="I402" s="3"/>
      <c r="AS402" s="4"/>
      <c r="AT402" s="4"/>
    </row>
    <row r="403" spans="1:46" ht="16.5" customHeight="1">
      <c r="A403" s="4"/>
      <c r="C403" s="4"/>
      <c r="E403" s="4"/>
      <c r="G403" s="3"/>
      <c r="H403" s="3"/>
      <c r="I403" s="3"/>
      <c r="AS403" s="4"/>
      <c r="AT403" s="4"/>
    </row>
    <row r="404" spans="1:46" ht="16.5" customHeight="1">
      <c r="A404" s="4"/>
      <c r="C404" s="4"/>
      <c r="E404" s="4"/>
      <c r="G404" s="3"/>
      <c r="H404" s="3"/>
      <c r="I404" s="3"/>
      <c r="AS404" s="4"/>
      <c r="AT404" s="4"/>
    </row>
    <row r="405" spans="1:46" ht="16.5" customHeight="1">
      <c r="A405" s="4"/>
      <c r="C405" s="4"/>
      <c r="E405" s="4"/>
      <c r="G405" s="3"/>
      <c r="H405" s="3"/>
      <c r="I405" s="3"/>
      <c r="AS405" s="4"/>
      <c r="AT405" s="4"/>
    </row>
    <row r="406" spans="1:46" ht="16.5" customHeight="1">
      <c r="A406" s="4"/>
      <c r="C406" s="4"/>
      <c r="E406" s="4"/>
      <c r="G406" s="3"/>
      <c r="H406" s="3"/>
      <c r="I406" s="3"/>
      <c r="AS406" s="4"/>
      <c r="AT406" s="4"/>
    </row>
    <row r="407" spans="1:46" ht="16.5" customHeight="1">
      <c r="A407" s="4"/>
      <c r="C407" s="4"/>
      <c r="E407" s="4"/>
      <c r="G407" s="3"/>
      <c r="H407" s="3"/>
      <c r="I407" s="3"/>
      <c r="AS407" s="4"/>
      <c r="AT407" s="4"/>
    </row>
    <row r="408" spans="1:46" ht="16.5" customHeight="1">
      <c r="A408" s="4"/>
      <c r="C408" s="4"/>
      <c r="E408" s="4"/>
      <c r="G408" s="3"/>
      <c r="H408" s="3"/>
      <c r="I408" s="3"/>
      <c r="AS408" s="4"/>
      <c r="AT408" s="4"/>
    </row>
    <row r="409" spans="1:46" ht="16.5" customHeight="1">
      <c r="A409" s="4"/>
      <c r="C409" s="4"/>
      <c r="E409" s="4"/>
      <c r="G409" s="3"/>
      <c r="H409" s="3"/>
      <c r="I409" s="3"/>
      <c r="AS409" s="4"/>
      <c r="AT409" s="4"/>
    </row>
    <row r="410" spans="1:46" ht="16.5" customHeight="1">
      <c r="A410" s="4"/>
      <c r="C410" s="4"/>
      <c r="E410" s="4"/>
      <c r="G410" s="3"/>
      <c r="H410" s="3"/>
      <c r="I410" s="3"/>
      <c r="AS410" s="4"/>
      <c r="AT410" s="4"/>
    </row>
    <row r="411" spans="1:46" ht="16.5" customHeight="1">
      <c r="A411" s="4"/>
      <c r="C411" s="4"/>
      <c r="E411" s="4"/>
      <c r="G411" s="3"/>
      <c r="H411" s="3"/>
      <c r="I411" s="3"/>
      <c r="AS411" s="4"/>
      <c r="AT411" s="4"/>
    </row>
    <row r="412" spans="1:46" ht="16.5" customHeight="1">
      <c r="A412" s="4"/>
      <c r="C412" s="4"/>
      <c r="E412" s="4"/>
      <c r="G412" s="3"/>
      <c r="H412" s="3"/>
      <c r="I412" s="3"/>
      <c r="AS412" s="4"/>
      <c r="AT412" s="4"/>
    </row>
    <row r="413" spans="1:46" ht="16.5" customHeight="1">
      <c r="A413" s="4"/>
      <c r="C413" s="4"/>
      <c r="E413" s="4"/>
      <c r="G413" s="3"/>
      <c r="H413" s="3"/>
      <c r="I413" s="3"/>
      <c r="AS413" s="4"/>
      <c r="AT413" s="4"/>
    </row>
    <row r="414" spans="1:46" ht="16.5" customHeight="1">
      <c r="A414" s="4"/>
      <c r="C414" s="4"/>
      <c r="E414" s="4"/>
      <c r="G414" s="3"/>
      <c r="H414" s="3"/>
      <c r="I414" s="3"/>
      <c r="AS414" s="4"/>
      <c r="AT414" s="4"/>
    </row>
    <row r="415" spans="1:46" ht="16.5" customHeight="1">
      <c r="A415" s="4"/>
      <c r="C415" s="4"/>
      <c r="E415" s="4"/>
      <c r="G415" s="3"/>
      <c r="H415" s="3"/>
      <c r="I415" s="3"/>
      <c r="AS415" s="4"/>
      <c r="AT415" s="4"/>
    </row>
    <row r="416" spans="1:46" ht="16.5" customHeight="1">
      <c r="A416" s="4"/>
      <c r="C416" s="4"/>
      <c r="E416" s="4"/>
      <c r="G416" s="3"/>
      <c r="H416" s="3"/>
      <c r="I416" s="3"/>
      <c r="AS416" s="4"/>
      <c r="AT416" s="4"/>
    </row>
    <row r="417" spans="1:46" ht="16.5" customHeight="1">
      <c r="A417" s="4"/>
      <c r="C417" s="4"/>
      <c r="E417" s="4"/>
      <c r="G417" s="3"/>
      <c r="H417" s="3"/>
      <c r="I417" s="3"/>
      <c r="AS417" s="4"/>
      <c r="AT417" s="4"/>
    </row>
    <row r="418" spans="1:46" ht="16.5" customHeight="1">
      <c r="A418" s="4"/>
      <c r="C418" s="4"/>
      <c r="E418" s="4"/>
      <c r="G418" s="3"/>
      <c r="H418" s="3"/>
      <c r="I418" s="3"/>
      <c r="AS418" s="4"/>
      <c r="AT418" s="4"/>
    </row>
    <row r="419" spans="1:46" ht="16.5" customHeight="1">
      <c r="A419" s="4"/>
      <c r="C419" s="4"/>
      <c r="E419" s="4"/>
      <c r="G419" s="3"/>
      <c r="H419" s="3"/>
      <c r="I419" s="3"/>
      <c r="AS419" s="4"/>
      <c r="AT419" s="4"/>
    </row>
    <row r="420" spans="1:46" ht="16.5" customHeight="1">
      <c r="A420" s="4"/>
      <c r="C420" s="4"/>
      <c r="E420" s="4"/>
      <c r="G420" s="3"/>
      <c r="H420" s="3"/>
      <c r="I420" s="3"/>
      <c r="AS420" s="4"/>
      <c r="AT420" s="4"/>
    </row>
    <row r="421" spans="1:46" ht="16.5" customHeight="1">
      <c r="A421" s="4"/>
      <c r="C421" s="4"/>
      <c r="E421" s="4"/>
      <c r="G421" s="3"/>
      <c r="H421" s="3"/>
      <c r="I421" s="3"/>
      <c r="AS421" s="4"/>
      <c r="AT421" s="4"/>
    </row>
    <row r="422" spans="1:46" ht="16.5" customHeight="1">
      <c r="A422" s="4"/>
      <c r="C422" s="4"/>
      <c r="E422" s="4"/>
      <c r="G422" s="3"/>
      <c r="H422" s="3"/>
      <c r="I422" s="3"/>
      <c r="AS422" s="4"/>
      <c r="AT422" s="4"/>
    </row>
    <row r="423" spans="1:46" ht="16.5" customHeight="1">
      <c r="A423" s="4"/>
      <c r="C423" s="4"/>
      <c r="E423" s="4"/>
      <c r="G423" s="3"/>
      <c r="H423" s="3"/>
      <c r="I423" s="3"/>
      <c r="AS423" s="4"/>
      <c r="AT423" s="4"/>
    </row>
    <row r="424" spans="1:46" ht="16.5" customHeight="1">
      <c r="A424" s="4"/>
      <c r="C424" s="4"/>
      <c r="E424" s="4"/>
      <c r="G424" s="3"/>
      <c r="H424" s="3"/>
      <c r="I424" s="3"/>
      <c r="AS424" s="4"/>
      <c r="AT424" s="4"/>
    </row>
    <row r="425" spans="1:46" ht="16.5" customHeight="1">
      <c r="A425" s="4"/>
      <c r="C425" s="4"/>
      <c r="E425" s="4"/>
      <c r="G425" s="3"/>
      <c r="H425" s="3"/>
      <c r="I425" s="3"/>
      <c r="AS425" s="4"/>
      <c r="AT425" s="4"/>
    </row>
    <row r="426" spans="1:46" ht="16.5" customHeight="1">
      <c r="A426" s="4"/>
      <c r="C426" s="4"/>
      <c r="E426" s="4"/>
      <c r="G426" s="3"/>
      <c r="H426" s="3"/>
      <c r="I426" s="3"/>
      <c r="AS426" s="4"/>
      <c r="AT426" s="4"/>
    </row>
    <row r="427" spans="1:46" ht="16.5" customHeight="1">
      <c r="A427" s="4"/>
      <c r="C427" s="4"/>
      <c r="E427" s="4"/>
      <c r="G427" s="3"/>
      <c r="H427" s="3"/>
      <c r="I427" s="3"/>
      <c r="AS427" s="4"/>
      <c r="AT427" s="4"/>
    </row>
    <row r="428" spans="1:46" ht="16.5" customHeight="1">
      <c r="A428" s="4"/>
      <c r="C428" s="4"/>
      <c r="E428" s="4"/>
      <c r="G428" s="3"/>
      <c r="H428" s="3"/>
      <c r="I428" s="3"/>
      <c r="AS428" s="4"/>
      <c r="AT428" s="4"/>
    </row>
    <row r="429" spans="1:46" ht="16.5" customHeight="1">
      <c r="A429" s="4"/>
      <c r="C429" s="4"/>
      <c r="E429" s="4"/>
      <c r="G429" s="3"/>
      <c r="H429" s="3"/>
      <c r="I429" s="3"/>
      <c r="AS429" s="4"/>
      <c r="AT429" s="4"/>
    </row>
    <row r="430" spans="1:46" ht="16.5" customHeight="1">
      <c r="A430" s="4"/>
      <c r="C430" s="4"/>
      <c r="E430" s="4"/>
      <c r="G430" s="3"/>
      <c r="H430" s="3"/>
      <c r="I430" s="3"/>
      <c r="AS430" s="4"/>
      <c r="AT430" s="4"/>
    </row>
    <row r="431" spans="1:46" ht="16.5" customHeight="1">
      <c r="A431" s="4"/>
      <c r="C431" s="4"/>
      <c r="E431" s="4"/>
      <c r="G431" s="3"/>
      <c r="H431" s="3"/>
      <c r="I431" s="3"/>
      <c r="AS431" s="4"/>
      <c r="AT431" s="4"/>
    </row>
    <row r="432" spans="1:46" ht="16.5" customHeight="1">
      <c r="A432" s="4"/>
      <c r="C432" s="4"/>
      <c r="E432" s="4"/>
      <c r="G432" s="3"/>
      <c r="H432" s="3"/>
      <c r="I432" s="3"/>
      <c r="AS432" s="4"/>
      <c r="AT432" s="4"/>
    </row>
    <row r="433" spans="1:46" ht="16.5" customHeight="1">
      <c r="A433" s="4"/>
      <c r="C433" s="4"/>
      <c r="E433" s="4"/>
      <c r="G433" s="3"/>
      <c r="H433" s="3"/>
      <c r="I433" s="3"/>
      <c r="AS433" s="4"/>
      <c r="AT433" s="4"/>
    </row>
    <row r="434" spans="1:46" ht="16.5" customHeight="1">
      <c r="A434" s="4"/>
      <c r="C434" s="4"/>
      <c r="E434" s="4"/>
      <c r="G434" s="3"/>
      <c r="H434" s="3"/>
      <c r="I434" s="3"/>
      <c r="AS434" s="4"/>
      <c r="AT434" s="4"/>
    </row>
    <row r="435" spans="1:46" ht="16.5" customHeight="1">
      <c r="A435" s="4"/>
      <c r="C435" s="4"/>
      <c r="E435" s="4"/>
      <c r="G435" s="3"/>
      <c r="H435" s="3"/>
      <c r="I435" s="3"/>
      <c r="AS435" s="4"/>
      <c r="AT435" s="4"/>
    </row>
    <row r="436" spans="1:46" ht="16.5" customHeight="1">
      <c r="A436" s="4"/>
      <c r="C436" s="4"/>
      <c r="E436" s="4"/>
      <c r="G436" s="3"/>
      <c r="H436" s="3"/>
      <c r="I436" s="3"/>
      <c r="AS436" s="4"/>
      <c r="AT436" s="4"/>
    </row>
    <row r="437" spans="1:46" ht="16.5" customHeight="1">
      <c r="A437" s="4"/>
      <c r="C437" s="4"/>
      <c r="E437" s="4"/>
      <c r="G437" s="3"/>
      <c r="H437" s="3"/>
      <c r="I437" s="3"/>
      <c r="AS437" s="4"/>
      <c r="AT437" s="4"/>
    </row>
    <row r="438" spans="1:46" ht="16.5" customHeight="1">
      <c r="A438" s="4"/>
      <c r="C438" s="4"/>
      <c r="E438" s="4"/>
      <c r="G438" s="3"/>
      <c r="H438" s="3"/>
      <c r="I438" s="3"/>
      <c r="AS438" s="4"/>
      <c r="AT438" s="4"/>
    </row>
    <row r="439" spans="1:46" ht="16.5" customHeight="1">
      <c r="A439" s="4"/>
      <c r="C439" s="4"/>
      <c r="E439" s="4"/>
      <c r="G439" s="3"/>
      <c r="H439" s="3"/>
      <c r="I439" s="3"/>
      <c r="AS439" s="4"/>
      <c r="AT439" s="4"/>
    </row>
    <row r="440" spans="1:46" ht="16.5" customHeight="1">
      <c r="A440" s="4"/>
      <c r="C440" s="4"/>
      <c r="E440" s="4"/>
      <c r="G440" s="3"/>
      <c r="H440" s="3"/>
      <c r="I440" s="3"/>
      <c r="AS440" s="4"/>
      <c r="AT440" s="4"/>
    </row>
    <row r="441" spans="1:46" ht="16.5" customHeight="1">
      <c r="A441" s="4"/>
      <c r="C441" s="4"/>
      <c r="E441" s="4"/>
      <c r="G441" s="3"/>
      <c r="H441" s="3"/>
      <c r="I441" s="3"/>
      <c r="AS441" s="4"/>
      <c r="AT441" s="4"/>
    </row>
    <row r="442" spans="1:46" ht="16.5" customHeight="1">
      <c r="A442" s="4"/>
      <c r="C442" s="4"/>
      <c r="E442" s="4"/>
      <c r="G442" s="3"/>
      <c r="H442" s="3"/>
      <c r="I442" s="3"/>
      <c r="AS442" s="4"/>
      <c r="AT442" s="4"/>
    </row>
    <row r="443" spans="1:46" ht="16.5" customHeight="1">
      <c r="A443" s="4"/>
      <c r="C443" s="4"/>
      <c r="E443" s="4"/>
      <c r="G443" s="3"/>
      <c r="H443" s="3"/>
      <c r="I443" s="3"/>
      <c r="AS443" s="4"/>
      <c r="AT443" s="4"/>
    </row>
    <row r="444" spans="1:46" ht="16.5" customHeight="1">
      <c r="A444" s="4"/>
      <c r="C444" s="4"/>
      <c r="E444" s="4"/>
      <c r="G444" s="3"/>
      <c r="H444" s="3"/>
      <c r="I444" s="3"/>
      <c r="AS444" s="4"/>
      <c r="AT444" s="4"/>
    </row>
    <row r="445" spans="1:46" ht="16.5" customHeight="1">
      <c r="A445" s="4"/>
      <c r="C445" s="4"/>
      <c r="E445" s="4"/>
      <c r="G445" s="3"/>
      <c r="H445" s="3"/>
      <c r="I445" s="3"/>
      <c r="AS445" s="4"/>
      <c r="AT445" s="4"/>
    </row>
    <row r="446" spans="1:46" ht="16.5" customHeight="1">
      <c r="A446" s="4"/>
      <c r="C446" s="4"/>
      <c r="E446" s="4"/>
      <c r="G446" s="3"/>
      <c r="H446" s="3"/>
      <c r="I446" s="3"/>
      <c r="AS446" s="4"/>
      <c r="AT446" s="4"/>
    </row>
    <row r="447" spans="1:46" ht="16.5" customHeight="1">
      <c r="A447" s="4"/>
      <c r="C447" s="4"/>
      <c r="E447" s="4"/>
      <c r="G447" s="3"/>
      <c r="H447" s="3"/>
      <c r="I447" s="3"/>
      <c r="AS447" s="4"/>
      <c r="AT447" s="4"/>
    </row>
    <row r="448" spans="1:46" ht="16.5" customHeight="1">
      <c r="A448" s="4"/>
      <c r="C448" s="4"/>
      <c r="E448" s="4"/>
      <c r="G448" s="3"/>
      <c r="H448" s="3"/>
      <c r="I448" s="3"/>
      <c r="AS448" s="4"/>
      <c r="AT448" s="4"/>
    </row>
    <row r="449" spans="1:46" ht="16.5" customHeight="1">
      <c r="A449" s="4"/>
      <c r="C449" s="4"/>
      <c r="E449" s="4"/>
      <c r="G449" s="3"/>
      <c r="H449" s="3"/>
      <c r="I449" s="3"/>
      <c r="AS449" s="4"/>
      <c r="AT449" s="4"/>
    </row>
    <row r="450" spans="1:46" ht="16.5" customHeight="1">
      <c r="A450" s="4"/>
      <c r="C450" s="4"/>
      <c r="E450" s="4"/>
      <c r="G450" s="3"/>
      <c r="H450" s="3"/>
      <c r="I450" s="3"/>
      <c r="AS450" s="4"/>
      <c r="AT450" s="4"/>
    </row>
    <row r="451" spans="1:46" ht="16.5" customHeight="1">
      <c r="A451" s="4"/>
      <c r="C451" s="4"/>
      <c r="E451" s="4"/>
      <c r="G451" s="3"/>
      <c r="H451" s="3"/>
      <c r="I451" s="3"/>
      <c r="AS451" s="4"/>
      <c r="AT451" s="4"/>
    </row>
    <row r="452" spans="1:46" ht="16.5" customHeight="1">
      <c r="A452" s="4"/>
      <c r="C452" s="4"/>
      <c r="E452" s="4"/>
      <c r="G452" s="3"/>
      <c r="H452" s="3"/>
      <c r="I452" s="3"/>
      <c r="AS452" s="4"/>
      <c r="AT452" s="4"/>
    </row>
    <row r="453" spans="1:46" ht="16.5" customHeight="1">
      <c r="A453" s="4"/>
      <c r="C453" s="4"/>
      <c r="E453" s="4"/>
      <c r="G453" s="3"/>
      <c r="H453" s="3"/>
      <c r="I453" s="3"/>
      <c r="AS453" s="4"/>
      <c r="AT453" s="4"/>
    </row>
    <row r="454" spans="1:46" ht="16.5" customHeight="1">
      <c r="A454" s="4"/>
      <c r="C454" s="4"/>
      <c r="E454" s="4"/>
      <c r="G454" s="3"/>
      <c r="H454" s="3"/>
      <c r="I454" s="3"/>
      <c r="AS454" s="4"/>
      <c r="AT454" s="4"/>
    </row>
    <row r="455" spans="1:46" ht="16.5" customHeight="1">
      <c r="A455" s="4"/>
      <c r="C455" s="4"/>
      <c r="E455" s="4"/>
      <c r="G455" s="3"/>
      <c r="H455" s="3"/>
      <c r="I455" s="3"/>
      <c r="AS455" s="4"/>
      <c r="AT455" s="4"/>
    </row>
    <row r="456" spans="1:46" ht="16.5" customHeight="1">
      <c r="A456" s="4"/>
      <c r="C456" s="4"/>
      <c r="E456" s="4"/>
      <c r="G456" s="3"/>
      <c r="H456" s="3"/>
      <c r="I456" s="3"/>
      <c r="AS456" s="4"/>
      <c r="AT456" s="4"/>
    </row>
    <row r="457" spans="1:46" ht="16.5" customHeight="1">
      <c r="A457" s="4"/>
      <c r="C457" s="4"/>
      <c r="E457" s="4"/>
      <c r="G457" s="3"/>
      <c r="H457" s="3"/>
      <c r="I457" s="3"/>
      <c r="AS457" s="4"/>
      <c r="AT457" s="4"/>
    </row>
    <row r="458" spans="1:46" ht="16.5" customHeight="1">
      <c r="A458" s="4"/>
      <c r="C458" s="4"/>
      <c r="E458" s="4"/>
      <c r="G458" s="3"/>
      <c r="H458" s="3"/>
      <c r="I458" s="3"/>
      <c r="AS458" s="4"/>
      <c r="AT458" s="4"/>
    </row>
    <row r="459" spans="1:46" ht="16.5" customHeight="1">
      <c r="A459" s="4"/>
      <c r="C459" s="4"/>
      <c r="E459" s="4"/>
      <c r="G459" s="3"/>
      <c r="H459" s="3"/>
      <c r="I459" s="3"/>
      <c r="AS459" s="4"/>
      <c r="AT459" s="4"/>
    </row>
    <row r="460" spans="1:46" ht="16.5" customHeight="1">
      <c r="A460" s="4"/>
      <c r="C460" s="4"/>
      <c r="E460" s="4"/>
      <c r="G460" s="3"/>
      <c r="H460" s="3"/>
      <c r="I460" s="3"/>
      <c r="AS460" s="4"/>
      <c r="AT460" s="4"/>
    </row>
    <row r="461" spans="1:46" ht="16.5" customHeight="1">
      <c r="A461" s="4"/>
      <c r="C461" s="4"/>
      <c r="E461" s="4"/>
      <c r="G461" s="3"/>
      <c r="H461" s="3"/>
      <c r="I461" s="3"/>
      <c r="AS461" s="4"/>
      <c r="AT461" s="4"/>
    </row>
    <row r="462" spans="1:46" ht="16.5" customHeight="1">
      <c r="A462" s="4"/>
      <c r="C462" s="4"/>
      <c r="E462" s="4"/>
      <c r="G462" s="3"/>
      <c r="H462" s="3"/>
      <c r="I462" s="3"/>
      <c r="AS462" s="4"/>
      <c r="AT462" s="4"/>
    </row>
    <row r="463" spans="1:46" ht="16.5" customHeight="1">
      <c r="A463" s="4"/>
      <c r="C463" s="4"/>
      <c r="E463" s="4"/>
      <c r="G463" s="3"/>
      <c r="H463" s="3"/>
      <c r="I463" s="3"/>
      <c r="AS463" s="4"/>
      <c r="AT463" s="4"/>
    </row>
    <row r="464" spans="1:46" ht="16.5" customHeight="1">
      <c r="A464" s="4"/>
      <c r="C464" s="4"/>
      <c r="E464" s="4"/>
      <c r="G464" s="3"/>
      <c r="H464" s="3"/>
      <c r="I464" s="3"/>
      <c r="AS464" s="4"/>
      <c r="AT464" s="4"/>
    </row>
    <row r="465" spans="1:46" ht="16.5" customHeight="1">
      <c r="A465" s="4"/>
      <c r="C465" s="4"/>
      <c r="E465" s="4"/>
      <c r="G465" s="3"/>
      <c r="H465" s="3"/>
      <c r="I465" s="3"/>
      <c r="AS465" s="4"/>
      <c r="AT465" s="4"/>
    </row>
    <row r="466" spans="1:46" ht="16.5" customHeight="1">
      <c r="A466" s="4"/>
      <c r="C466" s="4"/>
      <c r="E466" s="4"/>
      <c r="G466" s="3"/>
      <c r="H466" s="3"/>
      <c r="I466" s="3"/>
      <c r="AS466" s="4"/>
      <c r="AT466" s="4"/>
    </row>
    <row r="467" spans="1:46" ht="16.5" customHeight="1">
      <c r="A467" s="4"/>
      <c r="C467" s="4"/>
      <c r="E467" s="4"/>
      <c r="G467" s="3"/>
      <c r="H467" s="3"/>
      <c r="I467" s="3"/>
      <c r="AS467" s="4"/>
      <c r="AT467" s="4"/>
    </row>
    <row r="468" spans="1:46" ht="16.5" customHeight="1">
      <c r="A468" s="4"/>
      <c r="C468" s="4"/>
      <c r="E468" s="4"/>
      <c r="G468" s="3"/>
      <c r="H468" s="3"/>
      <c r="I468" s="3"/>
      <c r="AS468" s="4"/>
      <c r="AT468" s="4"/>
    </row>
    <row r="469" spans="1:46" ht="16.5" customHeight="1">
      <c r="A469" s="4"/>
      <c r="C469" s="4"/>
      <c r="E469" s="4"/>
      <c r="G469" s="3"/>
      <c r="H469" s="3"/>
      <c r="I469" s="3"/>
      <c r="AS469" s="4"/>
      <c r="AT469" s="4"/>
    </row>
    <row r="470" spans="1:46" ht="16.5" customHeight="1">
      <c r="A470" s="4"/>
      <c r="C470" s="4"/>
      <c r="E470" s="4"/>
      <c r="G470" s="3"/>
      <c r="H470" s="3"/>
      <c r="I470" s="3"/>
      <c r="AS470" s="4"/>
      <c r="AT470" s="4"/>
    </row>
    <row r="471" spans="1:46" ht="16.5" customHeight="1">
      <c r="A471" s="4"/>
      <c r="C471" s="4"/>
      <c r="E471" s="4"/>
      <c r="G471" s="3"/>
      <c r="H471" s="3"/>
      <c r="I471" s="3"/>
      <c r="AS471" s="4"/>
      <c r="AT471" s="4"/>
    </row>
    <row r="472" spans="1:46" ht="16.5" customHeight="1">
      <c r="A472" s="4"/>
      <c r="C472" s="4"/>
      <c r="E472" s="4"/>
      <c r="G472" s="3"/>
      <c r="H472" s="3"/>
      <c r="I472" s="3"/>
      <c r="AS472" s="4"/>
      <c r="AT472" s="4"/>
    </row>
    <row r="473" spans="1:46" ht="16.5" customHeight="1">
      <c r="A473" s="4"/>
      <c r="C473" s="4"/>
      <c r="E473" s="4"/>
      <c r="G473" s="3"/>
      <c r="H473" s="3"/>
      <c r="I473" s="3"/>
      <c r="AS473" s="4"/>
      <c r="AT473" s="4"/>
    </row>
    <row r="474" spans="1:46" ht="16.5" customHeight="1">
      <c r="A474" s="4"/>
      <c r="C474" s="4"/>
      <c r="E474" s="4"/>
      <c r="G474" s="3"/>
      <c r="H474" s="3"/>
      <c r="I474" s="3"/>
      <c r="AS474" s="4"/>
      <c r="AT474" s="4"/>
    </row>
    <row r="475" spans="1:46" ht="16.5" customHeight="1">
      <c r="A475" s="4"/>
      <c r="C475" s="4"/>
      <c r="E475" s="4"/>
      <c r="G475" s="3"/>
      <c r="H475" s="3"/>
      <c r="I475" s="3"/>
      <c r="AS475" s="4"/>
      <c r="AT475" s="4"/>
    </row>
    <row r="476" spans="1:46" ht="16.5" customHeight="1">
      <c r="A476" s="4"/>
      <c r="C476" s="4"/>
      <c r="E476" s="4"/>
      <c r="G476" s="3"/>
      <c r="H476" s="3"/>
      <c r="I476" s="3"/>
      <c r="AS476" s="4"/>
      <c r="AT476" s="4"/>
    </row>
    <row r="477" spans="1:46" ht="16.5" customHeight="1">
      <c r="A477" s="4"/>
      <c r="C477" s="4"/>
      <c r="E477" s="4"/>
      <c r="G477" s="3"/>
      <c r="H477" s="3"/>
      <c r="I477" s="3"/>
      <c r="AS477" s="4"/>
      <c r="AT477" s="4"/>
    </row>
    <row r="478" spans="1:46" ht="16.5" customHeight="1">
      <c r="A478" s="4"/>
      <c r="C478" s="4"/>
      <c r="E478" s="4"/>
      <c r="G478" s="3"/>
      <c r="H478" s="3"/>
      <c r="I478" s="3"/>
      <c r="AS478" s="4"/>
      <c r="AT478" s="4"/>
    </row>
    <row r="479" spans="1:46" ht="16.5" customHeight="1">
      <c r="A479" s="4"/>
      <c r="C479" s="4"/>
      <c r="E479" s="4"/>
      <c r="G479" s="3"/>
      <c r="H479" s="3"/>
      <c r="I479" s="3"/>
      <c r="AS479" s="4"/>
      <c r="AT479" s="4"/>
    </row>
    <row r="480" spans="1:46" ht="16.5" customHeight="1">
      <c r="A480" s="4"/>
      <c r="C480" s="4"/>
      <c r="E480" s="4"/>
      <c r="G480" s="3"/>
      <c r="H480" s="3"/>
      <c r="I480" s="3"/>
      <c r="AS480" s="4"/>
      <c r="AT480" s="4"/>
    </row>
    <row r="481" spans="1:46" ht="16.5" customHeight="1">
      <c r="A481" s="4"/>
      <c r="C481" s="4"/>
      <c r="E481" s="4"/>
      <c r="G481" s="3"/>
      <c r="H481" s="3"/>
      <c r="I481" s="3"/>
      <c r="AS481" s="4"/>
      <c r="AT481" s="4"/>
    </row>
    <row r="482" spans="1:46" ht="16.5" customHeight="1">
      <c r="A482" s="4"/>
      <c r="C482" s="4"/>
      <c r="E482" s="4"/>
      <c r="G482" s="3"/>
      <c r="H482" s="3"/>
      <c r="I482" s="3"/>
      <c r="AS482" s="4"/>
      <c r="AT482" s="4"/>
    </row>
    <row r="483" spans="1:46" ht="16.5" customHeight="1">
      <c r="A483" s="4"/>
      <c r="C483" s="4"/>
      <c r="E483" s="4"/>
      <c r="G483" s="3"/>
      <c r="H483" s="3"/>
      <c r="I483" s="3"/>
      <c r="AS483" s="4"/>
      <c r="AT483" s="4"/>
    </row>
    <row r="484" spans="1:46" ht="16.5" customHeight="1">
      <c r="A484" s="4"/>
      <c r="C484" s="4"/>
      <c r="E484" s="4"/>
      <c r="G484" s="3"/>
      <c r="H484" s="3"/>
      <c r="I484" s="3"/>
      <c r="AS484" s="4"/>
      <c r="AT484" s="4"/>
    </row>
    <row r="485" spans="1:46" ht="16.5" customHeight="1">
      <c r="A485" s="4"/>
      <c r="C485" s="4"/>
      <c r="E485" s="4"/>
      <c r="G485" s="3"/>
      <c r="H485" s="3"/>
      <c r="I485" s="3"/>
      <c r="AS485" s="4"/>
      <c r="AT485" s="4"/>
    </row>
    <row r="486" spans="1:46" ht="16.5" customHeight="1">
      <c r="A486" s="4"/>
      <c r="C486" s="4"/>
      <c r="E486" s="4"/>
      <c r="G486" s="3"/>
      <c r="H486" s="3"/>
      <c r="I486" s="3"/>
      <c r="AS486" s="4"/>
      <c r="AT486" s="4"/>
    </row>
    <row r="487" spans="1:46" ht="16.5" customHeight="1">
      <c r="A487" s="4"/>
      <c r="C487" s="4"/>
      <c r="E487" s="4"/>
      <c r="G487" s="3"/>
      <c r="H487" s="3"/>
      <c r="I487" s="3"/>
      <c r="AS487" s="4"/>
      <c r="AT487" s="4"/>
    </row>
    <row r="488" spans="1:46" ht="16.5" customHeight="1">
      <c r="A488" s="4"/>
      <c r="C488" s="4"/>
      <c r="E488" s="4"/>
      <c r="G488" s="3"/>
      <c r="H488" s="3"/>
      <c r="I488" s="3"/>
      <c r="AS488" s="4"/>
      <c r="AT488" s="4"/>
    </row>
    <row r="489" spans="1:46" ht="16.5" customHeight="1">
      <c r="A489" s="4"/>
      <c r="C489" s="4"/>
      <c r="E489" s="4"/>
      <c r="G489" s="3"/>
      <c r="H489" s="3"/>
      <c r="I489" s="3"/>
      <c r="AS489" s="4"/>
      <c r="AT489" s="4"/>
    </row>
    <row r="490" spans="1:46" ht="16.5" customHeight="1">
      <c r="A490" s="4"/>
      <c r="C490" s="4"/>
      <c r="E490" s="4"/>
      <c r="G490" s="3"/>
      <c r="H490" s="3"/>
      <c r="I490" s="3"/>
      <c r="AS490" s="4"/>
      <c r="AT490" s="4"/>
    </row>
    <row r="491" spans="1:46" ht="16.5" customHeight="1">
      <c r="A491" s="4"/>
      <c r="C491" s="4"/>
      <c r="E491" s="4"/>
      <c r="G491" s="3"/>
      <c r="H491" s="3"/>
      <c r="I491" s="3"/>
      <c r="AS491" s="4"/>
      <c r="AT491" s="4"/>
    </row>
    <row r="492" spans="1:46" ht="16.5" customHeight="1">
      <c r="A492" s="4"/>
      <c r="C492" s="4"/>
      <c r="E492" s="4"/>
      <c r="G492" s="3"/>
      <c r="H492" s="3"/>
      <c r="I492" s="3"/>
      <c r="AS492" s="4"/>
      <c r="AT492" s="4"/>
    </row>
    <row r="493" spans="1:46" ht="16.5" customHeight="1">
      <c r="A493" s="4"/>
      <c r="C493" s="4"/>
      <c r="E493" s="4"/>
      <c r="G493" s="3"/>
      <c r="H493" s="3"/>
      <c r="I493" s="3"/>
      <c r="AS493" s="4"/>
      <c r="AT493" s="4"/>
    </row>
    <row r="494" spans="1:46" ht="16.5" customHeight="1">
      <c r="A494" s="4"/>
      <c r="C494" s="4"/>
      <c r="E494" s="4"/>
      <c r="G494" s="3"/>
      <c r="H494" s="3"/>
      <c r="I494" s="3"/>
      <c r="AS494" s="4"/>
      <c r="AT494" s="4"/>
    </row>
    <row r="495" spans="1:46" ht="16.5" customHeight="1">
      <c r="A495" s="4"/>
      <c r="C495" s="4"/>
      <c r="E495" s="4"/>
      <c r="G495" s="3"/>
      <c r="H495" s="3"/>
      <c r="I495" s="3"/>
      <c r="AS495" s="4"/>
      <c r="AT495" s="4"/>
    </row>
    <row r="496" spans="1:46" ht="16.5" customHeight="1">
      <c r="A496" s="4"/>
      <c r="C496" s="4"/>
      <c r="E496" s="4"/>
      <c r="G496" s="3"/>
      <c r="H496" s="3"/>
      <c r="I496" s="3"/>
      <c r="AS496" s="4"/>
      <c r="AT496" s="4"/>
    </row>
    <row r="497" spans="1:46" ht="16.5" customHeight="1">
      <c r="A497" s="4"/>
      <c r="C497" s="4"/>
      <c r="E497" s="4"/>
      <c r="G497" s="3"/>
      <c r="H497" s="3"/>
      <c r="I497" s="3"/>
      <c r="AS497" s="4"/>
      <c r="AT497" s="4"/>
    </row>
    <row r="498" spans="1:46" ht="16.5" customHeight="1">
      <c r="A498" s="4"/>
      <c r="C498" s="4"/>
      <c r="E498" s="4"/>
      <c r="G498" s="3"/>
      <c r="H498" s="3"/>
      <c r="I498" s="3"/>
      <c r="AS498" s="4"/>
      <c r="AT498" s="4"/>
    </row>
    <row r="499" spans="1:46" ht="16.5" customHeight="1">
      <c r="A499" s="4"/>
      <c r="C499" s="4"/>
      <c r="E499" s="4"/>
      <c r="G499" s="3"/>
      <c r="H499" s="3"/>
      <c r="I499" s="3"/>
      <c r="AS499" s="4"/>
      <c r="AT499" s="4"/>
    </row>
    <row r="500" spans="1:46" ht="16.5" customHeight="1">
      <c r="A500" s="4"/>
      <c r="C500" s="4"/>
      <c r="E500" s="4"/>
      <c r="G500" s="3"/>
      <c r="H500" s="3"/>
      <c r="I500" s="3"/>
      <c r="AS500" s="4"/>
      <c r="AT500" s="4"/>
    </row>
    <row r="501" spans="1:46" ht="16.5" customHeight="1">
      <c r="A501" s="4"/>
      <c r="C501" s="4"/>
      <c r="E501" s="4"/>
      <c r="G501" s="3"/>
      <c r="H501" s="3"/>
      <c r="I501" s="3"/>
      <c r="AS501" s="4"/>
      <c r="AT501" s="4"/>
    </row>
    <row r="502" spans="1:46" ht="16.5" customHeight="1">
      <c r="A502" s="4"/>
      <c r="C502" s="4"/>
      <c r="E502" s="4"/>
      <c r="G502" s="3"/>
      <c r="H502" s="3"/>
      <c r="I502" s="3"/>
      <c r="AS502" s="4"/>
      <c r="AT502" s="4"/>
    </row>
    <row r="503" spans="1:46" ht="16.5" customHeight="1">
      <c r="A503" s="4"/>
      <c r="C503" s="4"/>
      <c r="E503" s="4"/>
      <c r="G503" s="3"/>
      <c r="H503" s="3"/>
      <c r="I503" s="3"/>
      <c r="AS503" s="4"/>
      <c r="AT503" s="4"/>
    </row>
    <row r="504" spans="1:46" ht="16.5" customHeight="1">
      <c r="A504" s="4"/>
      <c r="C504" s="4"/>
      <c r="E504" s="4"/>
      <c r="G504" s="3"/>
      <c r="H504" s="3"/>
      <c r="I504" s="3"/>
      <c r="AS504" s="4"/>
      <c r="AT504" s="4"/>
    </row>
    <row r="505" spans="1:46" ht="16.5" customHeight="1">
      <c r="A505" s="4"/>
      <c r="C505" s="4"/>
      <c r="E505" s="4"/>
      <c r="G505" s="3"/>
      <c r="H505" s="3"/>
      <c r="I505" s="3"/>
      <c r="AS505" s="4"/>
      <c r="AT505" s="4"/>
    </row>
    <row r="506" spans="1:46" ht="16.5" customHeight="1">
      <c r="A506" s="4"/>
      <c r="C506" s="4"/>
      <c r="E506" s="4"/>
      <c r="G506" s="3"/>
      <c r="H506" s="3"/>
      <c r="I506" s="3"/>
      <c r="AS506" s="4"/>
      <c r="AT506" s="4"/>
    </row>
    <row r="507" spans="1:46" ht="16.5" customHeight="1">
      <c r="A507" s="4"/>
      <c r="C507" s="4"/>
      <c r="E507" s="4"/>
      <c r="G507" s="3"/>
      <c r="H507" s="3"/>
      <c r="I507" s="3"/>
      <c r="AS507" s="4"/>
      <c r="AT507" s="4"/>
    </row>
    <row r="508" spans="1:46" ht="16.5" customHeight="1">
      <c r="A508" s="4"/>
      <c r="C508" s="4"/>
      <c r="E508" s="4"/>
      <c r="G508" s="3"/>
      <c r="H508" s="3"/>
      <c r="I508" s="3"/>
      <c r="AS508" s="4"/>
      <c r="AT508" s="4"/>
    </row>
    <row r="509" spans="1:46" ht="16.5" customHeight="1">
      <c r="A509" s="4"/>
      <c r="C509" s="4"/>
      <c r="E509" s="4"/>
      <c r="G509" s="3"/>
      <c r="H509" s="3"/>
      <c r="I509" s="3"/>
      <c r="AS509" s="4"/>
      <c r="AT509" s="4"/>
    </row>
    <row r="510" spans="1:46" ht="16.5" customHeight="1">
      <c r="A510" s="4"/>
      <c r="C510" s="4"/>
      <c r="E510" s="4"/>
      <c r="G510" s="3"/>
      <c r="H510" s="3"/>
      <c r="I510" s="3"/>
      <c r="AS510" s="4"/>
      <c r="AT510" s="4"/>
    </row>
    <row r="511" spans="1:46" ht="16.5" customHeight="1">
      <c r="A511" s="4"/>
      <c r="C511" s="4"/>
      <c r="E511" s="4"/>
      <c r="G511" s="3"/>
      <c r="H511" s="3"/>
      <c r="I511" s="3"/>
      <c r="AS511" s="4"/>
      <c r="AT511" s="4"/>
    </row>
    <row r="512" spans="1:46" ht="16.5" customHeight="1">
      <c r="A512" s="4"/>
      <c r="C512" s="4"/>
      <c r="E512" s="4"/>
      <c r="G512" s="3"/>
      <c r="H512" s="3"/>
      <c r="I512" s="3"/>
      <c r="AS512" s="4"/>
      <c r="AT512" s="4"/>
    </row>
    <row r="513" spans="1:46" ht="16.5" customHeight="1">
      <c r="A513" s="4"/>
      <c r="C513" s="4"/>
      <c r="E513" s="4"/>
      <c r="G513" s="3"/>
      <c r="H513" s="3"/>
      <c r="I513" s="3"/>
      <c r="AS513" s="4"/>
      <c r="AT513" s="4"/>
    </row>
    <row r="514" spans="1:46" ht="16.5" customHeight="1">
      <c r="A514" s="4"/>
      <c r="C514" s="4"/>
      <c r="E514" s="4"/>
      <c r="G514" s="3"/>
      <c r="H514" s="3"/>
      <c r="I514" s="3"/>
      <c r="AS514" s="4"/>
      <c r="AT514" s="4"/>
    </row>
    <row r="515" spans="1:46" ht="16.5" customHeight="1">
      <c r="A515" s="4"/>
      <c r="C515" s="4"/>
      <c r="E515" s="4"/>
      <c r="G515" s="3"/>
      <c r="H515" s="3"/>
      <c r="I515" s="3"/>
      <c r="AS515" s="4"/>
      <c r="AT515" s="4"/>
    </row>
    <row r="516" spans="1:46" ht="16.5" customHeight="1">
      <c r="A516" s="4"/>
      <c r="C516" s="4"/>
      <c r="E516" s="4"/>
      <c r="G516" s="3"/>
      <c r="H516" s="3"/>
      <c r="I516" s="3"/>
      <c r="AS516" s="4"/>
      <c r="AT516" s="4"/>
    </row>
    <row r="517" spans="1:46" ht="16.5" customHeight="1">
      <c r="A517" s="4"/>
      <c r="C517" s="4"/>
      <c r="E517" s="4"/>
      <c r="G517" s="3"/>
      <c r="H517" s="3"/>
      <c r="I517" s="3"/>
      <c r="AS517" s="4"/>
      <c r="AT517" s="4"/>
    </row>
    <row r="518" spans="1:46" ht="16.5" customHeight="1">
      <c r="A518" s="4"/>
      <c r="C518" s="4"/>
      <c r="E518" s="4"/>
      <c r="G518" s="3"/>
      <c r="H518" s="3"/>
      <c r="I518" s="3"/>
      <c r="AS518" s="4"/>
      <c r="AT518" s="4"/>
    </row>
    <row r="519" spans="1:46" ht="16.5" customHeight="1">
      <c r="A519" s="4"/>
      <c r="C519" s="4"/>
      <c r="E519" s="4"/>
      <c r="G519" s="3"/>
      <c r="H519" s="3"/>
      <c r="I519" s="3"/>
      <c r="AS519" s="4"/>
      <c r="AT519" s="4"/>
    </row>
    <row r="520" spans="1:46" ht="16.5" customHeight="1">
      <c r="A520" s="4"/>
      <c r="C520" s="4"/>
      <c r="E520" s="4"/>
      <c r="G520" s="3"/>
      <c r="H520" s="3"/>
      <c r="I520" s="3"/>
      <c r="AS520" s="4"/>
      <c r="AT520" s="4"/>
    </row>
    <row r="521" spans="1:46" ht="16.5" customHeight="1">
      <c r="A521" s="4"/>
      <c r="C521" s="4"/>
      <c r="E521" s="4"/>
      <c r="G521" s="3"/>
      <c r="H521" s="3"/>
      <c r="I521" s="3"/>
      <c r="AS521" s="4"/>
      <c r="AT521" s="4"/>
    </row>
    <row r="522" spans="1:46" ht="16.5" customHeight="1">
      <c r="A522" s="4"/>
      <c r="C522" s="4"/>
      <c r="E522" s="4"/>
      <c r="G522" s="3"/>
      <c r="H522" s="3"/>
      <c r="I522" s="3"/>
      <c r="AS522" s="4"/>
      <c r="AT522" s="4"/>
    </row>
    <row r="523" spans="1:46" ht="16.5" customHeight="1">
      <c r="A523" s="4"/>
      <c r="C523" s="4"/>
      <c r="E523" s="4"/>
      <c r="G523" s="3"/>
      <c r="H523" s="3"/>
      <c r="I523" s="3"/>
      <c r="AS523" s="4"/>
      <c r="AT523" s="4"/>
    </row>
    <row r="524" spans="1:46" ht="16.5" customHeight="1">
      <c r="A524" s="4"/>
      <c r="C524" s="4"/>
      <c r="E524" s="4"/>
      <c r="G524" s="3"/>
      <c r="H524" s="3"/>
      <c r="I524" s="3"/>
      <c r="AS524" s="4"/>
      <c r="AT524" s="4"/>
    </row>
    <row r="525" spans="1:46" ht="16.5" customHeight="1">
      <c r="A525" s="4"/>
      <c r="C525" s="4"/>
      <c r="E525" s="4"/>
      <c r="G525" s="3"/>
      <c r="H525" s="3"/>
      <c r="I525" s="3"/>
      <c r="AS525" s="4"/>
      <c r="AT525" s="4"/>
    </row>
    <row r="526" spans="1:46" ht="16.5" customHeight="1">
      <c r="A526" s="4"/>
      <c r="C526" s="4"/>
      <c r="E526" s="4"/>
      <c r="G526" s="3"/>
      <c r="H526" s="3"/>
      <c r="I526" s="3"/>
      <c r="AS526" s="4"/>
      <c r="AT526" s="4"/>
    </row>
    <row r="527" spans="1:46" ht="16.5" customHeight="1">
      <c r="A527" s="4"/>
      <c r="C527" s="4"/>
      <c r="E527" s="4"/>
      <c r="G527" s="3"/>
      <c r="H527" s="3"/>
      <c r="I527" s="3"/>
      <c r="AS527" s="4"/>
      <c r="AT527" s="4"/>
    </row>
    <row r="528" spans="1:46" ht="16.5" customHeight="1">
      <c r="A528" s="4"/>
      <c r="C528" s="4"/>
      <c r="E528" s="4"/>
      <c r="G528" s="3"/>
      <c r="H528" s="3"/>
      <c r="I528" s="3"/>
      <c r="AS528" s="4"/>
      <c r="AT528" s="4"/>
    </row>
    <row r="529" spans="1:46" ht="16.5" customHeight="1">
      <c r="A529" s="4"/>
      <c r="C529" s="4"/>
      <c r="E529" s="4"/>
      <c r="G529" s="3"/>
      <c r="H529" s="3"/>
      <c r="I529" s="3"/>
      <c r="AS529" s="4"/>
      <c r="AT529" s="4"/>
    </row>
    <row r="530" spans="1:46" ht="16.5" customHeight="1">
      <c r="A530" s="4"/>
      <c r="C530" s="4"/>
      <c r="E530" s="4"/>
      <c r="G530" s="3"/>
      <c r="H530" s="3"/>
      <c r="I530" s="3"/>
      <c r="AS530" s="4"/>
      <c r="AT530" s="4"/>
    </row>
    <row r="531" spans="1:46" ht="16.5" customHeight="1">
      <c r="A531" s="4"/>
      <c r="C531" s="4"/>
      <c r="E531" s="4"/>
      <c r="G531" s="3"/>
      <c r="H531" s="3"/>
      <c r="I531" s="3"/>
      <c r="AS531" s="4"/>
      <c r="AT531" s="4"/>
    </row>
    <row r="532" spans="1:46" ht="16.5" customHeight="1">
      <c r="A532" s="4"/>
      <c r="C532" s="4"/>
      <c r="E532" s="4"/>
      <c r="G532" s="3"/>
      <c r="H532" s="3"/>
      <c r="I532" s="3"/>
      <c r="AS532" s="4"/>
      <c r="AT532" s="4"/>
    </row>
    <row r="533" spans="1:46" ht="16.5" customHeight="1">
      <c r="A533" s="4"/>
      <c r="C533" s="4"/>
      <c r="E533" s="4"/>
      <c r="G533" s="3"/>
      <c r="H533" s="3"/>
      <c r="I533" s="3"/>
      <c r="AS533" s="4"/>
      <c r="AT533" s="4"/>
    </row>
    <row r="534" spans="1:46" ht="16.5" customHeight="1">
      <c r="A534" s="4"/>
      <c r="C534" s="4"/>
      <c r="E534" s="4"/>
      <c r="G534" s="3"/>
      <c r="H534" s="3"/>
      <c r="I534" s="3"/>
      <c r="AS534" s="4"/>
      <c r="AT534" s="4"/>
    </row>
    <row r="535" spans="1:46" ht="16.5" customHeight="1">
      <c r="A535" s="4"/>
      <c r="C535" s="4"/>
      <c r="E535" s="4"/>
      <c r="G535" s="3"/>
      <c r="H535" s="3"/>
      <c r="I535" s="3"/>
      <c r="AS535" s="4"/>
      <c r="AT535" s="4"/>
    </row>
    <row r="536" spans="1:46" ht="16.5" customHeight="1">
      <c r="A536" s="4"/>
      <c r="C536" s="4"/>
      <c r="E536" s="4"/>
      <c r="G536" s="3"/>
      <c r="H536" s="3"/>
      <c r="I536" s="3"/>
      <c r="AS536" s="4"/>
      <c r="AT536" s="4"/>
    </row>
    <row r="537" spans="1:46" ht="16.5" customHeight="1">
      <c r="A537" s="4"/>
      <c r="C537" s="4"/>
      <c r="E537" s="4"/>
      <c r="G537" s="3"/>
      <c r="H537" s="3"/>
      <c r="I537" s="3"/>
      <c r="AS537" s="4"/>
      <c r="AT537" s="4"/>
    </row>
    <row r="538" spans="1:46" ht="16.5" customHeight="1">
      <c r="A538" s="4"/>
      <c r="C538" s="4"/>
      <c r="E538" s="4"/>
      <c r="G538" s="3"/>
      <c r="H538" s="3"/>
      <c r="I538" s="3"/>
      <c r="AS538" s="4"/>
      <c r="AT538" s="4"/>
    </row>
    <row r="539" spans="1:46" ht="16.5" customHeight="1">
      <c r="A539" s="4"/>
      <c r="C539" s="4"/>
      <c r="E539" s="4"/>
      <c r="G539" s="3"/>
      <c r="H539" s="3"/>
      <c r="I539" s="3"/>
      <c r="AS539" s="4"/>
      <c r="AT539" s="4"/>
    </row>
    <row r="540" spans="1:46" ht="16.5" customHeight="1">
      <c r="A540" s="4"/>
      <c r="C540" s="4"/>
      <c r="E540" s="4"/>
      <c r="G540" s="3"/>
      <c r="H540" s="3"/>
      <c r="I540" s="3"/>
      <c r="AS540" s="4"/>
      <c r="AT540" s="4"/>
    </row>
    <row r="541" spans="1:46" ht="16.5" customHeight="1">
      <c r="A541" s="4"/>
      <c r="C541" s="4"/>
      <c r="E541" s="4"/>
      <c r="G541" s="3"/>
      <c r="H541" s="3"/>
      <c r="I541" s="3"/>
      <c r="AS541" s="4"/>
      <c r="AT541" s="4"/>
    </row>
    <row r="542" spans="1:46" ht="16.5" customHeight="1">
      <c r="A542" s="4"/>
      <c r="C542" s="4"/>
      <c r="E542" s="4"/>
      <c r="G542" s="3"/>
      <c r="H542" s="3"/>
      <c r="I542" s="3"/>
      <c r="AS542" s="4"/>
      <c r="AT542" s="4"/>
    </row>
    <row r="543" spans="1:46" ht="16.5" customHeight="1">
      <c r="A543" s="4"/>
      <c r="C543" s="4"/>
      <c r="E543" s="4"/>
      <c r="G543" s="3"/>
      <c r="H543" s="3"/>
      <c r="I543" s="3"/>
      <c r="AS543" s="4"/>
      <c r="AT543" s="4"/>
    </row>
    <row r="544" spans="1:46" ht="16.5" customHeight="1">
      <c r="A544" s="4"/>
      <c r="C544" s="4"/>
      <c r="E544" s="4"/>
      <c r="G544" s="3"/>
      <c r="H544" s="3"/>
      <c r="I544" s="3"/>
      <c r="AS544" s="4"/>
      <c r="AT544" s="4"/>
    </row>
    <row r="545" spans="1:46" ht="16.5" customHeight="1">
      <c r="A545" s="4"/>
      <c r="C545" s="4"/>
      <c r="E545" s="4"/>
      <c r="G545" s="3"/>
      <c r="H545" s="3"/>
      <c r="I545" s="3"/>
      <c r="AS545" s="4"/>
      <c r="AT545" s="4"/>
    </row>
    <row r="546" spans="1:46" ht="16.5" customHeight="1">
      <c r="A546" s="4"/>
      <c r="C546" s="4"/>
      <c r="E546" s="4"/>
      <c r="G546" s="3"/>
      <c r="H546" s="3"/>
      <c r="I546" s="3"/>
      <c r="AS546" s="4"/>
      <c r="AT546" s="4"/>
    </row>
    <row r="547" spans="1:46" ht="16.5" customHeight="1">
      <c r="A547" s="4"/>
      <c r="C547" s="4"/>
      <c r="E547" s="4"/>
      <c r="G547" s="3"/>
      <c r="H547" s="3"/>
      <c r="I547" s="3"/>
      <c r="AS547" s="4"/>
      <c r="AT547" s="4"/>
    </row>
    <row r="548" spans="1:46" ht="16.5" customHeight="1">
      <c r="A548" s="4"/>
      <c r="C548" s="4"/>
      <c r="E548" s="4"/>
      <c r="G548" s="3"/>
      <c r="H548" s="3"/>
      <c r="I548" s="3"/>
      <c r="AS548" s="4"/>
      <c r="AT548" s="4"/>
    </row>
    <row r="549" spans="1:46" ht="16.5" customHeight="1">
      <c r="A549" s="4"/>
      <c r="C549" s="4"/>
      <c r="E549" s="4"/>
      <c r="G549" s="3"/>
      <c r="H549" s="3"/>
      <c r="I549" s="3"/>
      <c r="AS549" s="4"/>
      <c r="AT549" s="4"/>
    </row>
    <row r="550" spans="1:46" ht="16.5" customHeight="1">
      <c r="A550" s="4"/>
      <c r="C550" s="4"/>
      <c r="E550" s="4"/>
      <c r="G550" s="3"/>
      <c r="H550" s="3"/>
      <c r="I550" s="3"/>
      <c r="AS550" s="4"/>
      <c r="AT550" s="4"/>
    </row>
    <row r="551" spans="1:46" ht="16.5" customHeight="1">
      <c r="A551" s="4"/>
      <c r="C551" s="4"/>
      <c r="E551" s="4"/>
      <c r="G551" s="3"/>
      <c r="H551" s="3"/>
      <c r="I551" s="3"/>
      <c r="AS551" s="4"/>
      <c r="AT551" s="4"/>
    </row>
    <row r="552" spans="1:46" ht="16.5" customHeight="1">
      <c r="A552" s="4"/>
      <c r="C552" s="4"/>
      <c r="E552" s="4"/>
      <c r="G552" s="3"/>
      <c r="H552" s="3"/>
      <c r="I552" s="3"/>
      <c r="AS552" s="4"/>
      <c r="AT552" s="4"/>
    </row>
    <row r="553" spans="1:46" ht="16.5" customHeight="1">
      <c r="A553" s="4"/>
      <c r="C553" s="4"/>
      <c r="E553" s="4"/>
      <c r="G553" s="3"/>
      <c r="H553" s="3"/>
      <c r="I553" s="3"/>
      <c r="AS553" s="4"/>
      <c r="AT553" s="4"/>
    </row>
    <row r="554" spans="1:46" ht="16.5" customHeight="1">
      <c r="A554" s="4"/>
      <c r="C554" s="4"/>
      <c r="E554" s="4"/>
      <c r="G554" s="3"/>
      <c r="H554" s="3"/>
      <c r="I554" s="3"/>
      <c r="AS554" s="4"/>
      <c r="AT554" s="4"/>
    </row>
    <row r="555" spans="1:46" ht="16.5" customHeight="1">
      <c r="A555" s="4"/>
      <c r="C555" s="4"/>
      <c r="E555" s="4"/>
      <c r="G555" s="3"/>
      <c r="H555" s="3"/>
      <c r="I555" s="3"/>
      <c r="AS555" s="4"/>
      <c r="AT555" s="4"/>
    </row>
    <row r="556" spans="1:46" ht="16.5" customHeight="1">
      <c r="A556" s="4"/>
      <c r="C556" s="4"/>
      <c r="E556" s="4"/>
      <c r="G556" s="3"/>
      <c r="H556" s="3"/>
      <c r="I556" s="3"/>
      <c r="AS556" s="4"/>
      <c r="AT556" s="4"/>
    </row>
    <row r="557" spans="1:46" ht="16.5" customHeight="1">
      <c r="A557" s="4"/>
      <c r="C557" s="4"/>
      <c r="E557" s="4"/>
      <c r="G557" s="3"/>
      <c r="H557" s="3"/>
      <c r="I557" s="3"/>
      <c r="AS557" s="4"/>
      <c r="AT557" s="4"/>
    </row>
    <row r="558" spans="1:46" ht="16.5" customHeight="1">
      <c r="A558" s="4"/>
      <c r="C558" s="4"/>
      <c r="E558" s="4"/>
      <c r="G558" s="3"/>
      <c r="H558" s="3"/>
      <c r="I558" s="3"/>
      <c r="AS558" s="4"/>
      <c r="AT558" s="4"/>
    </row>
    <row r="559" spans="1:46" ht="16.5" customHeight="1">
      <c r="A559" s="4"/>
      <c r="C559" s="4"/>
      <c r="E559" s="4"/>
      <c r="G559" s="3"/>
      <c r="H559" s="3"/>
      <c r="I559" s="3"/>
      <c r="AS559" s="4"/>
      <c r="AT559" s="4"/>
    </row>
    <row r="560" spans="1:46" ht="16.5" customHeight="1">
      <c r="A560" s="4"/>
      <c r="C560" s="4"/>
      <c r="E560" s="4"/>
      <c r="G560" s="3"/>
      <c r="H560" s="3"/>
      <c r="I560" s="3"/>
      <c r="AS560" s="4"/>
      <c r="AT560" s="4"/>
    </row>
    <row r="561" spans="1:46" ht="16.5" customHeight="1">
      <c r="A561" s="4"/>
      <c r="C561" s="4"/>
      <c r="E561" s="4"/>
      <c r="G561" s="3"/>
      <c r="H561" s="3"/>
      <c r="I561" s="3"/>
      <c r="AS561" s="4"/>
      <c r="AT561" s="4"/>
    </row>
    <row r="562" spans="1:46" ht="16.5" customHeight="1">
      <c r="A562" s="4"/>
      <c r="C562" s="4"/>
      <c r="E562" s="4"/>
      <c r="G562" s="3"/>
      <c r="H562" s="3"/>
      <c r="I562" s="3"/>
      <c r="AS562" s="4"/>
      <c r="AT562" s="4"/>
    </row>
    <row r="563" spans="1:46" ht="16.5" customHeight="1">
      <c r="A563" s="4"/>
      <c r="C563" s="4"/>
      <c r="E563" s="4"/>
      <c r="G563" s="3"/>
      <c r="H563" s="3"/>
      <c r="I563" s="3"/>
      <c r="AS563" s="4"/>
      <c r="AT563" s="4"/>
    </row>
    <row r="564" spans="1:46" ht="16.5" customHeight="1">
      <c r="A564" s="4"/>
      <c r="C564" s="4"/>
      <c r="E564" s="4"/>
      <c r="G564" s="3"/>
      <c r="H564" s="3"/>
      <c r="I564" s="3"/>
      <c r="AS564" s="4"/>
      <c r="AT564" s="4"/>
    </row>
    <row r="565" spans="1:46" ht="16.5" customHeight="1">
      <c r="A565" s="4"/>
      <c r="C565" s="4"/>
      <c r="E565" s="4"/>
      <c r="G565" s="3"/>
      <c r="H565" s="3"/>
      <c r="I565" s="3"/>
      <c r="AS565" s="4"/>
      <c r="AT565" s="4"/>
    </row>
    <row r="566" spans="1:46" ht="16.5" customHeight="1">
      <c r="A566" s="4"/>
      <c r="C566" s="4"/>
      <c r="E566" s="4"/>
      <c r="G566" s="3"/>
      <c r="H566" s="3"/>
      <c r="I566" s="3"/>
      <c r="AS566" s="4"/>
      <c r="AT566" s="4"/>
    </row>
    <row r="567" spans="1:46" ht="16.5" customHeight="1">
      <c r="A567" s="4"/>
      <c r="C567" s="4"/>
      <c r="E567" s="4"/>
      <c r="G567" s="3"/>
      <c r="H567" s="3"/>
      <c r="I567" s="3"/>
      <c r="AS567" s="4"/>
      <c r="AT567" s="4"/>
    </row>
    <row r="568" spans="1:46" ht="16.5" customHeight="1">
      <c r="A568" s="4"/>
      <c r="C568" s="4"/>
      <c r="E568" s="4"/>
      <c r="G568" s="3"/>
      <c r="H568" s="3"/>
      <c r="I568" s="3"/>
      <c r="AS568" s="4"/>
      <c r="AT568" s="4"/>
    </row>
    <row r="569" spans="1:46" ht="16.5" customHeight="1">
      <c r="A569" s="4"/>
      <c r="C569" s="4"/>
      <c r="E569" s="4"/>
      <c r="G569" s="3"/>
      <c r="H569" s="3"/>
      <c r="I569" s="3"/>
      <c r="AS569" s="4"/>
      <c r="AT569" s="4"/>
    </row>
    <row r="570" spans="1:46" ht="16.5" customHeight="1">
      <c r="A570" s="4"/>
      <c r="C570" s="4"/>
      <c r="E570" s="4"/>
      <c r="G570" s="3"/>
      <c r="H570" s="3"/>
      <c r="I570" s="3"/>
      <c r="AS570" s="4"/>
      <c r="AT570" s="4"/>
    </row>
    <row r="571" spans="1:46" ht="16.5" customHeight="1">
      <c r="A571" s="4"/>
      <c r="C571" s="4"/>
      <c r="E571" s="4"/>
      <c r="G571" s="3"/>
      <c r="H571" s="3"/>
      <c r="I571" s="3"/>
      <c r="AS571" s="4"/>
      <c r="AT571" s="4"/>
    </row>
    <row r="572" spans="1:46" ht="16.5" customHeight="1">
      <c r="A572" s="4"/>
      <c r="C572" s="4"/>
      <c r="E572" s="4"/>
      <c r="G572" s="3"/>
      <c r="H572" s="3"/>
      <c r="I572" s="3"/>
      <c r="AS572" s="4"/>
      <c r="AT572" s="4"/>
    </row>
    <row r="573" spans="1:46" ht="16.5" customHeight="1">
      <c r="A573" s="4"/>
      <c r="C573" s="4"/>
      <c r="E573" s="4"/>
      <c r="G573" s="3"/>
      <c r="H573" s="3"/>
      <c r="I573" s="3"/>
      <c r="AS573" s="4"/>
      <c r="AT573" s="4"/>
    </row>
    <row r="574" spans="1:46" ht="16.5" customHeight="1">
      <c r="A574" s="4"/>
      <c r="C574" s="4"/>
      <c r="E574" s="4"/>
      <c r="G574" s="3"/>
      <c r="H574" s="3"/>
      <c r="I574" s="3"/>
      <c r="AS574" s="4"/>
      <c r="AT574" s="4"/>
    </row>
    <row r="575" spans="1:46" ht="16.5" customHeight="1">
      <c r="A575" s="4"/>
      <c r="C575" s="4"/>
      <c r="E575" s="4"/>
      <c r="G575" s="3"/>
      <c r="H575" s="3"/>
      <c r="I575" s="3"/>
      <c r="AS575" s="4"/>
      <c r="AT575" s="4"/>
    </row>
    <row r="576" spans="1:46" ht="16.5" customHeight="1">
      <c r="A576" s="4"/>
      <c r="C576" s="4"/>
      <c r="E576" s="4"/>
      <c r="G576" s="3"/>
      <c r="H576" s="3"/>
      <c r="I576" s="3"/>
      <c r="AS576" s="4"/>
      <c r="AT576" s="4"/>
    </row>
    <row r="577" spans="1:46" ht="16.5" customHeight="1">
      <c r="A577" s="4"/>
      <c r="C577" s="4"/>
      <c r="E577" s="4"/>
      <c r="G577" s="3"/>
      <c r="H577" s="3"/>
      <c r="I577" s="3"/>
      <c r="AS577" s="4"/>
      <c r="AT577" s="4"/>
    </row>
    <row r="578" spans="1:46" ht="16.5" customHeight="1">
      <c r="A578" s="4"/>
      <c r="C578" s="4"/>
      <c r="E578" s="4"/>
      <c r="G578" s="3"/>
      <c r="H578" s="3"/>
      <c r="I578" s="3"/>
      <c r="AS578" s="4"/>
      <c r="AT578" s="4"/>
    </row>
    <row r="579" spans="1:46" ht="16.5" customHeight="1">
      <c r="A579" s="4"/>
      <c r="C579" s="4"/>
      <c r="E579" s="4"/>
      <c r="G579" s="3"/>
      <c r="H579" s="3"/>
      <c r="I579" s="3"/>
      <c r="AS579" s="4"/>
      <c r="AT579" s="4"/>
    </row>
    <row r="580" spans="1:46" ht="16.5" customHeight="1">
      <c r="A580" s="4"/>
      <c r="C580" s="4"/>
      <c r="E580" s="4"/>
      <c r="G580" s="3"/>
      <c r="H580" s="3"/>
      <c r="I580" s="3"/>
      <c r="AS580" s="4"/>
      <c r="AT580" s="4"/>
    </row>
    <row r="581" spans="1:46" ht="16.5" customHeight="1">
      <c r="A581" s="4"/>
      <c r="C581" s="4"/>
      <c r="E581" s="4"/>
      <c r="G581" s="3"/>
      <c r="H581" s="3"/>
      <c r="I581" s="3"/>
      <c r="AS581" s="4"/>
      <c r="AT581" s="4"/>
    </row>
    <row r="582" spans="1:46" ht="16.5" customHeight="1">
      <c r="A582" s="4"/>
      <c r="C582" s="4"/>
      <c r="E582" s="4"/>
      <c r="G582" s="3"/>
      <c r="H582" s="3"/>
      <c r="I582" s="3"/>
      <c r="AS582" s="4"/>
      <c r="AT582" s="4"/>
    </row>
    <row r="583" spans="1:46" ht="16.5" customHeight="1">
      <c r="A583" s="4"/>
      <c r="C583" s="4"/>
      <c r="E583" s="4"/>
      <c r="G583" s="3"/>
      <c r="H583" s="3"/>
      <c r="I583" s="3"/>
      <c r="AS583" s="4"/>
      <c r="AT583" s="4"/>
    </row>
    <row r="584" spans="1:46" ht="16.5" customHeight="1">
      <c r="A584" s="4"/>
      <c r="C584" s="4"/>
      <c r="E584" s="4"/>
      <c r="G584" s="3"/>
      <c r="H584" s="3"/>
      <c r="I584" s="3"/>
      <c r="AS584" s="4"/>
      <c r="AT584" s="4"/>
    </row>
    <row r="585" spans="1:46" ht="16.5" customHeight="1">
      <c r="A585" s="4"/>
      <c r="C585" s="4"/>
      <c r="E585" s="4"/>
      <c r="G585" s="3"/>
      <c r="H585" s="3"/>
      <c r="I585" s="3"/>
      <c r="AS585" s="4"/>
      <c r="AT585" s="4"/>
    </row>
    <row r="586" spans="1:46" ht="16.5" customHeight="1">
      <c r="A586" s="4"/>
      <c r="C586" s="4"/>
      <c r="E586" s="4"/>
      <c r="G586" s="3"/>
      <c r="H586" s="3"/>
      <c r="I586" s="3"/>
      <c r="AS586" s="4"/>
      <c r="AT586" s="4"/>
    </row>
    <row r="587" spans="1:46" ht="16.5" customHeight="1">
      <c r="A587" s="4"/>
      <c r="C587" s="4"/>
      <c r="E587" s="4"/>
      <c r="G587" s="3"/>
      <c r="H587" s="3"/>
      <c r="I587" s="3"/>
      <c r="AS587" s="4"/>
      <c r="AT587" s="4"/>
    </row>
    <row r="588" spans="1:46" ht="16.5" customHeight="1">
      <c r="A588" s="4"/>
      <c r="C588" s="4"/>
      <c r="E588" s="4"/>
      <c r="G588" s="3"/>
      <c r="H588" s="3"/>
      <c r="I588" s="3"/>
      <c r="AS588" s="4"/>
      <c r="AT588" s="4"/>
    </row>
    <row r="589" spans="1:46" ht="16.5" customHeight="1">
      <c r="A589" s="4"/>
      <c r="C589" s="4"/>
      <c r="E589" s="4"/>
      <c r="G589" s="3"/>
      <c r="H589" s="3"/>
      <c r="I589" s="3"/>
      <c r="AS589" s="4"/>
      <c r="AT589" s="4"/>
    </row>
    <row r="590" spans="1:46" ht="16.5" customHeight="1">
      <c r="A590" s="4"/>
      <c r="C590" s="4"/>
      <c r="E590" s="4"/>
      <c r="G590" s="3"/>
      <c r="H590" s="3"/>
      <c r="I590" s="3"/>
      <c r="AS590" s="4"/>
      <c r="AT590" s="4"/>
    </row>
    <row r="591" spans="1:46" ht="16.5" customHeight="1">
      <c r="A591" s="4"/>
      <c r="C591" s="4"/>
      <c r="E591" s="4"/>
      <c r="G591" s="3"/>
      <c r="H591" s="3"/>
      <c r="I591" s="3"/>
      <c r="AS591" s="4"/>
      <c r="AT591" s="4"/>
    </row>
    <row r="592" spans="1:46" ht="16.5" customHeight="1">
      <c r="A592" s="4"/>
      <c r="C592" s="4"/>
      <c r="E592" s="4"/>
      <c r="G592" s="3"/>
      <c r="H592" s="3"/>
      <c r="I592" s="3"/>
      <c r="AS592" s="4"/>
      <c r="AT592" s="4"/>
    </row>
    <row r="593" spans="1:46" ht="16.5" customHeight="1">
      <c r="A593" s="4"/>
      <c r="C593" s="4"/>
      <c r="E593" s="4"/>
      <c r="G593" s="3"/>
      <c r="H593" s="3"/>
      <c r="I593" s="3"/>
      <c r="AS593" s="4"/>
      <c r="AT593" s="4"/>
    </row>
    <row r="594" spans="1:46" ht="16.5" customHeight="1">
      <c r="A594" s="4"/>
      <c r="C594" s="4"/>
      <c r="E594" s="4"/>
      <c r="G594" s="3"/>
      <c r="H594" s="3"/>
      <c r="I594" s="3"/>
      <c r="AS594" s="4"/>
      <c r="AT594" s="4"/>
    </row>
    <row r="595" spans="1:46" ht="16.5" customHeight="1">
      <c r="A595" s="4"/>
      <c r="C595" s="4"/>
      <c r="E595" s="4"/>
      <c r="G595" s="3"/>
      <c r="H595" s="3"/>
      <c r="I595" s="3"/>
      <c r="AS595" s="4"/>
      <c r="AT595" s="4"/>
    </row>
    <row r="596" spans="1:46" ht="16.5" customHeight="1">
      <c r="A596" s="4"/>
      <c r="C596" s="4"/>
      <c r="E596" s="4"/>
      <c r="G596" s="3"/>
      <c r="H596" s="3"/>
      <c r="I596" s="3"/>
      <c r="AS596" s="4"/>
      <c r="AT596" s="4"/>
    </row>
    <row r="597" spans="1:46" ht="16.5" customHeight="1">
      <c r="A597" s="4"/>
      <c r="C597" s="4"/>
      <c r="E597" s="4"/>
      <c r="G597" s="3"/>
      <c r="H597" s="3"/>
      <c r="I597" s="3"/>
      <c r="AS597" s="4"/>
      <c r="AT597" s="4"/>
    </row>
    <row r="598" spans="1:46" ht="16.5" customHeight="1">
      <c r="A598" s="4"/>
      <c r="C598" s="4"/>
      <c r="E598" s="4"/>
      <c r="G598" s="3"/>
      <c r="H598" s="3"/>
      <c r="I598" s="3"/>
      <c r="AS598" s="4"/>
      <c r="AT598" s="4"/>
    </row>
    <row r="599" spans="1:46" ht="16.5" customHeight="1">
      <c r="A599" s="4"/>
      <c r="C599" s="4"/>
      <c r="E599" s="4"/>
      <c r="G599" s="3"/>
      <c r="H599" s="3"/>
      <c r="I599" s="3"/>
      <c r="AS599" s="4"/>
      <c r="AT599" s="4"/>
    </row>
    <row r="600" spans="1:46" ht="16.5" customHeight="1">
      <c r="A600" s="4"/>
      <c r="C600" s="4"/>
      <c r="E600" s="4"/>
      <c r="G600" s="3"/>
      <c r="H600" s="3"/>
      <c r="I600" s="3"/>
      <c r="AS600" s="4"/>
      <c r="AT600" s="4"/>
    </row>
    <row r="601" spans="1:46" ht="16.5" customHeight="1">
      <c r="A601" s="4"/>
      <c r="C601" s="4"/>
      <c r="E601" s="4"/>
      <c r="G601" s="3"/>
      <c r="H601" s="3"/>
      <c r="I601" s="3"/>
      <c r="AS601" s="4"/>
      <c r="AT601" s="4"/>
    </row>
    <row r="602" spans="1:46" ht="16.5" customHeight="1">
      <c r="A602" s="4"/>
      <c r="C602" s="4"/>
      <c r="E602" s="4"/>
      <c r="G602" s="3"/>
      <c r="H602" s="3"/>
      <c r="I602" s="3"/>
      <c r="AS602" s="4"/>
      <c r="AT602" s="4"/>
    </row>
    <row r="603" spans="1:46" ht="16.5" customHeight="1">
      <c r="A603" s="4"/>
      <c r="C603" s="4"/>
      <c r="E603" s="4"/>
      <c r="G603" s="3"/>
      <c r="H603" s="3"/>
      <c r="I603" s="3"/>
      <c r="AS603" s="4"/>
      <c r="AT603" s="4"/>
    </row>
    <row r="604" spans="1:46" ht="16.5" customHeight="1">
      <c r="A604" s="4"/>
      <c r="C604" s="4"/>
      <c r="E604" s="4"/>
      <c r="G604" s="3"/>
      <c r="H604" s="3"/>
      <c r="I604" s="3"/>
      <c r="AS604" s="4"/>
      <c r="AT604" s="4"/>
    </row>
    <row r="605" spans="1:46" ht="16.5" customHeight="1">
      <c r="A605" s="4"/>
      <c r="C605" s="4"/>
      <c r="E605" s="4"/>
      <c r="G605" s="3"/>
      <c r="H605" s="3"/>
      <c r="I605" s="3"/>
      <c r="AS605" s="4"/>
      <c r="AT605" s="4"/>
    </row>
    <row r="606" spans="1:46" ht="16.5" customHeight="1">
      <c r="A606" s="4"/>
      <c r="C606" s="4"/>
      <c r="E606" s="4"/>
      <c r="G606" s="3"/>
      <c r="H606" s="3"/>
      <c r="I606" s="3"/>
      <c r="AS606" s="4"/>
      <c r="AT606" s="4"/>
    </row>
    <row r="607" spans="1:46" ht="16.5" customHeight="1">
      <c r="A607" s="4"/>
      <c r="C607" s="4"/>
      <c r="E607" s="4"/>
      <c r="G607" s="3"/>
      <c r="H607" s="3"/>
      <c r="I607" s="3"/>
      <c r="AS607" s="4"/>
      <c r="AT607" s="4"/>
    </row>
    <row r="608" spans="1:46" ht="16.5" customHeight="1">
      <c r="A608" s="4"/>
      <c r="C608" s="4"/>
      <c r="E608" s="4"/>
      <c r="G608" s="3"/>
      <c r="H608" s="3"/>
      <c r="I608" s="3"/>
      <c r="AS608" s="4"/>
      <c r="AT608" s="4"/>
    </row>
    <row r="609" spans="1:46" ht="16.5" customHeight="1">
      <c r="A609" s="4"/>
      <c r="C609" s="4"/>
      <c r="E609" s="4"/>
      <c r="G609" s="3"/>
      <c r="H609" s="3"/>
      <c r="I609" s="3"/>
      <c r="AS609" s="4"/>
      <c r="AT609" s="4"/>
    </row>
    <row r="610" spans="1:46" ht="16.5" customHeight="1">
      <c r="A610" s="4"/>
      <c r="C610" s="4"/>
      <c r="E610" s="4"/>
      <c r="G610" s="3"/>
      <c r="H610" s="3"/>
      <c r="I610" s="3"/>
      <c r="AS610" s="4"/>
      <c r="AT610" s="4"/>
    </row>
    <row r="611" spans="1:46" ht="16.5" customHeight="1">
      <c r="A611" s="4"/>
      <c r="C611" s="4"/>
      <c r="E611" s="4"/>
      <c r="G611" s="3"/>
      <c r="H611" s="3"/>
      <c r="I611" s="3"/>
      <c r="AS611" s="4"/>
      <c r="AT611" s="4"/>
    </row>
    <row r="612" spans="1:46" ht="16.5" customHeight="1">
      <c r="A612" s="4"/>
      <c r="C612" s="4"/>
      <c r="E612" s="4"/>
      <c r="G612" s="3"/>
      <c r="H612" s="3"/>
      <c r="I612" s="3"/>
      <c r="AS612" s="4"/>
      <c r="AT612" s="4"/>
    </row>
    <row r="613" spans="1:46" ht="16.5" customHeight="1">
      <c r="A613" s="4"/>
      <c r="C613" s="4"/>
      <c r="E613" s="4"/>
      <c r="G613" s="3"/>
      <c r="H613" s="3"/>
      <c r="I613" s="3"/>
      <c r="AS613" s="4"/>
      <c r="AT613" s="4"/>
    </row>
    <row r="614" spans="1:46" ht="16.5" customHeight="1">
      <c r="A614" s="4"/>
      <c r="C614" s="4"/>
      <c r="E614" s="4"/>
      <c r="G614" s="3"/>
      <c r="H614" s="3"/>
      <c r="I614" s="3"/>
      <c r="AS614" s="4"/>
      <c r="AT614" s="4"/>
    </row>
    <row r="615" spans="1:46" ht="16.5" customHeight="1">
      <c r="A615" s="4"/>
      <c r="C615" s="4"/>
      <c r="E615" s="4"/>
      <c r="G615" s="3"/>
      <c r="H615" s="3"/>
      <c r="I615" s="3"/>
      <c r="AS615" s="4"/>
      <c r="AT615" s="4"/>
    </row>
    <row r="616" spans="1:46" ht="16.5" customHeight="1">
      <c r="A616" s="4"/>
      <c r="C616" s="4"/>
      <c r="E616" s="4"/>
      <c r="G616" s="3"/>
      <c r="H616" s="3"/>
      <c r="I616" s="3"/>
      <c r="AS616" s="4"/>
      <c r="AT616" s="4"/>
    </row>
    <row r="617" spans="1:46" ht="16.5" customHeight="1">
      <c r="A617" s="4"/>
      <c r="C617" s="4"/>
      <c r="E617" s="4"/>
      <c r="G617" s="3"/>
      <c r="H617" s="3"/>
      <c r="I617" s="3"/>
      <c r="AS617" s="4"/>
      <c r="AT617" s="4"/>
    </row>
    <row r="618" spans="1:46" ht="16.5" customHeight="1">
      <c r="A618" s="4"/>
      <c r="C618" s="4"/>
      <c r="E618" s="4"/>
      <c r="G618" s="3"/>
      <c r="H618" s="3"/>
      <c r="I618" s="3"/>
      <c r="AS618" s="4"/>
      <c r="AT618" s="4"/>
    </row>
    <row r="619" spans="1:46" ht="16.5" customHeight="1">
      <c r="A619" s="4"/>
      <c r="C619" s="4"/>
      <c r="E619" s="4"/>
      <c r="G619" s="3"/>
      <c r="H619" s="3"/>
      <c r="I619" s="3"/>
      <c r="AS619" s="4"/>
      <c r="AT619" s="4"/>
    </row>
    <row r="620" spans="1:46" ht="16.5" customHeight="1">
      <c r="A620" s="4"/>
      <c r="C620" s="4"/>
      <c r="E620" s="4"/>
      <c r="G620" s="3"/>
      <c r="H620" s="3"/>
      <c r="I620" s="3"/>
      <c r="AS620" s="4"/>
      <c r="AT620" s="4"/>
    </row>
    <row r="621" spans="1:46" ht="16.5" customHeight="1">
      <c r="A621" s="4"/>
      <c r="C621" s="4"/>
      <c r="E621" s="4"/>
      <c r="G621" s="3"/>
      <c r="H621" s="3"/>
      <c r="I621" s="3"/>
      <c r="AS621" s="4"/>
      <c r="AT621" s="4"/>
    </row>
    <row r="622" spans="1:46" ht="16.5" customHeight="1">
      <c r="A622" s="4"/>
      <c r="C622" s="4"/>
      <c r="E622" s="4"/>
      <c r="G622" s="3"/>
      <c r="H622" s="3"/>
      <c r="I622" s="3"/>
      <c r="AS622" s="4"/>
      <c r="AT622" s="4"/>
    </row>
    <row r="623" spans="1:46" ht="16.5" customHeight="1">
      <c r="A623" s="4"/>
      <c r="C623" s="4"/>
      <c r="E623" s="4"/>
      <c r="G623" s="3"/>
      <c r="H623" s="3"/>
      <c r="I623" s="3"/>
      <c r="AS623" s="4"/>
      <c r="AT623" s="4"/>
    </row>
    <row r="624" spans="1:46" ht="16.5" customHeight="1">
      <c r="A624" s="4"/>
      <c r="C624" s="4"/>
      <c r="E624" s="4"/>
      <c r="G624" s="3"/>
      <c r="H624" s="3"/>
      <c r="I624" s="3"/>
      <c r="AS624" s="4"/>
      <c r="AT624" s="4"/>
    </row>
    <row r="625" spans="1:46" ht="16.5" customHeight="1">
      <c r="A625" s="4"/>
      <c r="C625" s="4"/>
      <c r="E625" s="4"/>
      <c r="G625" s="3"/>
      <c r="H625" s="3"/>
      <c r="I625" s="3"/>
      <c r="AS625" s="4"/>
      <c r="AT625" s="4"/>
    </row>
    <row r="626" spans="1:46" ht="16.5" customHeight="1">
      <c r="A626" s="4"/>
      <c r="C626" s="4"/>
      <c r="E626" s="4"/>
      <c r="G626" s="3"/>
      <c r="H626" s="3"/>
      <c r="I626" s="3"/>
      <c r="AS626" s="4"/>
      <c r="AT626" s="4"/>
    </row>
    <row r="627" spans="1:46" ht="16.5" customHeight="1">
      <c r="A627" s="4"/>
      <c r="C627" s="4"/>
      <c r="E627" s="4"/>
      <c r="G627" s="3"/>
      <c r="H627" s="3"/>
      <c r="I627" s="3"/>
      <c r="AS627" s="4"/>
      <c r="AT627" s="4"/>
    </row>
    <row r="628" spans="1:46" ht="16.5" customHeight="1">
      <c r="A628" s="4"/>
      <c r="C628" s="4"/>
      <c r="E628" s="4"/>
      <c r="G628" s="3"/>
      <c r="H628" s="3"/>
      <c r="I628" s="3"/>
      <c r="AS628" s="4"/>
      <c r="AT628" s="4"/>
    </row>
    <row r="629" spans="1:46" ht="16.5" customHeight="1">
      <c r="A629" s="4"/>
      <c r="C629" s="4"/>
      <c r="E629" s="4"/>
      <c r="G629" s="3"/>
      <c r="H629" s="3"/>
      <c r="I629" s="3"/>
      <c r="AS629" s="4"/>
      <c r="AT629" s="4"/>
    </row>
    <row r="630" spans="1:46" ht="16.5" customHeight="1">
      <c r="A630" s="4"/>
      <c r="C630" s="4"/>
      <c r="E630" s="4"/>
      <c r="G630" s="3"/>
      <c r="H630" s="3"/>
      <c r="I630" s="3"/>
      <c r="AS630" s="4"/>
      <c r="AT630" s="4"/>
    </row>
    <row r="631" spans="1:46" ht="16.5" customHeight="1">
      <c r="A631" s="4"/>
      <c r="C631" s="4"/>
      <c r="E631" s="4"/>
      <c r="G631" s="3"/>
      <c r="H631" s="3"/>
      <c r="I631" s="3"/>
      <c r="AS631" s="4"/>
      <c r="AT631" s="4"/>
    </row>
    <row r="632" spans="1:46" ht="16.5" customHeight="1">
      <c r="A632" s="4"/>
      <c r="C632" s="4"/>
      <c r="E632" s="4"/>
      <c r="G632" s="3"/>
      <c r="H632" s="3"/>
      <c r="I632" s="3"/>
      <c r="AS632" s="4"/>
      <c r="AT632" s="4"/>
    </row>
    <row r="633" spans="1:46" ht="16.5" customHeight="1">
      <c r="A633" s="4"/>
      <c r="C633" s="4"/>
      <c r="E633" s="4"/>
      <c r="G633" s="3"/>
      <c r="H633" s="3"/>
      <c r="I633" s="3"/>
      <c r="AS633" s="4"/>
      <c r="AT633" s="4"/>
    </row>
    <row r="634" spans="1:46" ht="16.5" customHeight="1">
      <c r="A634" s="4"/>
      <c r="C634" s="4"/>
      <c r="E634" s="4"/>
      <c r="G634" s="3"/>
      <c r="H634" s="3"/>
      <c r="I634" s="3"/>
      <c r="AS634" s="4"/>
      <c r="AT634" s="4"/>
    </row>
    <row r="635" spans="1:46" ht="16.5" customHeight="1">
      <c r="A635" s="4"/>
      <c r="C635" s="4"/>
      <c r="E635" s="4"/>
      <c r="G635" s="3"/>
      <c r="H635" s="3"/>
      <c r="I635" s="3"/>
      <c r="AS635" s="4"/>
      <c r="AT635" s="4"/>
    </row>
    <row r="636" spans="1:46" ht="16.5" customHeight="1">
      <c r="A636" s="4"/>
      <c r="C636" s="4"/>
      <c r="E636" s="4"/>
      <c r="G636" s="3"/>
      <c r="H636" s="3"/>
      <c r="I636" s="3"/>
      <c r="AS636" s="4"/>
      <c r="AT636" s="4"/>
    </row>
    <row r="637" spans="1:46" ht="16.5" customHeight="1">
      <c r="A637" s="4"/>
      <c r="C637" s="4"/>
      <c r="E637" s="4"/>
      <c r="G637" s="3"/>
      <c r="H637" s="3"/>
      <c r="I637" s="3"/>
      <c r="AS637" s="4"/>
      <c r="AT637" s="4"/>
    </row>
    <row r="638" spans="1:46" ht="16.5" customHeight="1">
      <c r="A638" s="4"/>
      <c r="C638" s="4"/>
      <c r="E638" s="4"/>
      <c r="G638" s="3"/>
      <c r="H638" s="3"/>
      <c r="I638" s="3"/>
      <c r="AS638" s="4"/>
      <c r="AT638" s="4"/>
    </row>
    <row r="639" spans="1:46" ht="16.5" customHeight="1">
      <c r="A639" s="4"/>
      <c r="C639" s="4"/>
      <c r="E639" s="4"/>
      <c r="G639" s="3"/>
      <c r="H639" s="3"/>
      <c r="I639" s="3"/>
      <c r="AS639" s="4"/>
      <c r="AT639" s="4"/>
    </row>
    <row r="640" spans="1:46" ht="16.5" customHeight="1">
      <c r="A640" s="4"/>
      <c r="C640" s="4"/>
      <c r="E640" s="4"/>
      <c r="G640" s="3"/>
      <c r="H640" s="3"/>
      <c r="I640" s="3"/>
      <c r="AS640" s="4"/>
      <c r="AT640" s="4"/>
    </row>
    <row r="641" spans="1:46" ht="16.5" customHeight="1">
      <c r="A641" s="4"/>
      <c r="C641" s="4"/>
      <c r="E641" s="4"/>
      <c r="G641" s="3"/>
      <c r="H641" s="3"/>
      <c r="I641" s="3"/>
      <c r="AS641" s="4"/>
      <c r="AT641" s="4"/>
    </row>
    <row r="642" spans="1:46" ht="16.5" customHeight="1">
      <c r="A642" s="4"/>
      <c r="C642" s="4"/>
      <c r="E642" s="4"/>
      <c r="G642" s="3"/>
      <c r="H642" s="3"/>
      <c r="I642" s="3"/>
      <c r="AS642" s="4"/>
      <c r="AT642" s="4"/>
    </row>
    <row r="643" spans="1:46" ht="16.5" customHeight="1">
      <c r="A643" s="4"/>
      <c r="C643" s="4"/>
      <c r="E643" s="4"/>
      <c r="G643" s="3"/>
      <c r="H643" s="3"/>
      <c r="I643" s="3"/>
      <c r="AS643" s="4"/>
      <c r="AT643" s="4"/>
    </row>
    <row r="644" spans="1:46" ht="16.5" customHeight="1">
      <c r="A644" s="4"/>
      <c r="C644" s="4"/>
      <c r="E644" s="4"/>
      <c r="G644" s="3"/>
      <c r="H644" s="3"/>
      <c r="I644" s="3"/>
      <c r="AS644" s="4"/>
      <c r="AT644" s="4"/>
    </row>
    <row r="645" spans="1:46" ht="16.5" customHeight="1">
      <c r="A645" s="4"/>
      <c r="C645" s="4"/>
      <c r="E645" s="4"/>
      <c r="G645" s="3"/>
      <c r="H645" s="3"/>
      <c r="I645" s="3"/>
      <c r="AS645" s="4"/>
      <c r="AT645" s="4"/>
    </row>
    <row r="646" spans="1:46" ht="16.5" customHeight="1">
      <c r="A646" s="4"/>
      <c r="C646" s="4"/>
      <c r="E646" s="4"/>
      <c r="G646" s="3"/>
      <c r="H646" s="3"/>
      <c r="I646" s="3"/>
      <c r="AS646" s="4"/>
      <c r="AT646" s="4"/>
    </row>
    <row r="647" spans="1:46" ht="16.5" customHeight="1">
      <c r="A647" s="4"/>
      <c r="C647" s="4"/>
      <c r="E647" s="4"/>
      <c r="G647" s="3"/>
      <c r="H647" s="3"/>
      <c r="I647" s="3"/>
      <c r="AS647" s="4"/>
      <c r="AT647" s="4"/>
    </row>
    <row r="648" spans="1:46" ht="16.5" customHeight="1">
      <c r="A648" s="4"/>
      <c r="C648" s="4"/>
      <c r="E648" s="4"/>
      <c r="G648" s="3"/>
      <c r="H648" s="3"/>
      <c r="I648" s="3"/>
      <c r="AS648" s="4"/>
      <c r="AT648" s="4"/>
    </row>
    <row r="649" spans="1:46" ht="16.5" customHeight="1">
      <c r="A649" s="4"/>
      <c r="C649" s="4"/>
      <c r="E649" s="4"/>
      <c r="G649" s="3"/>
      <c r="H649" s="3"/>
      <c r="I649" s="3"/>
      <c r="AS649" s="4"/>
      <c r="AT649" s="4"/>
    </row>
    <row r="650" spans="1:46" ht="16.5" customHeight="1">
      <c r="A650" s="4"/>
      <c r="C650" s="4"/>
      <c r="E650" s="4"/>
      <c r="G650" s="3"/>
      <c r="H650" s="3"/>
      <c r="I650" s="3"/>
      <c r="AS650" s="4"/>
      <c r="AT650" s="4"/>
    </row>
    <row r="651" spans="1:46" ht="16.5" customHeight="1">
      <c r="A651" s="4"/>
      <c r="C651" s="4"/>
      <c r="E651" s="4"/>
      <c r="G651" s="3"/>
      <c r="H651" s="3"/>
      <c r="I651" s="3"/>
      <c r="AS651" s="4"/>
      <c r="AT651" s="4"/>
    </row>
    <row r="652" spans="1:46" ht="16.5" customHeight="1">
      <c r="A652" s="4"/>
      <c r="C652" s="4"/>
      <c r="E652" s="4"/>
      <c r="G652" s="3"/>
      <c r="H652" s="3"/>
      <c r="I652" s="3"/>
      <c r="AS652" s="4"/>
      <c r="AT652" s="4"/>
    </row>
    <row r="653" spans="1:46" ht="16.5" customHeight="1">
      <c r="A653" s="4"/>
      <c r="C653" s="4"/>
      <c r="E653" s="4"/>
      <c r="G653" s="3"/>
      <c r="H653" s="3"/>
      <c r="I653" s="3"/>
      <c r="AS653" s="4"/>
      <c r="AT653" s="4"/>
    </row>
    <row r="654" spans="1:46" ht="16.5" customHeight="1">
      <c r="A654" s="4"/>
      <c r="C654" s="4"/>
      <c r="E654" s="4"/>
      <c r="G654" s="3"/>
      <c r="H654" s="3"/>
      <c r="I654" s="3"/>
      <c r="AS654" s="4"/>
      <c r="AT654" s="4"/>
    </row>
    <row r="655" spans="1:46" ht="16.5" customHeight="1">
      <c r="A655" s="4"/>
      <c r="C655" s="4"/>
      <c r="E655" s="4"/>
      <c r="G655" s="3"/>
      <c r="H655" s="3"/>
      <c r="I655" s="3"/>
      <c r="AS655" s="4"/>
      <c r="AT655" s="4"/>
    </row>
    <row r="656" spans="1:46" ht="16.5" customHeight="1">
      <c r="A656" s="4"/>
      <c r="C656" s="4"/>
      <c r="E656" s="4"/>
      <c r="G656" s="3"/>
      <c r="H656" s="3"/>
      <c r="I656" s="3"/>
      <c r="AS656" s="4"/>
      <c r="AT656" s="4"/>
    </row>
    <row r="657" spans="1:46" ht="16.5" customHeight="1">
      <c r="A657" s="4"/>
      <c r="C657" s="4"/>
      <c r="E657" s="4"/>
      <c r="G657" s="3"/>
      <c r="H657" s="3"/>
      <c r="I657" s="3"/>
      <c r="AS657" s="4"/>
      <c r="AT657" s="4"/>
    </row>
    <row r="658" spans="1:46" ht="16.5" customHeight="1">
      <c r="A658" s="4"/>
      <c r="C658" s="4"/>
      <c r="E658" s="4"/>
      <c r="G658" s="3"/>
      <c r="H658" s="3"/>
      <c r="I658" s="3"/>
      <c r="AS658" s="4"/>
      <c r="AT658" s="4"/>
    </row>
    <row r="659" spans="1:46" ht="16.5" customHeight="1">
      <c r="A659" s="4"/>
      <c r="C659" s="4"/>
      <c r="E659" s="4"/>
      <c r="G659" s="3"/>
      <c r="H659" s="3"/>
      <c r="I659" s="3"/>
      <c r="AS659" s="4"/>
      <c r="AT659" s="4"/>
    </row>
    <row r="660" spans="1:46" ht="16.5" customHeight="1">
      <c r="A660" s="4"/>
      <c r="C660" s="4"/>
      <c r="E660" s="4"/>
      <c r="G660" s="3"/>
      <c r="H660" s="3"/>
      <c r="I660" s="3"/>
      <c r="AS660" s="4"/>
      <c r="AT660" s="4"/>
    </row>
    <row r="661" spans="1:46" ht="16.5" customHeight="1">
      <c r="A661" s="4"/>
      <c r="C661" s="4"/>
      <c r="E661" s="4"/>
      <c r="G661" s="3"/>
      <c r="H661" s="3"/>
      <c r="I661" s="3"/>
      <c r="AS661" s="4"/>
      <c r="AT661" s="4"/>
    </row>
    <row r="662" spans="1:46" ht="16.5" customHeight="1">
      <c r="A662" s="4"/>
      <c r="C662" s="4"/>
      <c r="E662" s="4"/>
      <c r="G662" s="3"/>
      <c r="H662" s="3"/>
      <c r="I662" s="3"/>
      <c r="AS662" s="4"/>
      <c r="AT662" s="4"/>
    </row>
    <row r="663" spans="1:46" ht="16.5" customHeight="1">
      <c r="A663" s="4"/>
      <c r="C663" s="4"/>
      <c r="E663" s="4"/>
      <c r="G663" s="3"/>
      <c r="H663" s="3"/>
      <c r="I663" s="3"/>
      <c r="AS663" s="4"/>
      <c r="AT663" s="4"/>
    </row>
    <row r="664" spans="1:46" ht="16.5" customHeight="1">
      <c r="A664" s="4"/>
      <c r="C664" s="4"/>
      <c r="E664" s="4"/>
      <c r="G664" s="3"/>
      <c r="H664" s="3"/>
      <c r="I664" s="3"/>
      <c r="AS664" s="4"/>
      <c r="AT664" s="4"/>
    </row>
    <row r="665" spans="1:46" ht="16.5" customHeight="1">
      <c r="A665" s="4"/>
      <c r="C665" s="4"/>
      <c r="E665" s="4"/>
      <c r="G665" s="3"/>
      <c r="H665" s="3"/>
      <c r="I665" s="3"/>
      <c r="AS665" s="4"/>
      <c r="AT665" s="4"/>
    </row>
    <row r="666" spans="1:46" ht="16.5" customHeight="1">
      <c r="A666" s="4"/>
      <c r="C666" s="4"/>
      <c r="E666" s="4"/>
      <c r="G666" s="3"/>
      <c r="H666" s="3"/>
      <c r="I666" s="3"/>
      <c r="AS666" s="4"/>
      <c r="AT666" s="4"/>
    </row>
    <row r="667" spans="1:46" ht="16.5" customHeight="1">
      <c r="A667" s="4"/>
      <c r="C667" s="4"/>
      <c r="E667" s="4"/>
      <c r="G667" s="3"/>
      <c r="H667" s="3"/>
      <c r="I667" s="3"/>
      <c r="AS667" s="4"/>
      <c r="AT667" s="4"/>
    </row>
    <row r="668" spans="1:46" ht="16.5" customHeight="1">
      <c r="A668" s="4"/>
      <c r="C668" s="4"/>
      <c r="E668" s="4"/>
      <c r="G668" s="3"/>
      <c r="H668" s="3"/>
      <c r="I668" s="3"/>
      <c r="AS668" s="4"/>
      <c r="AT668" s="4"/>
    </row>
    <row r="669" spans="1:46" ht="16.5" customHeight="1">
      <c r="A669" s="4"/>
      <c r="C669" s="4"/>
      <c r="E669" s="4"/>
      <c r="G669" s="3"/>
      <c r="H669" s="3"/>
      <c r="I669" s="3"/>
      <c r="AS669" s="4"/>
      <c r="AT669" s="4"/>
    </row>
    <row r="670" spans="1:46" ht="16.5" customHeight="1">
      <c r="A670" s="4"/>
      <c r="C670" s="4"/>
      <c r="E670" s="4"/>
      <c r="G670" s="3"/>
      <c r="H670" s="3"/>
      <c r="I670" s="3"/>
      <c r="AS670" s="4"/>
      <c r="AT670" s="4"/>
    </row>
    <row r="671" spans="1:46" ht="16.5" customHeight="1">
      <c r="A671" s="4"/>
      <c r="C671" s="4"/>
      <c r="E671" s="4"/>
      <c r="G671" s="3"/>
      <c r="H671" s="3"/>
      <c r="I671" s="3"/>
      <c r="AS671" s="4"/>
      <c r="AT671" s="4"/>
    </row>
    <row r="672" spans="1:46" ht="16.5" customHeight="1">
      <c r="A672" s="4"/>
      <c r="C672" s="4"/>
      <c r="E672" s="4"/>
      <c r="G672" s="3"/>
      <c r="H672" s="3"/>
      <c r="I672" s="3"/>
      <c r="AS672" s="4"/>
      <c r="AT672" s="4"/>
    </row>
    <row r="673" spans="1:46" ht="16.5" customHeight="1">
      <c r="A673" s="4"/>
      <c r="C673" s="4"/>
      <c r="E673" s="4"/>
      <c r="G673" s="3"/>
      <c r="H673" s="3"/>
      <c r="I673" s="3"/>
      <c r="AS673" s="4"/>
      <c r="AT673" s="4"/>
    </row>
    <row r="674" spans="1:46" ht="16.5" customHeight="1">
      <c r="A674" s="4"/>
      <c r="C674" s="4"/>
      <c r="E674" s="4"/>
      <c r="G674" s="3"/>
      <c r="H674" s="3"/>
      <c r="I674" s="3"/>
      <c r="AS674" s="4"/>
      <c r="AT674" s="4"/>
    </row>
    <row r="675" spans="1:46" ht="16.5" customHeight="1">
      <c r="A675" s="4"/>
      <c r="C675" s="4"/>
      <c r="E675" s="4"/>
      <c r="G675" s="3"/>
      <c r="H675" s="3"/>
      <c r="I675" s="3"/>
      <c r="AS675" s="4"/>
      <c r="AT675" s="4"/>
    </row>
    <row r="676" spans="1:46" ht="16.5" customHeight="1">
      <c r="A676" s="4"/>
      <c r="C676" s="4"/>
      <c r="E676" s="4"/>
      <c r="G676" s="3"/>
      <c r="H676" s="3"/>
      <c r="I676" s="3"/>
      <c r="AS676" s="4"/>
      <c r="AT676" s="4"/>
    </row>
    <row r="677" spans="1:46" ht="16.5" customHeight="1">
      <c r="A677" s="4"/>
      <c r="C677" s="4"/>
      <c r="E677" s="4"/>
      <c r="G677" s="3"/>
      <c r="H677" s="3"/>
      <c r="I677" s="3"/>
      <c r="AS677" s="4"/>
      <c r="AT677" s="4"/>
    </row>
    <row r="678" spans="1:46" ht="16.5" customHeight="1">
      <c r="A678" s="4"/>
      <c r="C678" s="4"/>
      <c r="E678" s="4"/>
      <c r="G678" s="3"/>
      <c r="H678" s="3"/>
      <c r="I678" s="3"/>
      <c r="AS678" s="4"/>
      <c r="AT678" s="4"/>
    </row>
    <row r="679" spans="1:46" ht="16.5" customHeight="1">
      <c r="A679" s="4"/>
      <c r="C679" s="4"/>
      <c r="E679" s="4"/>
      <c r="G679" s="3"/>
      <c r="H679" s="3"/>
      <c r="I679" s="3"/>
      <c r="AS679" s="4"/>
      <c r="AT679" s="4"/>
    </row>
    <row r="680" spans="1:46" ht="16.5" customHeight="1">
      <c r="A680" s="4"/>
      <c r="C680" s="4"/>
      <c r="E680" s="4"/>
      <c r="G680" s="3"/>
      <c r="H680" s="3"/>
      <c r="I680" s="3"/>
      <c r="AS680" s="4"/>
      <c r="AT680" s="4"/>
    </row>
    <row r="681" spans="1:46" ht="16.5" customHeight="1">
      <c r="A681" s="4"/>
      <c r="C681" s="4"/>
      <c r="E681" s="4"/>
      <c r="G681" s="3"/>
      <c r="H681" s="3"/>
      <c r="I681" s="3"/>
      <c r="AS681" s="4"/>
      <c r="AT681" s="4"/>
    </row>
    <row r="682" spans="1:46" ht="16.5" customHeight="1">
      <c r="A682" s="4"/>
      <c r="C682" s="4"/>
      <c r="E682" s="4"/>
      <c r="G682" s="3"/>
      <c r="H682" s="3"/>
      <c r="I682" s="3"/>
      <c r="AS682" s="4"/>
      <c r="AT682" s="4"/>
    </row>
    <row r="683" spans="1:46" ht="16.5" customHeight="1">
      <c r="A683" s="4"/>
      <c r="C683" s="4"/>
      <c r="E683" s="4"/>
      <c r="G683" s="3"/>
      <c r="H683" s="3"/>
      <c r="I683" s="3"/>
      <c r="AS683" s="4"/>
      <c r="AT683" s="4"/>
    </row>
    <row r="684" spans="1:46" ht="16.5" customHeight="1">
      <c r="A684" s="4"/>
      <c r="C684" s="4"/>
      <c r="E684" s="4"/>
      <c r="G684" s="3"/>
      <c r="H684" s="3"/>
      <c r="I684" s="3"/>
      <c r="AS684" s="4"/>
      <c r="AT684" s="4"/>
    </row>
    <row r="685" spans="1:46" ht="16.5" customHeight="1">
      <c r="A685" s="4"/>
      <c r="C685" s="4"/>
      <c r="E685" s="4"/>
      <c r="G685" s="3"/>
      <c r="H685" s="3"/>
      <c r="I685" s="3"/>
      <c r="AS685" s="4"/>
      <c r="AT685" s="4"/>
    </row>
    <row r="686" spans="1:46" ht="16.5" customHeight="1">
      <c r="A686" s="4"/>
      <c r="C686" s="4"/>
      <c r="E686" s="4"/>
      <c r="G686" s="3"/>
      <c r="H686" s="3"/>
      <c r="I686" s="3"/>
      <c r="AS686" s="4"/>
      <c r="AT686" s="4"/>
    </row>
    <row r="687" spans="1:46" ht="16.5" customHeight="1">
      <c r="A687" s="4"/>
      <c r="C687" s="4"/>
      <c r="E687" s="4"/>
      <c r="G687" s="3"/>
      <c r="H687" s="3"/>
      <c r="I687" s="3"/>
      <c r="AS687" s="4"/>
      <c r="AT687" s="4"/>
    </row>
    <row r="688" spans="1:46" ht="16.5" customHeight="1">
      <c r="A688" s="4"/>
      <c r="C688" s="4"/>
      <c r="E688" s="4"/>
      <c r="G688" s="3"/>
      <c r="H688" s="3"/>
      <c r="I688" s="3"/>
      <c r="AS688" s="4"/>
      <c r="AT688" s="4"/>
    </row>
    <row r="689" spans="1:46" ht="16.5" customHeight="1">
      <c r="A689" s="4"/>
      <c r="C689" s="4"/>
      <c r="E689" s="4"/>
      <c r="G689" s="3"/>
      <c r="H689" s="3"/>
      <c r="I689" s="3"/>
      <c r="AS689" s="4"/>
      <c r="AT689" s="4"/>
    </row>
    <row r="690" spans="1:46" ht="16.5" customHeight="1">
      <c r="A690" s="4"/>
      <c r="C690" s="4"/>
      <c r="E690" s="4"/>
      <c r="G690" s="3"/>
      <c r="H690" s="3"/>
      <c r="I690" s="3"/>
      <c r="AS690" s="4"/>
      <c r="AT690" s="4"/>
    </row>
    <row r="691" spans="1:46" ht="16.5" customHeight="1">
      <c r="A691" s="4"/>
      <c r="C691" s="4"/>
      <c r="E691" s="4"/>
      <c r="G691" s="3"/>
      <c r="H691" s="3"/>
      <c r="I691" s="3"/>
      <c r="AS691" s="4"/>
      <c r="AT691" s="4"/>
    </row>
    <row r="692" spans="1:46" ht="16.5" customHeight="1">
      <c r="A692" s="4"/>
      <c r="C692" s="4"/>
      <c r="E692" s="4"/>
      <c r="G692" s="3"/>
      <c r="H692" s="3"/>
      <c r="I692" s="3"/>
      <c r="AS692" s="4"/>
      <c r="AT692" s="4"/>
    </row>
    <row r="693" spans="1:46" ht="16.5" customHeight="1">
      <c r="A693" s="4"/>
      <c r="C693" s="4"/>
      <c r="E693" s="4"/>
      <c r="G693" s="3"/>
      <c r="H693" s="3"/>
      <c r="I693" s="3"/>
      <c r="AS693" s="4"/>
      <c r="AT693" s="4"/>
    </row>
    <row r="694" spans="1:46" ht="16.5" customHeight="1">
      <c r="A694" s="4"/>
      <c r="C694" s="4"/>
      <c r="E694" s="4"/>
      <c r="G694" s="3"/>
      <c r="H694" s="3"/>
      <c r="I694" s="3"/>
      <c r="AS694" s="4"/>
      <c r="AT694" s="4"/>
    </row>
    <row r="695" spans="1:46" ht="16.5" customHeight="1">
      <c r="A695" s="4"/>
      <c r="C695" s="4"/>
      <c r="E695" s="4"/>
      <c r="G695" s="3"/>
      <c r="H695" s="3"/>
      <c r="I695" s="3"/>
      <c r="AS695" s="4"/>
      <c r="AT695" s="4"/>
    </row>
    <row r="696" spans="1:46" ht="16.5" customHeight="1">
      <c r="A696" s="4"/>
      <c r="C696" s="4"/>
      <c r="E696" s="4"/>
      <c r="G696" s="3"/>
      <c r="H696" s="3"/>
      <c r="I696" s="3"/>
      <c r="AS696" s="4"/>
      <c r="AT696" s="4"/>
    </row>
    <row r="697" spans="1:46" ht="16.5" customHeight="1">
      <c r="A697" s="4"/>
      <c r="C697" s="4"/>
      <c r="E697" s="4"/>
      <c r="G697" s="3"/>
      <c r="H697" s="3"/>
      <c r="I697" s="3"/>
      <c r="AS697" s="4"/>
      <c r="AT697" s="4"/>
    </row>
    <row r="698" spans="1:46" ht="16.5" customHeight="1">
      <c r="A698" s="4"/>
      <c r="C698" s="4"/>
      <c r="E698" s="4"/>
      <c r="G698" s="3"/>
      <c r="H698" s="3"/>
      <c r="I698" s="3"/>
      <c r="AS698" s="4"/>
      <c r="AT698" s="4"/>
    </row>
    <row r="699" spans="1:46" ht="16.5" customHeight="1">
      <c r="A699" s="4"/>
      <c r="C699" s="4"/>
      <c r="E699" s="4"/>
      <c r="G699" s="3"/>
      <c r="H699" s="3"/>
      <c r="I699" s="3"/>
      <c r="AS699" s="4"/>
      <c r="AT699" s="4"/>
    </row>
    <row r="700" spans="1:46" ht="16.5" customHeight="1">
      <c r="A700" s="4"/>
      <c r="C700" s="4"/>
      <c r="E700" s="4"/>
      <c r="G700" s="3"/>
      <c r="H700" s="3"/>
      <c r="I700" s="3"/>
      <c r="AS700" s="4"/>
      <c r="AT700" s="4"/>
    </row>
    <row r="701" spans="1:46" ht="16.5" customHeight="1">
      <c r="A701" s="4"/>
      <c r="C701" s="4"/>
      <c r="E701" s="4"/>
      <c r="G701" s="3"/>
      <c r="H701" s="3"/>
      <c r="I701" s="3"/>
      <c r="AS701" s="4"/>
      <c r="AT701" s="4"/>
    </row>
    <row r="702" spans="1:46" ht="16.5" customHeight="1">
      <c r="A702" s="4"/>
      <c r="C702" s="4"/>
      <c r="E702" s="4"/>
      <c r="G702" s="3"/>
      <c r="H702" s="3"/>
      <c r="I702" s="3"/>
      <c r="AS702" s="4"/>
      <c r="AT702" s="4"/>
    </row>
    <row r="703" spans="1:46" ht="16.5" customHeight="1">
      <c r="A703" s="4"/>
      <c r="C703" s="4"/>
      <c r="E703" s="4"/>
      <c r="G703" s="3"/>
      <c r="H703" s="3"/>
      <c r="I703" s="3"/>
      <c r="AS703" s="4"/>
      <c r="AT703" s="4"/>
    </row>
    <row r="704" spans="1:46" ht="16.5" customHeight="1">
      <c r="A704" s="4"/>
      <c r="C704" s="4"/>
      <c r="E704" s="4"/>
      <c r="G704" s="3"/>
      <c r="H704" s="3"/>
      <c r="I704" s="3"/>
      <c r="AS704" s="4"/>
      <c r="AT704" s="4"/>
    </row>
    <row r="705" spans="1:46" ht="16.5" customHeight="1">
      <c r="A705" s="4"/>
      <c r="C705" s="4"/>
      <c r="E705" s="4"/>
      <c r="G705" s="3"/>
      <c r="H705" s="3"/>
      <c r="I705" s="3"/>
      <c r="AS705" s="4"/>
      <c r="AT705" s="4"/>
    </row>
    <row r="706" spans="1:46" ht="16.5" customHeight="1">
      <c r="A706" s="4"/>
      <c r="C706" s="4"/>
      <c r="E706" s="4"/>
      <c r="G706" s="3"/>
      <c r="H706" s="3"/>
      <c r="I706" s="3"/>
      <c r="AS706" s="4"/>
      <c r="AT706" s="4"/>
    </row>
    <row r="707" spans="1:46" ht="16.5" customHeight="1">
      <c r="A707" s="4"/>
      <c r="C707" s="4"/>
      <c r="E707" s="4"/>
      <c r="G707" s="3"/>
      <c r="H707" s="3"/>
      <c r="I707" s="3"/>
      <c r="AS707" s="4"/>
      <c r="AT707" s="4"/>
    </row>
    <row r="708" spans="1:46" ht="16.5" customHeight="1">
      <c r="A708" s="4"/>
      <c r="C708" s="4"/>
      <c r="E708" s="4"/>
      <c r="G708" s="3"/>
      <c r="H708" s="3"/>
      <c r="I708" s="3"/>
      <c r="AS708" s="4"/>
      <c r="AT708" s="4"/>
    </row>
    <row r="709" spans="1:46" ht="16.5" customHeight="1">
      <c r="A709" s="4"/>
      <c r="C709" s="4"/>
      <c r="E709" s="4"/>
      <c r="G709" s="3"/>
      <c r="H709" s="3"/>
      <c r="I709" s="3"/>
      <c r="AS709" s="4"/>
      <c r="AT709" s="4"/>
    </row>
    <row r="710" spans="1:46" ht="16.5" customHeight="1">
      <c r="A710" s="4"/>
      <c r="C710" s="4"/>
      <c r="E710" s="4"/>
      <c r="G710" s="3"/>
      <c r="H710" s="3"/>
      <c r="I710" s="3"/>
      <c r="AS710" s="4"/>
      <c r="AT710" s="4"/>
    </row>
    <row r="711" spans="1:46" ht="16.5" customHeight="1">
      <c r="A711" s="4"/>
      <c r="C711" s="4"/>
      <c r="E711" s="4"/>
      <c r="G711" s="3"/>
      <c r="H711" s="3"/>
      <c r="I711" s="3"/>
      <c r="AS711" s="4"/>
      <c r="AT711" s="4"/>
    </row>
    <row r="712" spans="1:46" ht="16.5" customHeight="1">
      <c r="A712" s="4"/>
      <c r="C712" s="4"/>
      <c r="E712" s="4"/>
      <c r="G712" s="3"/>
      <c r="H712" s="3"/>
      <c r="I712" s="3"/>
      <c r="AS712" s="4"/>
      <c r="AT712" s="4"/>
    </row>
    <row r="713" spans="1:46" ht="16.5" customHeight="1">
      <c r="A713" s="4"/>
      <c r="C713" s="4"/>
      <c r="E713" s="4"/>
      <c r="G713" s="3"/>
      <c r="H713" s="3"/>
      <c r="I713" s="3"/>
      <c r="AS713" s="4"/>
      <c r="AT713" s="4"/>
    </row>
    <row r="714" spans="1:46" ht="16.5" customHeight="1">
      <c r="A714" s="4"/>
      <c r="C714" s="4"/>
      <c r="E714" s="4"/>
      <c r="G714" s="3"/>
      <c r="H714" s="3"/>
      <c r="I714" s="3"/>
      <c r="AS714" s="4"/>
      <c r="AT714" s="4"/>
    </row>
    <row r="715" spans="1:46" ht="16.5" customHeight="1">
      <c r="A715" s="4"/>
      <c r="C715" s="4"/>
      <c r="E715" s="4"/>
      <c r="G715" s="3"/>
      <c r="H715" s="3"/>
      <c r="I715" s="3"/>
      <c r="AS715" s="4"/>
      <c r="AT715" s="4"/>
    </row>
    <row r="716" spans="1:46" ht="16.5" customHeight="1">
      <c r="A716" s="4"/>
      <c r="C716" s="4"/>
      <c r="E716" s="4"/>
      <c r="G716" s="3"/>
      <c r="H716" s="3"/>
      <c r="I716" s="3"/>
      <c r="AS716" s="4"/>
      <c r="AT716" s="4"/>
    </row>
    <row r="717" spans="1:46" ht="16.5" customHeight="1">
      <c r="A717" s="4"/>
      <c r="C717" s="4"/>
      <c r="E717" s="4"/>
      <c r="G717" s="3"/>
      <c r="H717" s="3"/>
      <c r="I717" s="3"/>
      <c r="AS717" s="4"/>
      <c r="AT717" s="4"/>
    </row>
    <row r="718" spans="1:46" ht="16.5" customHeight="1">
      <c r="A718" s="4"/>
      <c r="C718" s="4"/>
      <c r="E718" s="4"/>
      <c r="G718" s="3"/>
      <c r="H718" s="3"/>
      <c r="I718" s="3"/>
      <c r="AS718" s="4"/>
      <c r="AT718" s="4"/>
    </row>
    <row r="719" spans="1:46" ht="16.5" customHeight="1">
      <c r="A719" s="4"/>
      <c r="C719" s="4"/>
      <c r="E719" s="4"/>
      <c r="G719" s="3"/>
      <c r="H719" s="3"/>
      <c r="I719" s="3"/>
      <c r="AS719" s="4"/>
      <c r="AT719" s="4"/>
    </row>
    <row r="720" spans="1:46" ht="16.5" customHeight="1">
      <c r="A720" s="4"/>
      <c r="C720" s="4"/>
      <c r="E720" s="4"/>
      <c r="G720" s="3"/>
      <c r="H720" s="3"/>
      <c r="I720" s="3"/>
      <c r="AS720" s="4"/>
      <c r="AT720" s="4"/>
    </row>
    <row r="721" spans="1:46" ht="16.5" customHeight="1">
      <c r="A721" s="4"/>
      <c r="C721" s="4"/>
      <c r="E721" s="4"/>
      <c r="G721" s="3"/>
      <c r="H721" s="3"/>
      <c r="I721" s="3"/>
      <c r="AS721" s="4"/>
      <c r="AT721" s="4"/>
    </row>
    <row r="722" spans="1:46" ht="16.5" customHeight="1">
      <c r="A722" s="4"/>
      <c r="C722" s="4"/>
      <c r="E722" s="4"/>
      <c r="G722" s="3"/>
      <c r="H722" s="3"/>
      <c r="I722" s="3"/>
      <c r="AS722" s="4"/>
      <c r="AT722" s="4"/>
    </row>
    <row r="723" spans="1:46" ht="16.5" customHeight="1">
      <c r="A723" s="4"/>
      <c r="C723" s="4"/>
      <c r="E723" s="4"/>
      <c r="G723" s="3"/>
      <c r="H723" s="3"/>
      <c r="I723" s="3"/>
      <c r="AS723" s="4"/>
      <c r="AT723" s="4"/>
    </row>
    <row r="724" spans="1:46" ht="16.5" customHeight="1">
      <c r="A724" s="4"/>
      <c r="C724" s="4"/>
      <c r="E724" s="4"/>
      <c r="G724" s="3"/>
      <c r="H724" s="3"/>
      <c r="I724" s="3"/>
      <c r="AS724" s="4"/>
      <c r="AT724" s="4"/>
    </row>
    <row r="725" spans="1:46" ht="16.5" customHeight="1">
      <c r="A725" s="4"/>
      <c r="C725" s="4"/>
      <c r="E725" s="4"/>
      <c r="G725" s="3"/>
      <c r="H725" s="3"/>
      <c r="I725" s="3"/>
      <c r="AS725" s="4"/>
      <c r="AT725" s="4"/>
    </row>
    <row r="726" spans="1:46" ht="16.5" customHeight="1">
      <c r="A726" s="4"/>
      <c r="C726" s="4"/>
      <c r="E726" s="4"/>
      <c r="G726" s="3"/>
      <c r="H726" s="3"/>
      <c r="I726" s="3"/>
      <c r="AS726" s="4"/>
      <c r="AT726" s="4"/>
    </row>
    <row r="727" spans="1:46" ht="16.5" customHeight="1">
      <c r="A727" s="4"/>
      <c r="C727" s="4"/>
      <c r="E727" s="4"/>
      <c r="G727" s="3"/>
      <c r="H727" s="3"/>
      <c r="I727" s="3"/>
      <c r="AS727" s="4"/>
      <c r="AT727" s="4"/>
    </row>
    <row r="728" spans="1:46" ht="16.5" customHeight="1">
      <c r="A728" s="4"/>
      <c r="C728" s="4"/>
      <c r="E728" s="4"/>
      <c r="G728" s="3"/>
      <c r="H728" s="3"/>
      <c r="I728" s="3"/>
      <c r="AS728" s="4"/>
      <c r="AT728" s="4"/>
    </row>
    <row r="729" spans="1:46" ht="16.5" customHeight="1">
      <c r="A729" s="4"/>
      <c r="C729" s="4"/>
      <c r="E729" s="4"/>
      <c r="G729" s="3"/>
      <c r="H729" s="3"/>
      <c r="I729" s="3"/>
      <c r="AS729" s="4"/>
      <c r="AT729" s="4"/>
    </row>
    <row r="730" spans="1:46" ht="16.5" customHeight="1">
      <c r="A730" s="4"/>
      <c r="C730" s="4"/>
      <c r="E730" s="4"/>
      <c r="G730" s="3"/>
      <c r="H730" s="3"/>
      <c r="I730" s="3"/>
      <c r="AS730" s="4"/>
      <c r="AT730" s="4"/>
    </row>
    <row r="731" spans="1:46" ht="16.5" customHeight="1">
      <c r="A731" s="4"/>
      <c r="C731" s="4"/>
      <c r="E731" s="4"/>
      <c r="G731" s="3"/>
      <c r="H731" s="3"/>
      <c r="I731" s="3"/>
      <c r="AS731" s="4"/>
      <c r="AT731" s="4"/>
    </row>
    <row r="732" spans="1:46" ht="16.5" customHeight="1">
      <c r="A732" s="4"/>
      <c r="C732" s="4"/>
      <c r="E732" s="4"/>
      <c r="G732" s="3"/>
      <c r="H732" s="3"/>
      <c r="I732" s="3"/>
      <c r="AS732" s="4"/>
      <c r="AT732" s="4"/>
    </row>
    <row r="733" spans="1:46" ht="16.5" customHeight="1">
      <c r="A733" s="4"/>
      <c r="C733" s="4"/>
      <c r="E733" s="4"/>
      <c r="G733" s="3"/>
      <c r="H733" s="3"/>
      <c r="I733" s="3"/>
      <c r="AS733" s="4"/>
      <c r="AT733" s="4"/>
    </row>
    <row r="734" spans="1:46" ht="16.5" customHeight="1">
      <c r="A734" s="4"/>
      <c r="C734" s="4"/>
      <c r="E734" s="4"/>
      <c r="G734" s="3"/>
      <c r="H734" s="3"/>
      <c r="I734" s="3"/>
      <c r="AS734" s="4"/>
      <c r="AT734" s="4"/>
    </row>
    <row r="735" spans="1:46" ht="16.5" customHeight="1">
      <c r="A735" s="4"/>
      <c r="C735" s="4"/>
      <c r="E735" s="4"/>
      <c r="G735" s="3"/>
      <c r="H735" s="3"/>
      <c r="I735" s="3"/>
      <c r="AS735" s="4"/>
      <c r="AT735" s="4"/>
    </row>
    <row r="736" spans="1:46" ht="16.5" customHeight="1">
      <c r="A736" s="4"/>
      <c r="C736" s="4"/>
      <c r="E736" s="4"/>
      <c r="G736" s="3"/>
      <c r="H736" s="3"/>
      <c r="I736" s="3"/>
      <c r="AS736" s="4"/>
      <c r="AT736" s="4"/>
    </row>
    <row r="737" spans="1:46" ht="16.5" customHeight="1">
      <c r="A737" s="4"/>
      <c r="C737" s="4"/>
      <c r="E737" s="4"/>
      <c r="G737" s="3"/>
      <c r="H737" s="3"/>
      <c r="I737" s="3"/>
      <c r="AS737" s="4"/>
      <c r="AT737" s="4"/>
    </row>
    <row r="738" spans="1:46" ht="16.5" customHeight="1">
      <c r="A738" s="4"/>
      <c r="C738" s="4"/>
      <c r="E738" s="4"/>
      <c r="G738" s="3"/>
      <c r="H738" s="3"/>
      <c r="I738" s="3"/>
      <c r="AS738" s="4"/>
      <c r="AT738" s="4"/>
    </row>
    <row r="739" spans="1:46" ht="16.5" customHeight="1">
      <c r="A739" s="4"/>
      <c r="C739" s="4"/>
      <c r="E739" s="4"/>
      <c r="G739" s="3"/>
      <c r="H739" s="3"/>
      <c r="I739" s="3"/>
      <c r="AS739" s="4"/>
      <c r="AT739" s="4"/>
    </row>
    <row r="740" spans="1:46" ht="16.5" customHeight="1">
      <c r="A740" s="4"/>
      <c r="C740" s="4"/>
      <c r="E740" s="4"/>
      <c r="G740" s="3"/>
      <c r="H740" s="3"/>
      <c r="I740" s="3"/>
      <c r="AS740" s="4"/>
      <c r="AT740" s="4"/>
    </row>
    <row r="741" spans="1:46" ht="16.5" customHeight="1">
      <c r="A741" s="4"/>
      <c r="C741" s="4"/>
      <c r="E741" s="4"/>
      <c r="G741" s="3"/>
      <c r="H741" s="3"/>
      <c r="I741" s="3"/>
      <c r="AS741" s="4"/>
      <c r="AT741" s="4"/>
    </row>
    <row r="742" spans="1:46" ht="16.5" customHeight="1">
      <c r="A742" s="4"/>
      <c r="C742" s="4"/>
      <c r="E742" s="4"/>
      <c r="G742" s="3"/>
      <c r="H742" s="3"/>
      <c r="I742" s="3"/>
      <c r="AS742" s="4"/>
      <c r="AT742" s="4"/>
    </row>
    <row r="743" spans="1:46" ht="16.5" customHeight="1">
      <c r="A743" s="4"/>
      <c r="C743" s="4"/>
      <c r="E743" s="4"/>
      <c r="G743" s="3"/>
      <c r="H743" s="3"/>
      <c r="I743" s="3"/>
      <c r="AS743" s="4"/>
      <c r="AT743" s="4"/>
    </row>
    <row r="744" spans="1:46" ht="16.5" customHeight="1">
      <c r="A744" s="4"/>
      <c r="C744" s="4"/>
      <c r="E744" s="4"/>
      <c r="G744" s="3"/>
      <c r="H744" s="3"/>
      <c r="I744" s="3"/>
      <c r="AS744" s="4"/>
      <c r="AT744" s="4"/>
    </row>
    <row r="745" spans="1:46" ht="16.5" customHeight="1">
      <c r="A745" s="4"/>
      <c r="C745" s="4"/>
      <c r="E745" s="4"/>
      <c r="G745" s="3"/>
      <c r="H745" s="3"/>
      <c r="I745" s="3"/>
      <c r="AS745" s="4"/>
      <c r="AT745" s="4"/>
    </row>
    <row r="746" spans="1:46" ht="16.5" customHeight="1">
      <c r="A746" s="4"/>
      <c r="C746" s="4"/>
      <c r="E746" s="4"/>
      <c r="G746" s="3"/>
      <c r="H746" s="3"/>
      <c r="I746" s="3"/>
      <c r="AS746" s="4"/>
      <c r="AT746" s="4"/>
    </row>
    <row r="747" spans="1:46" ht="16.5" customHeight="1">
      <c r="A747" s="4"/>
      <c r="C747" s="4"/>
      <c r="E747" s="4"/>
      <c r="G747" s="3"/>
      <c r="H747" s="3"/>
      <c r="I747" s="3"/>
      <c r="AS747" s="4"/>
      <c r="AT747" s="4"/>
    </row>
    <row r="748" spans="1:46" ht="16.5" customHeight="1">
      <c r="A748" s="4"/>
      <c r="C748" s="4"/>
      <c r="E748" s="4"/>
      <c r="G748" s="3"/>
      <c r="H748" s="3"/>
      <c r="I748" s="3"/>
      <c r="AS748" s="4"/>
      <c r="AT748" s="4"/>
    </row>
    <row r="749" spans="1:46" ht="16.5" customHeight="1">
      <c r="A749" s="4"/>
      <c r="C749" s="4"/>
      <c r="E749" s="4"/>
      <c r="G749" s="3"/>
      <c r="H749" s="3"/>
      <c r="I749" s="3"/>
      <c r="AS749" s="4"/>
      <c r="AT749" s="4"/>
    </row>
    <row r="750" spans="1:46" ht="16.5" customHeight="1">
      <c r="A750" s="4"/>
      <c r="C750" s="4"/>
      <c r="E750" s="4"/>
      <c r="G750" s="3"/>
      <c r="H750" s="3"/>
      <c r="I750" s="3"/>
      <c r="AS750" s="4"/>
      <c r="AT750" s="4"/>
    </row>
    <row r="751" spans="1:46" ht="16.5" customHeight="1">
      <c r="A751" s="4"/>
      <c r="C751" s="4"/>
      <c r="E751" s="4"/>
      <c r="G751" s="3"/>
      <c r="H751" s="3"/>
      <c r="I751" s="3"/>
      <c r="AS751" s="4"/>
      <c r="AT751" s="4"/>
    </row>
    <row r="752" spans="1:46" ht="16.5" customHeight="1">
      <c r="A752" s="4"/>
      <c r="C752" s="4"/>
      <c r="E752" s="4"/>
      <c r="G752" s="3"/>
      <c r="H752" s="3"/>
      <c r="I752" s="3"/>
      <c r="AS752" s="4"/>
      <c r="AT752" s="4"/>
    </row>
    <row r="753" spans="1:46" ht="16.5" customHeight="1">
      <c r="A753" s="4"/>
      <c r="C753" s="4"/>
      <c r="E753" s="4"/>
      <c r="G753" s="3"/>
      <c r="H753" s="3"/>
      <c r="I753" s="3"/>
      <c r="AS753" s="4"/>
      <c r="AT753" s="4"/>
    </row>
    <row r="754" spans="1:46" ht="16.5" customHeight="1">
      <c r="A754" s="4"/>
      <c r="C754" s="4"/>
      <c r="E754" s="4"/>
      <c r="G754" s="3"/>
      <c r="H754" s="3"/>
      <c r="I754" s="3"/>
      <c r="AS754" s="4"/>
      <c r="AT754" s="4"/>
    </row>
    <row r="755" spans="1:46" ht="16.5" customHeight="1">
      <c r="A755" s="4"/>
      <c r="C755" s="4"/>
      <c r="E755" s="4"/>
      <c r="G755" s="3"/>
      <c r="H755" s="3"/>
      <c r="I755" s="3"/>
      <c r="AS755" s="4"/>
      <c r="AT755" s="4"/>
    </row>
    <row r="756" spans="1:46" ht="16.5" customHeight="1">
      <c r="A756" s="4"/>
      <c r="C756" s="4"/>
      <c r="E756" s="4"/>
      <c r="G756" s="3"/>
      <c r="H756" s="3"/>
      <c r="I756" s="3"/>
      <c r="AS756" s="4"/>
      <c r="AT756" s="4"/>
    </row>
    <row r="757" spans="1:46" ht="16.5" customHeight="1">
      <c r="A757" s="4"/>
      <c r="C757" s="4"/>
      <c r="E757" s="4"/>
      <c r="G757" s="3"/>
      <c r="H757" s="3"/>
      <c r="I757" s="3"/>
      <c r="AS757" s="4"/>
      <c r="AT757" s="4"/>
    </row>
    <row r="758" spans="1:46" ht="16.5" customHeight="1">
      <c r="A758" s="4"/>
      <c r="C758" s="4"/>
      <c r="E758" s="4"/>
      <c r="G758" s="3"/>
      <c r="H758" s="3"/>
      <c r="I758" s="3"/>
      <c r="AS758" s="4"/>
      <c r="AT758" s="4"/>
    </row>
    <row r="759" spans="1:46" ht="16.5" customHeight="1">
      <c r="A759" s="4"/>
      <c r="C759" s="4"/>
      <c r="E759" s="4"/>
      <c r="G759" s="3"/>
      <c r="H759" s="3"/>
      <c r="I759" s="3"/>
      <c r="AS759" s="4"/>
      <c r="AT759" s="4"/>
    </row>
    <row r="760" spans="1:46" ht="16.5" customHeight="1">
      <c r="A760" s="4"/>
      <c r="C760" s="4"/>
      <c r="E760" s="4"/>
      <c r="G760" s="3"/>
      <c r="H760" s="3"/>
      <c r="I760" s="3"/>
      <c r="AS760" s="4"/>
      <c r="AT760" s="4"/>
    </row>
    <row r="761" spans="1:46" ht="16.5" customHeight="1">
      <c r="A761" s="4"/>
      <c r="C761" s="4"/>
      <c r="E761" s="4"/>
      <c r="G761" s="3"/>
      <c r="H761" s="3"/>
      <c r="I761" s="3"/>
      <c r="AS761" s="4"/>
      <c r="AT761" s="4"/>
    </row>
    <row r="762" spans="1:46" ht="16.5" customHeight="1">
      <c r="A762" s="4"/>
      <c r="C762" s="4"/>
      <c r="E762" s="4"/>
      <c r="G762" s="3"/>
      <c r="H762" s="3"/>
      <c r="I762" s="3"/>
      <c r="AS762" s="4"/>
      <c r="AT762" s="4"/>
    </row>
    <row r="763" spans="1:46" ht="16.5" customHeight="1">
      <c r="A763" s="4"/>
      <c r="C763" s="4"/>
      <c r="E763" s="4"/>
      <c r="G763" s="3"/>
      <c r="H763" s="3"/>
      <c r="I763" s="3"/>
      <c r="AS763" s="4"/>
      <c r="AT763" s="4"/>
    </row>
    <row r="764" spans="1:46" ht="16.5" customHeight="1">
      <c r="A764" s="4"/>
      <c r="C764" s="4"/>
      <c r="E764" s="4"/>
      <c r="G764" s="3"/>
      <c r="H764" s="3"/>
      <c r="I764" s="3"/>
      <c r="AS764" s="4"/>
      <c r="AT764" s="4"/>
    </row>
    <row r="765" spans="1:46" ht="16.5" customHeight="1">
      <c r="A765" s="4"/>
      <c r="C765" s="4"/>
      <c r="E765" s="4"/>
      <c r="G765" s="3"/>
      <c r="H765" s="3"/>
      <c r="I765" s="3"/>
      <c r="AS765" s="4"/>
      <c r="AT765" s="4"/>
    </row>
    <row r="766" spans="1:46" ht="16.5" customHeight="1">
      <c r="A766" s="4"/>
      <c r="C766" s="4"/>
      <c r="E766" s="4"/>
      <c r="G766" s="3"/>
      <c r="H766" s="3"/>
      <c r="I766" s="3"/>
      <c r="AS766" s="4"/>
      <c r="AT766" s="4"/>
    </row>
    <row r="767" spans="1:46" ht="16.5" customHeight="1">
      <c r="A767" s="4"/>
      <c r="C767" s="4"/>
      <c r="E767" s="4"/>
      <c r="G767" s="3"/>
      <c r="H767" s="3"/>
      <c r="I767" s="3"/>
      <c r="AS767" s="4"/>
      <c r="AT767" s="4"/>
    </row>
    <row r="768" spans="1:46" ht="16.5" customHeight="1">
      <c r="A768" s="4"/>
      <c r="C768" s="4"/>
      <c r="E768" s="4"/>
      <c r="G768" s="3"/>
      <c r="H768" s="3"/>
      <c r="I768" s="3"/>
      <c r="AS768" s="4"/>
      <c r="AT768" s="4"/>
    </row>
    <row r="769" spans="1:46" ht="16.5" customHeight="1">
      <c r="A769" s="4"/>
      <c r="C769" s="4"/>
      <c r="E769" s="4"/>
      <c r="G769" s="3"/>
      <c r="H769" s="3"/>
      <c r="I769" s="3"/>
      <c r="AS769" s="4"/>
      <c r="AT769" s="4"/>
    </row>
    <row r="770" spans="1:46" ht="16.5" customHeight="1">
      <c r="A770" s="4"/>
      <c r="C770" s="4"/>
      <c r="E770" s="4"/>
      <c r="G770" s="3"/>
      <c r="H770" s="3"/>
      <c r="I770" s="3"/>
      <c r="AS770" s="4"/>
      <c r="AT770" s="4"/>
    </row>
    <row r="771" spans="1:46" ht="16.5" customHeight="1">
      <c r="A771" s="4"/>
      <c r="C771" s="4"/>
      <c r="E771" s="4"/>
      <c r="G771" s="3"/>
      <c r="H771" s="3"/>
      <c r="I771" s="3"/>
      <c r="AS771" s="4"/>
      <c r="AT771" s="4"/>
    </row>
    <row r="772" spans="1:46" ht="16.5" customHeight="1">
      <c r="A772" s="4"/>
      <c r="C772" s="4"/>
      <c r="E772" s="4"/>
      <c r="G772" s="3"/>
      <c r="H772" s="3"/>
      <c r="I772" s="3"/>
      <c r="AS772" s="4"/>
      <c r="AT772" s="4"/>
    </row>
    <row r="773" spans="1:46" ht="16.5" customHeight="1">
      <c r="A773" s="4"/>
      <c r="C773" s="4"/>
      <c r="E773" s="4"/>
      <c r="G773" s="3"/>
      <c r="H773" s="3"/>
      <c r="I773" s="3"/>
      <c r="AS773" s="4"/>
      <c r="AT773" s="4"/>
    </row>
    <row r="774" spans="1:46" ht="16.5" customHeight="1">
      <c r="A774" s="4"/>
      <c r="C774" s="4"/>
      <c r="E774" s="4"/>
      <c r="G774" s="3"/>
      <c r="H774" s="3"/>
      <c r="I774" s="3"/>
      <c r="AS774" s="4"/>
      <c r="AT774" s="4"/>
    </row>
    <row r="775" spans="1:46" ht="16.5" customHeight="1">
      <c r="A775" s="4"/>
      <c r="C775" s="4"/>
      <c r="E775" s="4"/>
      <c r="G775" s="3"/>
      <c r="H775" s="3"/>
      <c r="I775" s="3"/>
      <c r="AS775" s="4"/>
      <c r="AT775" s="4"/>
    </row>
    <row r="776" spans="1:46" ht="16.5" customHeight="1">
      <c r="A776" s="4"/>
      <c r="C776" s="4"/>
      <c r="E776" s="4"/>
      <c r="G776" s="3"/>
      <c r="H776" s="3"/>
      <c r="I776" s="3"/>
      <c r="AS776" s="4"/>
      <c r="AT776" s="4"/>
    </row>
    <row r="777" spans="1:46" ht="16.5" customHeight="1">
      <c r="A777" s="4"/>
      <c r="C777" s="4"/>
      <c r="E777" s="4"/>
      <c r="G777" s="3"/>
      <c r="H777" s="3"/>
      <c r="I777" s="3"/>
      <c r="AS777" s="4"/>
      <c r="AT777" s="4"/>
    </row>
    <row r="778" spans="1:46" ht="16.5" customHeight="1">
      <c r="A778" s="4"/>
      <c r="C778" s="4"/>
      <c r="E778" s="4"/>
      <c r="G778" s="3"/>
      <c r="H778" s="3"/>
      <c r="I778" s="3"/>
      <c r="AS778" s="4"/>
      <c r="AT778" s="4"/>
    </row>
    <row r="779" spans="1:46" ht="16.5" customHeight="1">
      <c r="A779" s="4"/>
      <c r="C779" s="4"/>
      <c r="E779" s="4"/>
      <c r="G779" s="3"/>
      <c r="H779" s="3"/>
      <c r="I779" s="3"/>
      <c r="AS779" s="4"/>
      <c r="AT779" s="4"/>
    </row>
    <row r="780" spans="1:46" ht="16.5" customHeight="1">
      <c r="A780" s="4"/>
      <c r="C780" s="4"/>
      <c r="E780" s="4"/>
      <c r="G780" s="3"/>
      <c r="H780" s="3"/>
      <c r="I780" s="3"/>
      <c r="AS780" s="4"/>
      <c r="AT780" s="4"/>
    </row>
    <row r="781" spans="1:46" ht="16.5" customHeight="1">
      <c r="A781" s="4"/>
      <c r="C781" s="4"/>
      <c r="E781" s="4"/>
      <c r="G781" s="3"/>
      <c r="H781" s="3"/>
      <c r="I781" s="3"/>
      <c r="AS781" s="4"/>
      <c r="AT781" s="4"/>
    </row>
    <row r="782" spans="1:46" ht="16.5" customHeight="1">
      <c r="A782" s="4"/>
      <c r="C782" s="4"/>
      <c r="E782" s="4"/>
      <c r="G782" s="3"/>
      <c r="H782" s="3"/>
      <c r="I782" s="3"/>
      <c r="AS782" s="4"/>
      <c r="AT782" s="4"/>
    </row>
    <row r="783" spans="1:46" ht="16.5" customHeight="1">
      <c r="A783" s="4"/>
      <c r="C783" s="4"/>
      <c r="E783" s="4"/>
      <c r="G783" s="3"/>
      <c r="H783" s="3"/>
      <c r="I783" s="3"/>
      <c r="AS783" s="4"/>
      <c r="AT783" s="4"/>
    </row>
    <row r="784" spans="1:46" ht="16.5" customHeight="1">
      <c r="A784" s="4"/>
      <c r="C784" s="4"/>
      <c r="E784" s="4"/>
      <c r="G784" s="3"/>
      <c r="H784" s="3"/>
      <c r="I784" s="3"/>
      <c r="AS784" s="4"/>
      <c r="AT784" s="4"/>
    </row>
    <row r="785" spans="1:46" ht="16.5" customHeight="1">
      <c r="A785" s="4"/>
      <c r="C785" s="4"/>
      <c r="E785" s="4"/>
      <c r="G785" s="3"/>
      <c r="H785" s="3"/>
      <c r="I785" s="3"/>
      <c r="AS785" s="4"/>
      <c r="AT785" s="4"/>
    </row>
    <row r="786" spans="1:46" ht="16.5" customHeight="1">
      <c r="A786" s="4"/>
      <c r="C786" s="4"/>
      <c r="E786" s="4"/>
      <c r="G786" s="3"/>
      <c r="H786" s="3"/>
      <c r="I786" s="3"/>
      <c r="AS786" s="4"/>
      <c r="AT786" s="4"/>
    </row>
    <row r="787" spans="1:46" ht="16.5" customHeight="1">
      <c r="A787" s="4"/>
      <c r="C787" s="4"/>
      <c r="E787" s="4"/>
      <c r="G787" s="3"/>
      <c r="H787" s="3"/>
      <c r="I787" s="3"/>
      <c r="AS787" s="4"/>
      <c r="AT787" s="4"/>
    </row>
    <row r="788" spans="1:46" ht="16.5" customHeight="1">
      <c r="A788" s="4"/>
      <c r="C788" s="4"/>
      <c r="E788" s="4"/>
      <c r="G788" s="3"/>
      <c r="H788" s="3"/>
      <c r="I788" s="3"/>
      <c r="AS788" s="4"/>
      <c r="AT788" s="4"/>
    </row>
    <row r="789" spans="1:46" ht="16.5" customHeight="1">
      <c r="A789" s="4"/>
      <c r="C789" s="4"/>
      <c r="E789" s="4"/>
      <c r="G789" s="3"/>
      <c r="H789" s="3"/>
      <c r="I789" s="3"/>
      <c r="AS789" s="4"/>
      <c r="AT789" s="4"/>
    </row>
    <row r="790" spans="1:46" ht="16.5" customHeight="1">
      <c r="A790" s="4"/>
      <c r="C790" s="4"/>
      <c r="E790" s="4"/>
      <c r="G790" s="3"/>
      <c r="H790" s="3"/>
      <c r="I790" s="3"/>
      <c r="AS790" s="4"/>
      <c r="AT790" s="4"/>
    </row>
    <row r="791" spans="1:46" ht="16.5" customHeight="1">
      <c r="A791" s="4"/>
      <c r="C791" s="4"/>
      <c r="E791" s="4"/>
      <c r="G791" s="3"/>
      <c r="H791" s="3"/>
      <c r="I791" s="3"/>
      <c r="AS791" s="4"/>
      <c r="AT791" s="4"/>
    </row>
    <row r="792" spans="1:46" ht="16.5" customHeight="1">
      <c r="A792" s="4"/>
      <c r="C792" s="4"/>
      <c r="E792" s="4"/>
      <c r="G792" s="3"/>
      <c r="H792" s="3"/>
      <c r="I792" s="3"/>
      <c r="AS792" s="4"/>
      <c r="AT792" s="4"/>
    </row>
    <row r="793" spans="1:46" ht="16.5" customHeight="1">
      <c r="A793" s="4"/>
      <c r="C793" s="4"/>
      <c r="E793" s="4"/>
      <c r="G793" s="3"/>
      <c r="H793" s="3"/>
      <c r="I793" s="3"/>
      <c r="AS793" s="4"/>
      <c r="AT793" s="4"/>
    </row>
    <row r="794" spans="1:46" ht="16.5" customHeight="1">
      <c r="A794" s="4"/>
      <c r="C794" s="4"/>
      <c r="E794" s="4"/>
      <c r="G794" s="3"/>
      <c r="H794" s="3"/>
      <c r="I794" s="3"/>
      <c r="AS794" s="4"/>
      <c r="AT794" s="4"/>
    </row>
    <row r="795" spans="1:46" ht="16.5" customHeight="1">
      <c r="A795" s="4"/>
      <c r="C795" s="4"/>
      <c r="E795" s="4"/>
      <c r="G795" s="3"/>
      <c r="H795" s="3"/>
      <c r="I795" s="3"/>
      <c r="AS795" s="4"/>
      <c r="AT795" s="4"/>
    </row>
    <row r="796" spans="1:46" ht="16.5" customHeight="1">
      <c r="A796" s="4"/>
      <c r="C796" s="4"/>
      <c r="E796" s="4"/>
      <c r="G796" s="3"/>
      <c r="H796" s="3"/>
      <c r="I796" s="3"/>
      <c r="AS796" s="4"/>
      <c r="AT796" s="4"/>
    </row>
    <row r="797" spans="1:46" ht="16.5" customHeight="1">
      <c r="A797" s="4"/>
      <c r="C797" s="4"/>
      <c r="E797" s="4"/>
      <c r="G797" s="3"/>
      <c r="H797" s="3"/>
      <c r="I797" s="3"/>
      <c r="AS797" s="4"/>
      <c r="AT797" s="4"/>
    </row>
    <row r="798" spans="1:46" ht="16.5" customHeight="1">
      <c r="A798" s="4"/>
      <c r="C798" s="4"/>
      <c r="E798" s="4"/>
      <c r="G798" s="3"/>
      <c r="H798" s="3"/>
      <c r="I798" s="3"/>
      <c r="AS798" s="4"/>
      <c r="AT798" s="4"/>
    </row>
    <row r="799" spans="1:46" ht="16.5" customHeight="1">
      <c r="A799" s="4"/>
      <c r="C799" s="4"/>
      <c r="E799" s="4"/>
      <c r="G799" s="3"/>
      <c r="H799" s="3"/>
      <c r="I799" s="3"/>
      <c r="AS799" s="4"/>
      <c r="AT799" s="4"/>
    </row>
    <row r="800" spans="1:46" ht="16.5" customHeight="1">
      <c r="A800" s="4"/>
      <c r="C800" s="4"/>
      <c r="E800" s="4"/>
      <c r="G800" s="3"/>
      <c r="H800" s="3"/>
      <c r="I800" s="3"/>
      <c r="AS800" s="4"/>
      <c r="AT800" s="4"/>
    </row>
    <row r="801" spans="1:46" ht="16.5" customHeight="1">
      <c r="A801" s="4"/>
      <c r="C801" s="4"/>
      <c r="E801" s="4"/>
      <c r="G801" s="3"/>
      <c r="H801" s="3"/>
      <c r="I801" s="3"/>
      <c r="AS801" s="4"/>
      <c r="AT801" s="4"/>
    </row>
    <row r="802" spans="1:46" ht="16.5" customHeight="1">
      <c r="A802" s="4"/>
      <c r="C802" s="4"/>
      <c r="E802" s="4"/>
      <c r="G802" s="3"/>
      <c r="H802" s="3"/>
      <c r="I802" s="3"/>
      <c r="AS802" s="4"/>
      <c r="AT802" s="4"/>
    </row>
    <row r="803" spans="1:46" ht="16.5" customHeight="1">
      <c r="A803" s="4"/>
      <c r="C803" s="4"/>
      <c r="E803" s="4"/>
      <c r="G803" s="3"/>
      <c r="H803" s="3"/>
      <c r="I803" s="3"/>
      <c r="AS803" s="4"/>
      <c r="AT803" s="4"/>
    </row>
    <row r="804" spans="1:46" ht="16.5" customHeight="1">
      <c r="A804" s="4"/>
      <c r="C804" s="4"/>
      <c r="E804" s="4"/>
      <c r="G804" s="3"/>
      <c r="H804" s="3"/>
      <c r="I804" s="3"/>
      <c r="AS804" s="4"/>
      <c r="AT804" s="4"/>
    </row>
    <row r="805" spans="1:46" ht="16.5" customHeight="1">
      <c r="A805" s="4"/>
      <c r="C805" s="4"/>
      <c r="E805" s="4"/>
      <c r="G805" s="3"/>
      <c r="H805" s="3"/>
      <c r="I805" s="3"/>
      <c r="AS805" s="4"/>
      <c r="AT805" s="4"/>
    </row>
    <row r="806" spans="1:46" ht="16.5" customHeight="1">
      <c r="A806" s="4"/>
      <c r="C806" s="4"/>
      <c r="E806" s="4"/>
      <c r="G806" s="3"/>
      <c r="H806" s="3"/>
      <c r="I806" s="3"/>
      <c r="AS806" s="4"/>
      <c r="AT806" s="4"/>
    </row>
    <row r="807" spans="1:46" ht="16.5" customHeight="1">
      <c r="A807" s="4"/>
      <c r="C807" s="4"/>
      <c r="E807" s="4"/>
      <c r="G807" s="3"/>
      <c r="H807" s="3"/>
      <c r="I807" s="3"/>
      <c r="AS807" s="4"/>
      <c r="AT807" s="4"/>
    </row>
    <row r="808" spans="1:46" ht="16.5" customHeight="1">
      <c r="A808" s="4"/>
      <c r="C808" s="4"/>
      <c r="E808" s="4"/>
      <c r="G808" s="3"/>
      <c r="H808" s="3"/>
      <c r="I808" s="3"/>
      <c r="AS808" s="4"/>
      <c r="AT808" s="4"/>
    </row>
    <row r="809" spans="1:46" ht="16.5" customHeight="1">
      <c r="A809" s="4"/>
      <c r="C809" s="4"/>
      <c r="E809" s="4"/>
      <c r="G809" s="3"/>
      <c r="H809" s="3"/>
      <c r="I809" s="3"/>
      <c r="AS809" s="4"/>
      <c r="AT809" s="4"/>
    </row>
    <row r="810" spans="1:46" ht="16.5" customHeight="1">
      <c r="A810" s="4"/>
      <c r="C810" s="4"/>
      <c r="E810" s="4"/>
      <c r="G810" s="3"/>
      <c r="H810" s="3"/>
      <c r="I810" s="3"/>
      <c r="AS810" s="4"/>
      <c r="AT810" s="4"/>
    </row>
    <row r="811" spans="1:46" ht="16.5" customHeight="1">
      <c r="A811" s="4"/>
      <c r="C811" s="4"/>
      <c r="E811" s="4"/>
      <c r="G811" s="3"/>
      <c r="H811" s="3"/>
      <c r="I811" s="3"/>
      <c r="AS811" s="4"/>
      <c r="AT811" s="4"/>
    </row>
    <row r="812" spans="1:46" ht="16.5" customHeight="1">
      <c r="A812" s="4"/>
      <c r="C812" s="4"/>
      <c r="E812" s="4"/>
      <c r="G812" s="3"/>
      <c r="H812" s="3"/>
      <c r="I812" s="3"/>
      <c r="AS812" s="4"/>
      <c r="AT812" s="4"/>
    </row>
    <row r="813" spans="1:46" ht="16.5" customHeight="1">
      <c r="A813" s="4"/>
      <c r="C813" s="4"/>
      <c r="E813" s="4"/>
      <c r="G813" s="3"/>
      <c r="H813" s="3"/>
      <c r="I813" s="3"/>
      <c r="AS813" s="4"/>
      <c r="AT813" s="4"/>
    </row>
    <row r="814" spans="1:46" ht="16.5" customHeight="1">
      <c r="A814" s="4"/>
      <c r="C814" s="4"/>
      <c r="E814" s="4"/>
      <c r="G814" s="3"/>
      <c r="H814" s="3"/>
      <c r="I814" s="3"/>
      <c r="AS814" s="4"/>
      <c r="AT814" s="4"/>
    </row>
    <row r="815" spans="1:46" ht="16.5" customHeight="1">
      <c r="A815" s="4"/>
      <c r="C815" s="4"/>
      <c r="E815" s="4"/>
      <c r="G815" s="3"/>
      <c r="H815" s="3"/>
      <c r="I815" s="3"/>
      <c r="AS815" s="4"/>
      <c r="AT815" s="4"/>
    </row>
    <row r="816" spans="1:46" ht="16.5" customHeight="1">
      <c r="A816" s="4"/>
      <c r="C816" s="4"/>
      <c r="E816" s="4"/>
      <c r="G816" s="3"/>
      <c r="H816" s="3"/>
      <c r="I816" s="3"/>
      <c r="AS816" s="4"/>
      <c r="AT816" s="4"/>
    </row>
    <row r="817" spans="1:46" ht="16.5" customHeight="1">
      <c r="A817" s="4"/>
      <c r="C817" s="4"/>
      <c r="E817" s="4"/>
      <c r="G817" s="3"/>
      <c r="H817" s="3"/>
      <c r="I817" s="3"/>
      <c r="AS817" s="4"/>
      <c r="AT817" s="4"/>
    </row>
    <row r="818" spans="1:46" ht="16.5" customHeight="1">
      <c r="A818" s="4"/>
      <c r="C818" s="4"/>
      <c r="E818" s="4"/>
      <c r="G818" s="3"/>
      <c r="H818" s="3"/>
      <c r="I818" s="3"/>
      <c r="AS818" s="4"/>
      <c r="AT818" s="4"/>
    </row>
    <row r="819" spans="1:46" ht="16.5" customHeight="1">
      <c r="A819" s="4"/>
      <c r="C819" s="4"/>
      <c r="E819" s="4"/>
      <c r="G819" s="3"/>
      <c r="H819" s="3"/>
      <c r="I819" s="3"/>
      <c r="AS819" s="4"/>
      <c r="AT819" s="4"/>
    </row>
    <row r="820" spans="1:46" ht="16.5" customHeight="1">
      <c r="A820" s="4"/>
      <c r="C820" s="4"/>
      <c r="E820" s="4"/>
      <c r="G820" s="3"/>
      <c r="H820" s="3"/>
      <c r="I820" s="3"/>
      <c r="AS820" s="4"/>
      <c r="AT820" s="4"/>
    </row>
    <row r="821" spans="1:46" ht="16.5" customHeight="1">
      <c r="A821" s="4"/>
      <c r="C821" s="4"/>
      <c r="E821" s="4"/>
      <c r="G821" s="3"/>
      <c r="H821" s="3"/>
      <c r="I821" s="3"/>
      <c r="AS821" s="4"/>
      <c r="AT821" s="4"/>
    </row>
    <row r="822" spans="1:46" ht="16.5" customHeight="1">
      <c r="A822" s="4"/>
      <c r="C822" s="4"/>
      <c r="E822" s="4"/>
      <c r="G822" s="3"/>
      <c r="H822" s="3"/>
      <c r="I822" s="3"/>
      <c r="AS822" s="4"/>
      <c r="AT822" s="4"/>
    </row>
    <row r="823" spans="1:46" ht="16.5" customHeight="1">
      <c r="A823" s="4"/>
      <c r="C823" s="4"/>
      <c r="E823" s="4"/>
      <c r="G823" s="3"/>
      <c r="H823" s="3"/>
      <c r="I823" s="3"/>
      <c r="AS823" s="4"/>
      <c r="AT823" s="4"/>
    </row>
    <row r="824" spans="1:46" ht="16.5" customHeight="1">
      <c r="A824" s="4"/>
      <c r="C824" s="4"/>
      <c r="E824" s="4"/>
      <c r="G824" s="3"/>
      <c r="H824" s="3"/>
      <c r="I824" s="3"/>
      <c r="AS824" s="4"/>
      <c r="AT824" s="4"/>
    </row>
    <row r="825" spans="1:46" ht="16.5" customHeight="1">
      <c r="A825" s="4"/>
      <c r="C825" s="4"/>
      <c r="E825" s="4"/>
      <c r="G825" s="3"/>
      <c r="H825" s="3"/>
      <c r="I825" s="3"/>
      <c r="AS825" s="4"/>
      <c r="AT825" s="4"/>
    </row>
    <row r="826" spans="1:46" ht="16.5" customHeight="1">
      <c r="A826" s="4"/>
      <c r="C826" s="4"/>
      <c r="E826" s="4"/>
      <c r="G826" s="3"/>
      <c r="H826" s="3"/>
      <c r="I826" s="3"/>
      <c r="AS826" s="4"/>
      <c r="AT826" s="4"/>
    </row>
    <row r="827" spans="1:46" ht="16.5" customHeight="1">
      <c r="A827" s="4"/>
      <c r="C827" s="4"/>
      <c r="E827" s="4"/>
      <c r="G827" s="3"/>
      <c r="H827" s="3"/>
      <c r="I827" s="3"/>
      <c r="AS827" s="4"/>
      <c r="AT827" s="4"/>
    </row>
    <row r="828" spans="1:46" ht="16.5" customHeight="1">
      <c r="A828" s="4"/>
      <c r="C828" s="4"/>
      <c r="E828" s="4"/>
      <c r="G828" s="3"/>
      <c r="H828" s="3"/>
      <c r="I828" s="3"/>
      <c r="AS828" s="4"/>
      <c r="AT828" s="4"/>
    </row>
    <row r="829" spans="1:46" ht="16.5" customHeight="1">
      <c r="A829" s="4"/>
      <c r="C829" s="4"/>
      <c r="E829" s="4"/>
      <c r="G829" s="3"/>
      <c r="H829" s="3"/>
      <c r="I829" s="3"/>
      <c r="AS829" s="4"/>
      <c r="AT829" s="4"/>
    </row>
    <row r="830" spans="1:46" ht="16.5" customHeight="1">
      <c r="A830" s="4"/>
      <c r="C830" s="4"/>
      <c r="E830" s="4"/>
      <c r="G830" s="3"/>
      <c r="H830" s="3"/>
      <c r="I830" s="3"/>
      <c r="AS830" s="4"/>
      <c r="AT830" s="4"/>
    </row>
    <row r="831" spans="1:46" ht="16.5" customHeight="1">
      <c r="A831" s="4"/>
      <c r="C831" s="4"/>
      <c r="E831" s="4"/>
      <c r="G831" s="3"/>
      <c r="H831" s="3"/>
      <c r="I831" s="3"/>
      <c r="AS831" s="4"/>
      <c r="AT831" s="4"/>
    </row>
    <row r="832" spans="1:46" ht="16.5" customHeight="1">
      <c r="A832" s="4"/>
      <c r="C832" s="4"/>
      <c r="E832" s="4"/>
      <c r="G832" s="3"/>
      <c r="H832" s="3"/>
      <c r="I832" s="3"/>
      <c r="AS832" s="4"/>
      <c r="AT832" s="4"/>
    </row>
    <row r="833" spans="1:46" ht="16.5" customHeight="1">
      <c r="A833" s="4"/>
      <c r="C833" s="4"/>
      <c r="E833" s="4"/>
      <c r="G833" s="3"/>
      <c r="H833" s="3"/>
      <c r="I833" s="3"/>
      <c r="AS833" s="4"/>
      <c r="AT833" s="4"/>
    </row>
    <row r="834" spans="1:46" ht="16.5" customHeight="1">
      <c r="A834" s="4"/>
      <c r="C834" s="4"/>
      <c r="E834" s="4"/>
      <c r="G834" s="3"/>
      <c r="H834" s="3"/>
      <c r="I834" s="3"/>
      <c r="AS834" s="4"/>
      <c r="AT834" s="4"/>
    </row>
    <row r="835" spans="1:46" ht="16.5" customHeight="1">
      <c r="A835" s="4"/>
      <c r="C835" s="4"/>
      <c r="E835" s="4"/>
      <c r="G835" s="3"/>
      <c r="H835" s="3"/>
      <c r="I835" s="3"/>
      <c r="AS835" s="4"/>
      <c r="AT835" s="4"/>
    </row>
    <row r="836" spans="1:46" ht="16.5" customHeight="1">
      <c r="A836" s="4"/>
      <c r="C836" s="4"/>
      <c r="E836" s="4"/>
      <c r="G836" s="3"/>
      <c r="H836" s="3"/>
      <c r="I836" s="3"/>
      <c r="AS836" s="4"/>
      <c r="AT836" s="4"/>
    </row>
    <row r="837" spans="1:46" ht="16.5" customHeight="1">
      <c r="A837" s="4"/>
      <c r="C837" s="4"/>
      <c r="E837" s="4"/>
      <c r="G837" s="3"/>
      <c r="H837" s="3"/>
      <c r="I837" s="3"/>
      <c r="AS837" s="4"/>
      <c r="AT837" s="4"/>
    </row>
    <row r="838" spans="1:46" ht="16.5" customHeight="1">
      <c r="A838" s="4"/>
      <c r="C838" s="4"/>
      <c r="E838" s="4"/>
      <c r="G838" s="3"/>
      <c r="H838" s="3"/>
      <c r="I838" s="3"/>
      <c r="AS838" s="4"/>
      <c r="AT838" s="4"/>
    </row>
    <row r="839" spans="1:46" ht="16.5" customHeight="1">
      <c r="A839" s="4"/>
      <c r="C839" s="4"/>
      <c r="E839" s="4"/>
      <c r="G839" s="3"/>
      <c r="H839" s="3"/>
      <c r="I839" s="3"/>
      <c r="AS839" s="4"/>
      <c r="AT839" s="4"/>
    </row>
    <row r="840" spans="1:46" ht="16.5" customHeight="1">
      <c r="A840" s="4"/>
      <c r="C840" s="4"/>
      <c r="E840" s="4"/>
      <c r="G840" s="3"/>
      <c r="H840" s="3"/>
      <c r="I840" s="3"/>
      <c r="AS840" s="4"/>
      <c r="AT840" s="4"/>
    </row>
    <row r="841" spans="1:46" ht="16.5" customHeight="1">
      <c r="A841" s="4"/>
      <c r="C841" s="4"/>
      <c r="E841" s="4"/>
      <c r="G841" s="3"/>
      <c r="H841" s="3"/>
      <c r="I841" s="3"/>
      <c r="AS841" s="4"/>
      <c r="AT841" s="4"/>
    </row>
    <row r="842" spans="1:46" ht="16.5" customHeight="1">
      <c r="A842" s="4"/>
      <c r="C842" s="4"/>
      <c r="E842" s="4"/>
      <c r="G842" s="3"/>
      <c r="H842" s="3"/>
      <c r="I842" s="3"/>
      <c r="AS842" s="4"/>
      <c r="AT842" s="4"/>
    </row>
    <row r="843" spans="1:46" ht="16.5" customHeight="1">
      <c r="A843" s="4"/>
      <c r="C843" s="4"/>
      <c r="E843" s="4"/>
      <c r="G843" s="3"/>
      <c r="H843" s="3"/>
      <c r="I843" s="3"/>
      <c r="AS843" s="4"/>
      <c r="AT843" s="4"/>
    </row>
    <row r="844" spans="1:46" ht="16.5" customHeight="1">
      <c r="A844" s="4"/>
      <c r="C844" s="4"/>
      <c r="E844" s="4"/>
      <c r="G844" s="3"/>
      <c r="H844" s="3"/>
      <c r="I844" s="3"/>
      <c r="AS844" s="4"/>
      <c r="AT844" s="4"/>
    </row>
    <row r="845" spans="1:46" ht="16.5" customHeight="1">
      <c r="A845" s="4"/>
      <c r="C845" s="4"/>
      <c r="E845" s="4"/>
      <c r="G845" s="3"/>
      <c r="H845" s="3"/>
      <c r="I845" s="3"/>
      <c r="AS845" s="4"/>
      <c r="AT845" s="4"/>
    </row>
    <row r="846" spans="1:46" ht="16.5" customHeight="1">
      <c r="A846" s="4"/>
      <c r="C846" s="4"/>
      <c r="E846" s="4"/>
      <c r="G846" s="3"/>
      <c r="H846" s="3"/>
      <c r="I846" s="3"/>
      <c r="AS846" s="4"/>
      <c r="AT846" s="4"/>
    </row>
    <row r="847" spans="1:46" ht="16.5" customHeight="1">
      <c r="A847" s="4"/>
      <c r="C847" s="4"/>
      <c r="E847" s="4"/>
      <c r="G847" s="3"/>
      <c r="H847" s="3"/>
      <c r="I847" s="3"/>
      <c r="AS847" s="4"/>
      <c r="AT847" s="4"/>
    </row>
    <row r="848" spans="1:46" ht="16.5" customHeight="1">
      <c r="A848" s="4"/>
      <c r="C848" s="4"/>
      <c r="E848" s="4"/>
      <c r="G848" s="3"/>
      <c r="H848" s="3"/>
      <c r="I848" s="3"/>
      <c r="AS848" s="4"/>
      <c r="AT848" s="4"/>
    </row>
    <row r="849" spans="1:46" ht="16.5" customHeight="1">
      <c r="A849" s="4"/>
      <c r="C849" s="4"/>
      <c r="E849" s="4"/>
      <c r="G849" s="3"/>
      <c r="H849" s="3"/>
      <c r="I849" s="3"/>
      <c r="AS849" s="4"/>
      <c r="AT849" s="4"/>
    </row>
    <row r="850" spans="1:46" ht="16.5" customHeight="1">
      <c r="A850" s="4"/>
      <c r="C850" s="4"/>
      <c r="E850" s="4"/>
      <c r="G850" s="3"/>
      <c r="H850" s="3"/>
      <c r="I850" s="3"/>
      <c r="AS850" s="4"/>
      <c r="AT850" s="4"/>
    </row>
    <row r="851" spans="1:46" ht="16.5" customHeight="1">
      <c r="A851" s="4"/>
      <c r="C851" s="4"/>
      <c r="E851" s="4"/>
      <c r="G851" s="3"/>
      <c r="H851" s="3"/>
      <c r="I851" s="3"/>
      <c r="AS851" s="4"/>
      <c r="AT851" s="4"/>
    </row>
    <row r="852" spans="1:46" ht="16.5" customHeight="1">
      <c r="A852" s="4"/>
      <c r="C852" s="4"/>
      <c r="E852" s="4"/>
      <c r="G852" s="3"/>
      <c r="H852" s="3"/>
      <c r="I852" s="3"/>
      <c r="AS852" s="4"/>
      <c r="AT852" s="4"/>
    </row>
    <row r="853" spans="1:46" ht="16.5" customHeight="1">
      <c r="A853" s="4"/>
      <c r="C853" s="4"/>
      <c r="E853" s="4"/>
      <c r="G853" s="3"/>
      <c r="H853" s="3"/>
      <c r="I853" s="3"/>
      <c r="AS853" s="4"/>
      <c r="AT853" s="4"/>
    </row>
    <row r="854" spans="1:46" ht="16.5" customHeight="1">
      <c r="A854" s="4"/>
      <c r="C854" s="4"/>
      <c r="E854" s="4"/>
      <c r="G854" s="3"/>
      <c r="H854" s="3"/>
      <c r="I854" s="3"/>
      <c r="AS854" s="4"/>
      <c r="AT854" s="4"/>
    </row>
    <row r="855" spans="1:46" ht="16.5" customHeight="1">
      <c r="A855" s="4"/>
      <c r="C855" s="4"/>
      <c r="E855" s="4"/>
      <c r="G855" s="3"/>
      <c r="H855" s="3"/>
      <c r="I855" s="3"/>
      <c r="AS855" s="4"/>
      <c r="AT855" s="4"/>
    </row>
    <row r="856" spans="1:46" ht="16.5" customHeight="1">
      <c r="A856" s="4"/>
      <c r="C856" s="4"/>
      <c r="E856" s="4"/>
      <c r="G856" s="3"/>
      <c r="H856" s="3"/>
      <c r="I856" s="3"/>
      <c r="AS856" s="4"/>
      <c r="AT856" s="4"/>
    </row>
    <row r="857" spans="1:46" ht="16.5" customHeight="1">
      <c r="A857" s="4"/>
      <c r="C857" s="4"/>
      <c r="E857" s="4"/>
      <c r="G857" s="3"/>
      <c r="H857" s="3"/>
      <c r="I857" s="3"/>
      <c r="AS857" s="4"/>
      <c r="AT857" s="4"/>
    </row>
    <row r="858" spans="1:46" ht="16.5" customHeight="1">
      <c r="A858" s="4"/>
      <c r="C858" s="4"/>
      <c r="E858" s="4"/>
      <c r="G858" s="3"/>
      <c r="H858" s="3"/>
      <c r="I858" s="3"/>
      <c r="AS858" s="4"/>
      <c r="AT858" s="4"/>
    </row>
    <row r="859" spans="1:46" ht="16.5" customHeight="1">
      <c r="A859" s="4"/>
      <c r="C859" s="4"/>
      <c r="E859" s="4"/>
      <c r="G859" s="3"/>
      <c r="H859" s="3"/>
      <c r="I859" s="3"/>
      <c r="AS859" s="4"/>
      <c r="AT859" s="4"/>
    </row>
    <row r="860" spans="1:46" ht="16.5" customHeight="1">
      <c r="A860" s="4"/>
      <c r="C860" s="4"/>
      <c r="E860" s="4"/>
      <c r="G860" s="3"/>
      <c r="H860" s="3"/>
      <c r="I860" s="3"/>
      <c r="AS860" s="4"/>
      <c r="AT860" s="4"/>
    </row>
    <row r="861" spans="1:46" ht="16.5" customHeight="1">
      <c r="A861" s="4"/>
      <c r="C861" s="4"/>
      <c r="E861" s="4"/>
      <c r="G861" s="3"/>
      <c r="H861" s="3"/>
      <c r="I861" s="3"/>
      <c r="AS861" s="4"/>
      <c r="AT861" s="4"/>
    </row>
    <row r="862" spans="1:46" ht="16.5" customHeight="1">
      <c r="A862" s="4"/>
      <c r="C862" s="4"/>
      <c r="E862" s="4"/>
      <c r="G862" s="3"/>
      <c r="H862" s="3"/>
      <c r="I862" s="3"/>
      <c r="AS862" s="4"/>
      <c r="AT862" s="4"/>
    </row>
    <row r="863" spans="1:46" ht="16.5" customHeight="1">
      <c r="A863" s="4"/>
      <c r="C863" s="4"/>
      <c r="E863" s="4"/>
      <c r="G863" s="3"/>
      <c r="H863" s="3"/>
      <c r="I863" s="3"/>
      <c r="AS863" s="4"/>
      <c r="AT863" s="4"/>
    </row>
    <row r="864" spans="1:46" ht="16.5" customHeight="1">
      <c r="A864" s="4"/>
      <c r="C864" s="4"/>
      <c r="E864" s="4"/>
      <c r="G864" s="3"/>
      <c r="H864" s="3"/>
      <c r="I864" s="3"/>
      <c r="AS864" s="4"/>
      <c r="AT864" s="4"/>
    </row>
    <row r="865" spans="1:46" ht="16.5" customHeight="1">
      <c r="A865" s="4"/>
      <c r="C865" s="4"/>
      <c r="E865" s="4"/>
      <c r="G865" s="3"/>
      <c r="H865" s="3"/>
      <c r="I865" s="3"/>
      <c r="AS865" s="4"/>
      <c r="AT865" s="4"/>
    </row>
    <row r="866" spans="1:46" ht="16.5" customHeight="1">
      <c r="A866" s="4"/>
      <c r="C866" s="4"/>
      <c r="E866" s="4"/>
      <c r="G866" s="3"/>
      <c r="H866" s="3"/>
      <c r="I866" s="3"/>
      <c r="AS866" s="4"/>
      <c r="AT866" s="4"/>
    </row>
    <row r="867" spans="1:46" ht="16.5" customHeight="1">
      <c r="A867" s="4"/>
      <c r="C867" s="4"/>
      <c r="E867" s="4"/>
      <c r="G867" s="3"/>
      <c r="H867" s="3"/>
      <c r="I867" s="3"/>
      <c r="AS867" s="4"/>
      <c r="AT867" s="4"/>
    </row>
    <row r="868" spans="1:46" ht="16.5" customHeight="1">
      <c r="A868" s="4"/>
      <c r="C868" s="4"/>
      <c r="E868" s="4"/>
      <c r="G868" s="3"/>
      <c r="H868" s="3"/>
      <c r="I868" s="3"/>
      <c r="AS868" s="4"/>
      <c r="AT868" s="4"/>
    </row>
    <row r="869" spans="1:46" ht="16.5" customHeight="1">
      <c r="A869" s="4"/>
      <c r="C869" s="4"/>
      <c r="E869" s="4"/>
      <c r="G869" s="3"/>
      <c r="H869" s="3"/>
      <c r="I869" s="3"/>
      <c r="AS869" s="4"/>
      <c r="AT869" s="4"/>
    </row>
    <row r="870" spans="1:46" ht="16.5" customHeight="1">
      <c r="A870" s="4"/>
      <c r="C870" s="4"/>
      <c r="E870" s="4"/>
      <c r="G870" s="3"/>
      <c r="H870" s="3"/>
      <c r="I870" s="3"/>
      <c r="AS870" s="4"/>
      <c r="AT870" s="4"/>
    </row>
    <row r="871" spans="1:46" ht="16.5" customHeight="1">
      <c r="A871" s="4"/>
      <c r="C871" s="4"/>
      <c r="E871" s="4"/>
      <c r="G871" s="3"/>
      <c r="H871" s="3"/>
      <c r="I871" s="3"/>
      <c r="AS871" s="4"/>
      <c r="AT871" s="4"/>
    </row>
    <row r="872" spans="1:46" ht="16.5" customHeight="1">
      <c r="A872" s="4"/>
      <c r="C872" s="4"/>
      <c r="E872" s="4"/>
      <c r="G872" s="3"/>
      <c r="H872" s="3"/>
      <c r="I872" s="3"/>
      <c r="AS872" s="4"/>
      <c r="AT872" s="4"/>
    </row>
    <row r="873" spans="1:46" ht="16.5" customHeight="1">
      <c r="A873" s="4"/>
      <c r="C873" s="4"/>
      <c r="E873" s="4"/>
      <c r="G873" s="3"/>
      <c r="H873" s="3"/>
      <c r="I873" s="3"/>
      <c r="AS873" s="4"/>
      <c r="AT873" s="4"/>
    </row>
    <row r="874" spans="1:46" ht="16.5" customHeight="1">
      <c r="A874" s="4"/>
      <c r="C874" s="4"/>
      <c r="E874" s="4"/>
      <c r="G874" s="3"/>
      <c r="H874" s="3"/>
      <c r="I874" s="3"/>
      <c r="AS874" s="4"/>
      <c r="AT874" s="4"/>
    </row>
    <row r="875" spans="1:46" ht="16.5" customHeight="1">
      <c r="A875" s="4"/>
      <c r="C875" s="4"/>
      <c r="E875" s="4"/>
      <c r="G875" s="3"/>
      <c r="H875" s="3"/>
      <c r="I875" s="3"/>
      <c r="AS875" s="4"/>
      <c r="AT875" s="4"/>
    </row>
    <row r="876" spans="1:46" ht="16.5" customHeight="1">
      <c r="A876" s="4"/>
      <c r="C876" s="4"/>
      <c r="E876" s="4"/>
      <c r="G876" s="3"/>
      <c r="H876" s="3"/>
      <c r="I876" s="3"/>
      <c r="AS876" s="4"/>
      <c r="AT876" s="4"/>
    </row>
    <row r="877" spans="1:46" ht="16.5" customHeight="1">
      <c r="A877" s="4"/>
      <c r="C877" s="4"/>
      <c r="E877" s="4"/>
      <c r="G877" s="3"/>
      <c r="H877" s="3"/>
      <c r="I877" s="3"/>
      <c r="AS877" s="4"/>
      <c r="AT877" s="4"/>
    </row>
    <row r="878" spans="1:46" ht="16.5" customHeight="1">
      <c r="A878" s="4"/>
      <c r="C878" s="4"/>
      <c r="E878" s="4"/>
      <c r="G878" s="3"/>
      <c r="H878" s="3"/>
      <c r="I878" s="3"/>
      <c r="AS878" s="4"/>
      <c r="AT878" s="4"/>
    </row>
    <row r="879" spans="1:46" ht="16.5" customHeight="1">
      <c r="A879" s="4"/>
      <c r="C879" s="4"/>
      <c r="E879" s="4"/>
      <c r="G879" s="3"/>
      <c r="H879" s="3"/>
      <c r="I879" s="3"/>
      <c r="AS879" s="4"/>
      <c r="AT879" s="4"/>
    </row>
    <row r="880" spans="1:46" ht="16.5" customHeight="1">
      <c r="A880" s="4"/>
      <c r="C880" s="4"/>
      <c r="E880" s="4"/>
      <c r="G880" s="3"/>
      <c r="H880" s="3"/>
      <c r="I880" s="3"/>
      <c r="AS880" s="4"/>
      <c r="AT880" s="4"/>
    </row>
    <row r="881" spans="1:46" ht="16.5" customHeight="1">
      <c r="A881" s="4"/>
      <c r="C881" s="4"/>
      <c r="E881" s="4"/>
      <c r="G881" s="3"/>
      <c r="H881" s="3"/>
      <c r="I881" s="3"/>
      <c r="AS881" s="4"/>
      <c r="AT881" s="4"/>
    </row>
    <row r="882" spans="1:46" ht="16.5" customHeight="1">
      <c r="A882" s="4"/>
      <c r="C882" s="4"/>
      <c r="E882" s="4"/>
      <c r="G882" s="3"/>
      <c r="H882" s="3"/>
      <c r="I882" s="3"/>
      <c r="AS882" s="4"/>
      <c r="AT882" s="4"/>
    </row>
    <row r="883" spans="1:46" ht="16.5" customHeight="1">
      <c r="A883" s="4"/>
      <c r="C883" s="4"/>
      <c r="E883" s="4"/>
      <c r="G883" s="3"/>
      <c r="H883" s="3"/>
      <c r="I883" s="3"/>
      <c r="AS883" s="4"/>
      <c r="AT883" s="4"/>
    </row>
    <row r="884" spans="1:46" ht="16.5" customHeight="1">
      <c r="A884" s="4"/>
      <c r="C884" s="4"/>
      <c r="E884" s="4"/>
      <c r="G884" s="3"/>
      <c r="H884" s="3"/>
      <c r="I884" s="3"/>
      <c r="AS884" s="4"/>
      <c r="AT884" s="4"/>
    </row>
    <row r="885" spans="1:46" ht="16.5" customHeight="1">
      <c r="A885" s="4"/>
      <c r="C885" s="4"/>
      <c r="E885" s="4"/>
      <c r="G885" s="3"/>
      <c r="H885" s="3"/>
      <c r="I885" s="3"/>
      <c r="AS885" s="4"/>
      <c r="AT885" s="4"/>
    </row>
    <row r="886" spans="1:46" ht="16.5" customHeight="1">
      <c r="A886" s="4"/>
      <c r="C886" s="4"/>
      <c r="E886" s="4"/>
      <c r="G886" s="3"/>
      <c r="H886" s="3"/>
      <c r="I886" s="3"/>
      <c r="AS886" s="4"/>
      <c r="AT886" s="4"/>
    </row>
    <row r="887" spans="1:46" ht="16.5" customHeight="1">
      <c r="A887" s="4"/>
      <c r="C887" s="4"/>
      <c r="E887" s="4"/>
      <c r="G887" s="3"/>
      <c r="H887" s="3"/>
      <c r="I887" s="3"/>
      <c r="AS887" s="4"/>
      <c r="AT887" s="4"/>
    </row>
    <row r="888" spans="1:46" ht="16.5" customHeight="1">
      <c r="A888" s="4"/>
      <c r="C888" s="4"/>
      <c r="E888" s="4"/>
      <c r="G888" s="3"/>
      <c r="H888" s="3"/>
      <c r="I888" s="3"/>
      <c r="AS888" s="4"/>
      <c r="AT888" s="4"/>
    </row>
    <row r="889" spans="1:46" ht="16.5" customHeight="1">
      <c r="A889" s="4"/>
      <c r="C889" s="4"/>
      <c r="E889" s="4"/>
      <c r="G889" s="3"/>
      <c r="H889" s="3"/>
      <c r="I889" s="3"/>
      <c r="AS889" s="4"/>
      <c r="AT889" s="4"/>
    </row>
    <row r="890" spans="1:46" ht="16.5" customHeight="1">
      <c r="A890" s="4"/>
      <c r="C890" s="4"/>
      <c r="E890" s="4"/>
      <c r="G890" s="3"/>
      <c r="H890" s="3"/>
      <c r="I890" s="3"/>
      <c r="AS890" s="4"/>
      <c r="AT890" s="4"/>
    </row>
    <row r="891" spans="1:46" ht="16.5" customHeight="1">
      <c r="A891" s="4"/>
      <c r="C891" s="4"/>
      <c r="E891" s="4"/>
      <c r="G891" s="3"/>
      <c r="H891" s="3"/>
      <c r="I891" s="3"/>
      <c r="AS891" s="4"/>
      <c r="AT891" s="4"/>
    </row>
    <row r="892" spans="1:46" ht="16.5" customHeight="1">
      <c r="A892" s="4"/>
      <c r="C892" s="4"/>
      <c r="E892" s="4"/>
      <c r="G892" s="3"/>
      <c r="H892" s="3"/>
      <c r="I892" s="3"/>
      <c r="AS892" s="4"/>
      <c r="AT892" s="4"/>
    </row>
    <row r="893" spans="1:46" ht="16.5" customHeight="1">
      <c r="A893" s="4"/>
      <c r="C893" s="4"/>
      <c r="E893" s="4"/>
      <c r="G893" s="3"/>
      <c r="H893" s="3"/>
      <c r="I893" s="3"/>
      <c r="AS893" s="4"/>
      <c r="AT893" s="4"/>
    </row>
    <row r="894" spans="1:46" ht="16.5" customHeight="1">
      <c r="A894" s="4"/>
      <c r="C894" s="4"/>
      <c r="E894" s="4"/>
      <c r="G894" s="3"/>
      <c r="H894" s="3"/>
      <c r="I894" s="3"/>
      <c r="AS894" s="4"/>
      <c r="AT894" s="4"/>
    </row>
    <row r="895" spans="1:46" ht="16.5" customHeight="1">
      <c r="A895" s="4"/>
      <c r="C895" s="4"/>
      <c r="E895" s="4"/>
      <c r="G895" s="3"/>
      <c r="H895" s="3"/>
      <c r="I895" s="3"/>
      <c r="AS895" s="4"/>
      <c r="AT895" s="4"/>
    </row>
    <row r="896" spans="1:46" ht="16.5" customHeight="1">
      <c r="A896" s="4"/>
      <c r="C896" s="4"/>
      <c r="E896" s="4"/>
      <c r="G896" s="3"/>
      <c r="H896" s="3"/>
      <c r="I896" s="3"/>
      <c r="AS896" s="4"/>
      <c r="AT896" s="4"/>
    </row>
    <row r="897" spans="1:46" ht="16.5" customHeight="1">
      <c r="A897" s="4"/>
      <c r="C897" s="4"/>
      <c r="E897" s="4"/>
      <c r="G897" s="3"/>
      <c r="H897" s="3"/>
      <c r="I897" s="3"/>
      <c r="AS897" s="4"/>
      <c r="AT897" s="4"/>
    </row>
    <row r="898" spans="1:46" ht="16.5" customHeight="1">
      <c r="A898" s="4"/>
      <c r="C898" s="4"/>
      <c r="E898" s="4"/>
      <c r="G898" s="3"/>
      <c r="H898" s="3"/>
      <c r="I898" s="3"/>
      <c r="AS898" s="4"/>
      <c r="AT898" s="4"/>
    </row>
    <row r="899" spans="1:46" ht="16.5" customHeight="1">
      <c r="A899" s="4"/>
      <c r="C899" s="4"/>
      <c r="E899" s="4"/>
      <c r="G899" s="3"/>
      <c r="H899" s="3"/>
      <c r="I899" s="3"/>
      <c r="AS899" s="4"/>
      <c r="AT899" s="4"/>
    </row>
    <row r="900" spans="1:46" ht="16.5" customHeight="1">
      <c r="A900" s="4"/>
      <c r="C900" s="4"/>
      <c r="E900" s="4"/>
      <c r="G900" s="3"/>
      <c r="H900" s="3"/>
      <c r="I900" s="3"/>
      <c r="AS900" s="4"/>
      <c r="AT900" s="4"/>
    </row>
    <row r="901" spans="1:46" ht="16.5" customHeight="1">
      <c r="A901" s="4"/>
      <c r="C901" s="4"/>
      <c r="E901" s="4"/>
      <c r="G901" s="3"/>
      <c r="H901" s="3"/>
      <c r="I901" s="3"/>
      <c r="AS901" s="4"/>
      <c r="AT901" s="4"/>
    </row>
    <row r="902" spans="1:46" ht="16.5" customHeight="1">
      <c r="A902" s="4"/>
      <c r="C902" s="4"/>
      <c r="E902" s="4"/>
      <c r="G902" s="3"/>
      <c r="H902" s="3"/>
      <c r="I902" s="3"/>
      <c r="AS902" s="4"/>
      <c r="AT902" s="4"/>
    </row>
    <row r="903" spans="1:46" ht="16.5" customHeight="1">
      <c r="A903" s="4"/>
      <c r="C903" s="4"/>
      <c r="E903" s="4"/>
      <c r="G903" s="3"/>
      <c r="H903" s="3"/>
      <c r="I903" s="3"/>
      <c r="AS903" s="4"/>
      <c r="AT903" s="4"/>
    </row>
    <row r="904" spans="1:46" ht="16.5" customHeight="1">
      <c r="A904" s="4"/>
      <c r="C904" s="4"/>
      <c r="E904" s="4"/>
      <c r="G904" s="3"/>
      <c r="H904" s="3"/>
      <c r="I904" s="3"/>
      <c r="AS904" s="4"/>
      <c r="AT904" s="4"/>
    </row>
    <row r="905" spans="1:46" ht="16.5" customHeight="1">
      <c r="A905" s="4"/>
      <c r="C905" s="4"/>
      <c r="E905" s="4"/>
      <c r="G905" s="3"/>
      <c r="H905" s="3"/>
      <c r="I905" s="3"/>
      <c r="AS905" s="4"/>
      <c r="AT905" s="4"/>
    </row>
    <row r="906" spans="1:46" ht="16.5" customHeight="1">
      <c r="A906" s="4"/>
      <c r="C906" s="4"/>
      <c r="E906" s="4"/>
      <c r="G906" s="3"/>
      <c r="H906" s="3"/>
      <c r="I906" s="3"/>
      <c r="AS906" s="4"/>
      <c r="AT906" s="4"/>
    </row>
    <row r="907" spans="1:46" ht="16.5" customHeight="1">
      <c r="A907" s="4"/>
      <c r="C907" s="4"/>
      <c r="E907" s="4"/>
      <c r="G907" s="3"/>
      <c r="H907" s="3"/>
      <c r="I907" s="3"/>
      <c r="AS907" s="4"/>
      <c r="AT907" s="4"/>
    </row>
    <row r="908" spans="1:46" ht="16.5" customHeight="1">
      <c r="A908" s="4"/>
      <c r="C908" s="4"/>
      <c r="E908" s="4"/>
      <c r="G908" s="3"/>
      <c r="H908" s="3"/>
      <c r="I908" s="3"/>
      <c r="AS908" s="4"/>
      <c r="AT908" s="4"/>
    </row>
    <row r="909" spans="1:46" ht="16.5" customHeight="1">
      <c r="A909" s="4"/>
      <c r="C909" s="4"/>
      <c r="E909" s="4"/>
      <c r="G909" s="3"/>
      <c r="H909" s="3"/>
      <c r="I909" s="3"/>
      <c r="AS909" s="4"/>
      <c r="AT909" s="4"/>
    </row>
    <row r="910" spans="1:46" ht="16.5" customHeight="1">
      <c r="A910" s="4"/>
      <c r="C910" s="4"/>
      <c r="E910" s="4"/>
      <c r="G910" s="3"/>
      <c r="H910" s="3"/>
      <c r="I910" s="3"/>
      <c r="AS910" s="4"/>
      <c r="AT910" s="4"/>
    </row>
    <row r="911" spans="1:46" ht="16.5" customHeight="1">
      <c r="A911" s="4"/>
      <c r="C911" s="4"/>
      <c r="E911" s="4"/>
      <c r="G911" s="3"/>
      <c r="H911" s="3"/>
      <c r="I911" s="3"/>
      <c r="AS911" s="4"/>
      <c r="AT911" s="4"/>
    </row>
    <row r="912" spans="1:46" ht="16.5" customHeight="1">
      <c r="A912" s="4"/>
      <c r="C912" s="4"/>
      <c r="E912" s="4"/>
      <c r="G912" s="3"/>
      <c r="H912" s="3"/>
      <c r="I912" s="3"/>
      <c r="AS912" s="4"/>
      <c r="AT912" s="4"/>
    </row>
    <row r="913" spans="1:46" ht="16.5" customHeight="1">
      <c r="A913" s="4"/>
      <c r="C913" s="4"/>
      <c r="E913" s="4"/>
      <c r="G913" s="3"/>
      <c r="H913" s="3"/>
      <c r="I913" s="3"/>
      <c r="AS913" s="4"/>
      <c r="AT913" s="4"/>
    </row>
    <row r="914" spans="1:46" ht="16.5" customHeight="1">
      <c r="A914" s="4"/>
      <c r="C914" s="4"/>
      <c r="E914" s="4"/>
      <c r="G914" s="3"/>
      <c r="H914" s="3"/>
      <c r="I914" s="3"/>
      <c r="AS914" s="4"/>
      <c r="AT914" s="4"/>
    </row>
    <row r="915" spans="1:46" ht="16.5" customHeight="1">
      <c r="A915" s="4"/>
      <c r="C915" s="4"/>
      <c r="E915" s="4"/>
      <c r="G915" s="3"/>
      <c r="H915" s="3"/>
      <c r="I915" s="3"/>
      <c r="AS915" s="4"/>
      <c r="AT915" s="4"/>
    </row>
    <row r="916" spans="1:46" ht="16.5" customHeight="1">
      <c r="A916" s="4"/>
      <c r="C916" s="4"/>
      <c r="E916" s="4"/>
      <c r="G916" s="3"/>
      <c r="H916" s="3"/>
      <c r="I916" s="3"/>
      <c r="AS916" s="4"/>
      <c r="AT916" s="4"/>
    </row>
    <row r="917" spans="1:46" ht="16.5" customHeight="1">
      <c r="A917" s="4"/>
      <c r="C917" s="4"/>
      <c r="E917" s="4"/>
      <c r="G917" s="3"/>
      <c r="H917" s="3"/>
      <c r="I917" s="3"/>
      <c r="AS917" s="4"/>
      <c r="AT917" s="4"/>
    </row>
    <row r="918" spans="1:46" ht="16.5" customHeight="1">
      <c r="A918" s="4"/>
      <c r="C918" s="4"/>
      <c r="E918" s="4"/>
      <c r="G918" s="3"/>
      <c r="H918" s="3"/>
      <c r="I918" s="3"/>
      <c r="AS918" s="4"/>
      <c r="AT918" s="4"/>
    </row>
    <row r="919" spans="1:46" ht="16.5" customHeight="1">
      <c r="A919" s="4"/>
      <c r="C919" s="4"/>
      <c r="E919" s="4"/>
      <c r="G919" s="3"/>
      <c r="H919" s="3"/>
      <c r="I919" s="3"/>
      <c r="AS919" s="4"/>
      <c r="AT919" s="4"/>
    </row>
    <row r="920" spans="1:46" ht="16.5" customHeight="1">
      <c r="A920" s="4"/>
      <c r="C920" s="4"/>
      <c r="E920" s="4"/>
      <c r="G920" s="3"/>
      <c r="H920" s="3"/>
      <c r="I920" s="3"/>
      <c r="AS920" s="4"/>
      <c r="AT920" s="4"/>
    </row>
    <row r="921" spans="1:46" ht="16.5" customHeight="1">
      <c r="A921" s="4"/>
      <c r="C921" s="4"/>
      <c r="E921" s="4"/>
      <c r="G921" s="3"/>
      <c r="H921" s="3"/>
      <c r="I921" s="3"/>
      <c r="AS921" s="4"/>
      <c r="AT921" s="4"/>
    </row>
    <row r="922" spans="1:46" ht="16.5" customHeight="1">
      <c r="A922" s="4"/>
      <c r="C922" s="4"/>
      <c r="E922" s="4"/>
      <c r="G922" s="3"/>
      <c r="H922" s="3"/>
      <c r="I922" s="3"/>
      <c r="AS922" s="4"/>
      <c r="AT922" s="4"/>
    </row>
    <row r="923" spans="1:46" ht="16.5" customHeight="1">
      <c r="A923" s="4"/>
      <c r="C923" s="4"/>
      <c r="E923" s="4"/>
      <c r="G923" s="3"/>
      <c r="H923" s="3"/>
      <c r="I923" s="3"/>
      <c r="AS923" s="4"/>
      <c r="AT923" s="4"/>
    </row>
    <row r="924" spans="1:46" ht="16.5" customHeight="1">
      <c r="A924" s="4"/>
      <c r="C924" s="4"/>
      <c r="E924" s="4"/>
      <c r="G924" s="3"/>
      <c r="H924" s="3"/>
      <c r="I924" s="3"/>
      <c r="AS924" s="4"/>
      <c r="AT924" s="4"/>
    </row>
    <row r="925" spans="1:46" ht="16.5" customHeight="1">
      <c r="A925" s="4"/>
      <c r="C925" s="4"/>
      <c r="E925" s="4"/>
      <c r="G925" s="3"/>
      <c r="H925" s="3"/>
      <c r="I925" s="3"/>
      <c r="AS925" s="4"/>
      <c r="AT925" s="4"/>
    </row>
    <row r="926" spans="1:46" ht="16.5" customHeight="1">
      <c r="A926" s="4"/>
      <c r="C926" s="4"/>
      <c r="E926" s="4"/>
      <c r="G926" s="3"/>
      <c r="H926" s="3"/>
      <c r="I926" s="3"/>
      <c r="AS926" s="4"/>
      <c r="AT926" s="4"/>
    </row>
    <row r="927" spans="1:46" ht="16.5" customHeight="1">
      <c r="A927" s="4"/>
      <c r="C927" s="4"/>
      <c r="E927" s="4"/>
      <c r="G927" s="3"/>
      <c r="H927" s="3"/>
      <c r="I927" s="3"/>
      <c r="AS927" s="4"/>
      <c r="AT927" s="4"/>
    </row>
    <row r="928" spans="1:46" ht="16.5" customHeight="1">
      <c r="A928" s="4"/>
      <c r="C928" s="4"/>
      <c r="E928" s="4"/>
      <c r="G928" s="3"/>
      <c r="H928" s="3"/>
      <c r="I928" s="3"/>
      <c r="AS928" s="4"/>
      <c r="AT928" s="4"/>
    </row>
    <row r="929" spans="1:46" ht="16.5" customHeight="1">
      <c r="A929" s="4"/>
      <c r="C929" s="4"/>
      <c r="E929" s="4"/>
      <c r="G929" s="3"/>
      <c r="H929" s="3"/>
      <c r="I929" s="3"/>
      <c r="AS929" s="4"/>
      <c r="AT929" s="4"/>
    </row>
    <row r="930" spans="1:46" ht="16.5" customHeight="1">
      <c r="A930" s="4"/>
      <c r="C930" s="4"/>
      <c r="E930" s="4"/>
      <c r="G930" s="3"/>
      <c r="H930" s="3"/>
      <c r="I930" s="3"/>
      <c r="AS930" s="4"/>
      <c r="AT930" s="4"/>
    </row>
    <row r="931" spans="1:46" ht="16.5" customHeight="1">
      <c r="A931" s="4"/>
      <c r="C931" s="4"/>
      <c r="E931" s="4"/>
      <c r="G931" s="3"/>
      <c r="H931" s="3"/>
      <c r="I931" s="3"/>
      <c r="AS931" s="4"/>
      <c r="AT931" s="4"/>
    </row>
    <row r="932" spans="1:46" ht="16.5" customHeight="1">
      <c r="A932" s="4"/>
      <c r="C932" s="4"/>
      <c r="E932" s="4"/>
      <c r="G932" s="3"/>
      <c r="H932" s="3"/>
      <c r="I932" s="3"/>
      <c r="AS932" s="4"/>
      <c r="AT932" s="4"/>
    </row>
    <row r="933" spans="1:46" ht="16.5" customHeight="1">
      <c r="A933" s="4"/>
      <c r="C933" s="4"/>
      <c r="E933" s="4"/>
      <c r="G933" s="3"/>
      <c r="H933" s="3"/>
      <c r="I933" s="3"/>
      <c r="AS933" s="4"/>
      <c r="AT933" s="4"/>
    </row>
    <row r="934" spans="1:46" ht="16.5" customHeight="1">
      <c r="A934" s="4"/>
      <c r="C934" s="4"/>
      <c r="E934" s="4"/>
      <c r="G934" s="3"/>
      <c r="H934" s="3"/>
      <c r="I934" s="3"/>
      <c r="AS934" s="4"/>
      <c r="AT934" s="4"/>
    </row>
    <row r="935" spans="1:46" ht="16.5" customHeight="1">
      <c r="A935" s="4"/>
      <c r="C935" s="4"/>
      <c r="E935" s="4"/>
      <c r="G935" s="3"/>
      <c r="H935" s="3"/>
      <c r="I935" s="3"/>
      <c r="AS935" s="4"/>
      <c r="AT935" s="4"/>
    </row>
    <row r="936" spans="1:46" ht="16.5" customHeight="1">
      <c r="A936" s="4"/>
      <c r="C936" s="4"/>
      <c r="E936" s="4"/>
      <c r="G936" s="3"/>
      <c r="H936" s="3"/>
      <c r="I936" s="3"/>
      <c r="AS936" s="4"/>
      <c r="AT936" s="4"/>
    </row>
    <row r="937" spans="1:46" ht="16.5" customHeight="1">
      <c r="A937" s="4"/>
      <c r="C937" s="4"/>
      <c r="E937" s="4"/>
      <c r="G937" s="3"/>
      <c r="H937" s="3"/>
      <c r="I937" s="3"/>
      <c r="AS937" s="4"/>
      <c r="AT937" s="4"/>
    </row>
    <row r="938" spans="1:46" ht="16.5" customHeight="1">
      <c r="A938" s="4"/>
      <c r="C938" s="4"/>
      <c r="E938" s="4"/>
      <c r="G938" s="3"/>
      <c r="H938" s="3"/>
      <c r="I938" s="3"/>
      <c r="AS938" s="4"/>
      <c r="AT938" s="4"/>
    </row>
    <row r="939" spans="1:46" ht="16.5" customHeight="1">
      <c r="A939" s="4"/>
      <c r="C939" s="4"/>
      <c r="E939" s="4"/>
      <c r="G939" s="3"/>
      <c r="H939" s="3"/>
      <c r="I939" s="3"/>
      <c r="AS939" s="4"/>
      <c r="AT939" s="4"/>
    </row>
    <row r="940" spans="1:46" ht="16.5" customHeight="1">
      <c r="A940" s="4"/>
      <c r="C940" s="4"/>
      <c r="E940" s="4"/>
      <c r="G940" s="3"/>
      <c r="H940" s="3"/>
      <c r="I940" s="3"/>
      <c r="AS940" s="4"/>
      <c r="AT940" s="4"/>
    </row>
    <row r="941" spans="1:46" ht="16.5" customHeight="1">
      <c r="A941" s="4"/>
      <c r="C941" s="4"/>
      <c r="E941" s="4"/>
      <c r="G941" s="3"/>
      <c r="H941" s="3"/>
      <c r="I941" s="3"/>
      <c r="AS941" s="4"/>
      <c r="AT941" s="4"/>
    </row>
    <row r="942" spans="1:46" ht="16.5" customHeight="1">
      <c r="A942" s="4"/>
      <c r="C942" s="4"/>
      <c r="E942" s="4"/>
      <c r="G942" s="3"/>
      <c r="H942" s="3"/>
      <c r="I942" s="3"/>
      <c r="AS942" s="4"/>
      <c r="AT942" s="4"/>
    </row>
    <row r="943" spans="1:46" ht="16.5" customHeight="1">
      <c r="A943" s="4"/>
      <c r="C943" s="4"/>
      <c r="E943" s="4"/>
      <c r="G943" s="3"/>
      <c r="H943" s="3"/>
      <c r="I943" s="3"/>
      <c r="AS943" s="4"/>
      <c r="AT943" s="4"/>
    </row>
    <row r="944" spans="1:46" ht="16.5" customHeight="1">
      <c r="A944" s="4"/>
      <c r="C944" s="4"/>
      <c r="E944" s="4"/>
      <c r="G944" s="3"/>
      <c r="H944" s="3"/>
      <c r="I944" s="3"/>
      <c r="AS944" s="4"/>
      <c r="AT944" s="4"/>
    </row>
    <row r="945" spans="1:46" ht="16.5" customHeight="1">
      <c r="A945" s="4"/>
      <c r="C945" s="4"/>
      <c r="E945" s="4"/>
      <c r="G945" s="3"/>
      <c r="H945" s="3"/>
      <c r="I945" s="3"/>
      <c r="AS945" s="4"/>
      <c r="AT945" s="4"/>
    </row>
    <row r="946" spans="1:46" ht="16.5" customHeight="1">
      <c r="A946" s="4"/>
      <c r="C946" s="4"/>
      <c r="E946" s="4"/>
      <c r="G946" s="3"/>
      <c r="H946" s="3"/>
      <c r="I946" s="3"/>
      <c r="AS946" s="4"/>
      <c r="AT946" s="4"/>
    </row>
    <row r="947" spans="1:46" ht="16.5" customHeight="1">
      <c r="A947" s="4"/>
      <c r="C947" s="4"/>
      <c r="E947" s="4"/>
      <c r="G947" s="3"/>
      <c r="H947" s="3"/>
      <c r="I947" s="3"/>
      <c r="AS947" s="4"/>
      <c r="AT947" s="4"/>
    </row>
    <row r="948" spans="1:46" ht="16.5" customHeight="1">
      <c r="A948" s="4"/>
      <c r="C948" s="4"/>
      <c r="E948" s="4"/>
      <c r="G948" s="3"/>
      <c r="H948" s="3"/>
      <c r="I948" s="3"/>
      <c r="AS948" s="4"/>
      <c r="AT948" s="4"/>
    </row>
    <row r="949" spans="1:46" ht="16.5" customHeight="1">
      <c r="A949" s="4"/>
      <c r="C949" s="4"/>
      <c r="E949" s="4"/>
      <c r="G949" s="3"/>
      <c r="H949" s="3"/>
      <c r="I949" s="3"/>
      <c r="AS949" s="4"/>
      <c r="AT949" s="4"/>
    </row>
    <row r="950" spans="1:46" ht="16.5" customHeight="1">
      <c r="A950" s="4"/>
      <c r="C950" s="4"/>
      <c r="E950" s="4"/>
      <c r="G950" s="3"/>
      <c r="H950" s="3"/>
      <c r="I950" s="3"/>
      <c r="AS950" s="4"/>
      <c r="AT950" s="4"/>
    </row>
    <row r="951" spans="1:46" ht="16.5" customHeight="1">
      <c r="A951" s="4"/>
      <c r="C951" s="4"/>
      <c r="E951" s="4"/>
      <c r="G951" s="3"/>
      <c r="H951" s="3"/>
      <c r="I951" s="3"/>
      <c r="AS951" s="4"/>
      <c r="AT951" s="4"/>
    </row>
    <row r="952" spans="1:46" ht="16.5" customHeight="1">
      <c r="A952" s="4"/>
      <c r="C952" s="4"/>
      <c r="E952" s="4"/>
      <c r="G952" s="3"/>
      <c r="H952" s="3"/>
      <c r="I952" s="3"/>
      <c r="AS952" s="4"/>
      <c r="AT952" s="4"/>
    </row>
    <row r="953" spans="1:46" ht="16.5" customHeight="1">
      <c r="A953" s="4"/>
      <c r="C953" s="4"/>
      <c r="E953" s="4"/>
      <c r="G953" s="3"/>
      <c r="H953" s="3"/>
      <c r="I953" s="3"/>
      <c r="AS953" s="4"/>
      <c r="AT953" s="4"/>
    </row>
    <row r="954" spans="1:46" ht="16.5" customHeight="1">
      <c r="A954" s="4"/>
      <c r="C954" s="4"/>
      <c r="E954" s="4"/>
      <c r="G954" s="3"/>
      <c r="H954" s="3"/>
      <c r="I954" s="3"/>
      <c r="AS954" s="4"/>
      <c r="AT954" s="4"/>
    </row>
    <row r="955" spans="1:46" ht="16.5" customHeight="1">
      <c r="A955" s="4"/>
      <c r="C955" s="4"/>
      <c r="E955" s="4"/>
      <c r="G955" s="3"/>
      <c r="H955" s="3"/>
      <c r="I955" s="3"/>
      <c r="AS955" s="4"/>
      <c r="AT955" s="4"/>
    </row>
    <row r="956" spans="1:46" ht="16.5" customHeight="1">
      <c r="A956" s="4"/>
      <c r="C956" s="4"/>
      <c r="E956" s="4"/>
      <c r="G956" s="3"/>
      <c r="H956" s="3"/>
      <c r="I956" s="3"/>
      <c r="AS956" s="4"/>
      <c r="AT956" s="4"/>
    </row>
    <row r="957" spans="1:46" ht="16.5" customHeight="1">
      <c r="A957" s="4"/>
      <c r="C957" s="4"/>
      <c r="E957" s="4"/>
      <c r="G957" s="3"/>
      <c r="H957" s="3"/>
      <c r="I957" s="3"/>
      <c r="AS957" s="4"/>
      <c r="AT957" s="4"/>
    </row>
    <row r="958" spans="1:46" ht="16.5" customHeight="1">
      <c r="A958" s="4"/>
      <c r="C958" s="4"/>
      <c r="E958" s="4"/>
      <c r="G958" s="3"/>
      <c r="H958" s="3"/>
      <c r="I958" s="3"/>
      <c r="AS958" s="4"/>
      <c r="AT958" s="4"/>
    </row>
    <row r="959" spans="1:46" ht="16.5" customHeight="1">
      <c r="A959" s="4"/>
      <c r="C959" s="4"/>
      <c r="E959" s="4"/>
      <c r="G959" s="3"/>
      <c r="H959" s="3"/>
      <c r="I959" s="3"/>
      <c r="AS959" s="4"/>
      <c r="AT959" s="4"/>
    </row>
    <row r="960" spans="1:46" ht="16.5" customHeight="1">
      <c r="A960" s="4"/>
      <c r="C960" s="4"/>
      <c r="E960" s="4"/>
      <c r="G960" s="3"/>
      <c r="H960" s="3"/>
      <c r="I960" s="3"/>
      <c r="AS960" s="4"/>
      <c r="AT960" s="4"/>
    </row>
    <row r="961" spans="1:46" ht="16.5" customHeight="1">
      <c r="A961" s="4"/>
      <c r="C961" s="4"/>
      <c r="E961" s="4"/>
      <c r="G961" s="3"/>
      <c r="H961" s="3"/>
      <c r="I961" s="3"/>
      <c r="AS961" s="4"/>
      <c r="AT961" s="4"/>
    </row>
    <row r="962" spans="1:46" ht="16.5" customHeight="1">
      <c r="A962" s="4"/>
      <c r="C962" s="4"/>
      <c r="E962" s="4"/>
      <c r="G962" s="3"/>
      <c r="H962" s="3"/>
      <c r="I962" s="3"/>
      <c r="AS962" s="4"/>
      <c r="AT962" s="4"/>
    </row>
    <row r="963" spans="1:46" ht="16.5" customHeight="1">
      <c r="A963" s="4"/>
      <c r="C963" s="4"/>
      <c r="E963" s="4"/>
      <c r="G963" s="3"/>
      <c r="H963" s="3"/>
      <c r="I963" s="3"/>
      <c r="AS963" s="4"/>
      <c r="AT963" s="4"/>
    </row>
    <row r="964" spans="1:46" ht="16.5" customHeight="1">
      <c r="A964" s="4"/>
      <c r="C964" s="4"/>
      <c r="E964" s="4"/>
      <c r="G964" s="3"/>
      <c r="H964" s="3"/>
      <c r="I964" s="3"/>
      <c r="AS964" s="4"/>
      <c r="AT964" s="4"/>
    </row>
    <row r="965" spans="1:46" ht="16.5" customHeight="1">
      <c r="A965" s="4"/>
      <c r="C965" s="4"/>
      <c r="E965" s="4"/>
      <c r="G965" s="3"/>
      <c r="H965" s="3"/>
      <c r="I965" s="3"/>
      <c r="AS965" s="4"/>
      <c r="AT965" s="4"/>
    </row>
    <row r="966" spans="1:46" ht="16.5" customHeight="1">
      <c r="A966" s="4"/>
      <c r="C966" s="4"/>
      <c r="E966" s="4"/>
      <c r="G966" s="3"/>
      <c r="H966" s="3"/>
      <c r="I966" s="3"/>
      <c r="AS966" s="4"/>
      <c r="AT966" s="4"/>
    </row>
    <row r="967" spans="1:46" ht="16.5" customHeight="1">
      <c r="A967" s="4"/>
      <c r="C967" s="4"/>
      <c r="E967" s="4"/>
      <c r="G967" s="3"/>
      <c r="H967" s="3"/>
      <c r="I967" s="3"/>
      <c r="AS967" s="4"/>
      <c r="AT967" s="4"/>
    </row>
    <row r="968" spans="1:46" ht="16.5" customHeight="1">
      <c r="A968" s="4"/>
      <c r="C968" s="4"/>
      <c r="E968" s="4"/>
      <c r="G968" s="3"/>
      <c r="H968" s="3"/>
      <c r="I968" s="3"/>
      <c r="AS968" s="4"/>
      <c r="AT968" s="4"/>
    </row>
    <row r="969" spans="1:46" ht="16.5" customHeight="1">
      <c r="A969" s="4"/>
      <c r="C969" s="4"/>
      <c r="E969" s="4"/>
      <c r="G969" s="3"/>
      <c r="H969" s="3"/>
      <c r="I969" s="3"/>
      <c r="AS969" s="4"/>
      <c r="AT969" s="4"/>
    </row>
    <row r="970" spans="1:46" ht="16.5" customHeight="1">
      <c r="A970" s="4"/>
      <c r="C970" s="4"/>
      <c r="E970" s="4"/>
      <c r="G970" s="3"/>
      <c r="H970" s="3"/>
      <c r="I970" s="3"/>
      <c r="AS970" s="4"/>
      <c r="AT970" s="4"/>
    </row>
    <row r="971" spans="1:46" ht="16.5" customHeight="1">
      <c r="A971" s="4"/>
      <c r="C971" s="4"/>
      <c r="E971" s="4"/>
      <c r="G971" s="3"/>
      <c r="H971" s="3"/>
      <c r="I971" s="3"/>
      <c r="AS971" s="4"/>
      <c r="AT971" s="4"/>
    </row>
    <row r="972" spans="1:46" ht="16.5" customHeight="1">
      <c r="A972" s="4"/>
      <c r="C972" s="4"/>
      <c r="E972" s="4"/>
      <c r="G972" s="3"/>
      <c r="H972" s="3"/>
      <c r="I972" s="3"/>
      <c r="AS972" s="4"/>
      <c r="AT972" s="4"/>
    </row>
    <row r="973" spans="1:46" ht="16.5" customHeight="1">
      <c r="A973" s="4"/>
      <c r="C973" s="4"/>
      <c r="E973" s="4"/>
      <c r="G973" s="3"/>
      <c r="H973" s="3"/>
      <c r="I973" s="3"/>
      <c r="AS973" s="4"/>
      <c r="AT973" s="4"/>
    </row>
    <row r="974" spans="1:46" ht="16.5" customHeight="1">
      <c r="A974" s="4"/>
      <c r="C974" s="4"/>
      <c r="E974" s="4"/>
      <c r="G974" s="3"/>
      <c r="H974" s="3"/>
      <c r="I974" s="3"/>
      <c r="AS974" s="4"/>
      <c r="AT974" s="4"/>
    </row>
    <row r="975" spans="1:46" ht="16.5" customHeight="1">
      <c r="A975" s="4"/>
      <c r="C975" s="4"/>
      <c r="E975" s="4"/>
      <c r="G975" s="3"/>
      <c r="H975" s="3"/>
      <c r="I975" s="3"/>
      <c r="AS975" s="4"/>
      <c r="AT975" s="4"/>
    </row>
    <row r="976" spans="1:46" ht="16.5" customHeight="1">
      <c r="A976" s="4"/>
      <c r="C976" s="4"/>
      <c r="E976" s="4"/>
      <c r="G976" s="3"/>
      <c r="H976" s="3"/>
      <c r="I976" s="3"/>
      <c r="AS976" s="4"/>
      <c r="AT976" s="4"/>
    </row>
    <row r="977" spans="1:46" ht="16.5" customHeight="1">
      <c r="A977" s="4"/>
      <c r="C977" s="4"/>
      <c r="E977" s="4"/>
      <c r="G977" s="3"/>
      <c r="H977" s="3"/>
      <c r="I977" s="3"/>
      <c r="AS977" s="4"/>
      <c r="AT977" s="4"/>
    </row>
    <row r="978" spans="1:46" ht="16.5" customHeight="1">
      <c r="A978" s="4"/>
      <c r="C978" s="4"/>
      <c r="E978" s="4"/>
      <c r="G978" s="3"/>
      <c r="H978" s="3"/>
      <c r="I978" s="3"/>
      <c r="AS978" s="4"/>
      <c r="AT978" s="4"/>
    </row>
    <row r="979" spans="1:46" ht="16.5" customHeight="1">
      <c r="A979" s="4"/>
      <c r="C979" s="4"/>
      <c r="E979" s="4"/>
      <c r="G979" s="3"/>
      <c r="H979" s="3"/>
      <c r="I979" s="3"/>
      <c r="AS979" s="4"/>
      <c r="AT979" s="4"/>
    </row>
    <row r="980" spans="1:46" ht="16.5" customHeight="1">
      <c r="A980" s="4"/>
      <c r="C980" s="4"/>
      <c r="E980" s="4"/>
      <c r="G980" s="3"/>
      <c r="H980" s="3"/>
      <c r="I980" s="3"/>
      <c r="AS980" s="4"/>
      <c r="AT980" s="4"/>
    </row>
    <row r="981" spans="1:46" ht="16.5" customHeight="1">
      <c r="A981" s="4"/>
      <c r="C981" s="4"/>
      <c r="E981" s="4"/>
      <c r="G981" s="3"/>
      <c r="H981" s="3"/>
      <c r="I981" s="3"/>
      <c r="AS981" s="4"/>
      <c r="AT981" s="4"/>
    </row>
    <row r="982" spans="1:46" ht="16.5" customHeight="1">
      <c r="A982" s="4"/>
      <c r="C982" s="4"/>
      <c r="E982" s="4"/>
      <c r="G982" s="3"/>
      <c r="H982" s="3"/>
      <c r="I982" s="3"/>
      <c r="AS982" s="4"/>
      <c r="AT982" s="4"/>
    </row>
    <row r="983" spans="1:46" ht="16.5" customHeight="1">
      <c r="A983" s="4"/>
      <c r="C983" s="4"/>
      <c r="E983" s="4"/>
      <c r="G983" s="3"/>
      <c r="H983" s="3"/>
      <c r="I983" s="3"/>
      <c r="AS983" s="4"/>
      <c r="AT983" s="4"/>
    </row>
    <row r="984" spans="1:46" ht="16.5" customHeight="1">
      <c r="A984" s="4"/>
      <c r="C984" s="4"/>
      <c r="E984" s="4"/>
      <c r="G984" s="3"/>
      <c r="H984" s="3"/>
      <c r="I984" s="3"/>
      <c r="AS984" s="4"/>
      <c r="AT984" s="4"/>
    </row>
    <row r="985" spans="1:46" ht="16.5" customHeight="1">
      <c r="A985" s="4"/>
      <c r="C985" s="4"/>
      <c r="E985" s="4"/>
      <c r="G985" s="3"/>
      <c r="H985" s="3"/>
      <c r="I985" s="3"/>
      <c r="AS985" s="4"/>
      <c r="AT985" s="4"/>
    </row>
    <row r="986" spans="1:46" ht="16.5" customHeight="1">
      <c r="A986" s="4"/>
      <c r="C986" s="4"/>
      <c r="E986" s="4"/>
      <c r="G986" s="3"/>
      <c r="H986" s="3"/>
      <c r="I986" s="3"/>
      <c r="AS986" s="4"/>
      <c r="AT986" s="4"/>
    </row>
    <row r="987" spans="1:46" ht="16.5" customHeight="1">
      <c r="A987" s="4"/>
      <c r="C987" s="4"/>
      <c r="E987" s="4"/>
      <c r="G987" s="3"/>
      <c r="H987" s="3"/>
      <c r="I987" s="3"/>
      <c r="AS987" s="4"/>
      <c r="AT987" s="4"/>
    </row>
    <row r="988" spans="1:46" ht="16.5" customHeight="1">
      <c r="A988" s="4"/>
      <c r="C988" s="4"/>
      <c r="E988" s="4"/>
      <c r="G988" s="3"/>
      <c r="H988" s="3"/>
      <c r="I988" s="3"/>
      <c r="AS988" s="4"/>
      <c r="AT988" s="4"/>
    </row>
    <row r="989" spans="1:46" ht="16.5" customHeight="1">
      <c r="A989" s="4"/>
      <c r="C989" s="4"/>
      <c r="E989" s="4"/>
      <c r="G989" s="3"/>
      <c r="H989" s="3"/>
      <c r="I989" s="3"/>
      <c r="AS989" s="4"/>
      <c r="AT989" s="4"/>
    </row>
    <row r="990" spans="1:46" ht="16.5" customHeight="1">
      <c r="A990" s="4"/>
      <c r="C990" s="4"/>
      <c r="E990" s="4"/>
      <c r="G990" s="3"/>
      <c r="H990" s="3"/>
      <c r="I990" s="3"/>
      <c r="AS990" s="4"/>
      <c r="AT990" s="4"/>
    </row>
    <row r="991" spans="1:46" ht="16.5" customHeight="1">
      <c r="A991" s="4"/>
      <c r="C991" s="4"/>
      <c r="E991" s="4"/>
      <c r="G991" s="3"/>
      <c r="H991" s="3"/>
      <c r="I991" s="3"/>
      <c r="AS991" s="4"/>
      <c r="AT991" s="4"/>
    </row>
    <row r="992" spans="1:46" ht="16.5" customHeight="1">
      <c r="A992" s="4"/>
      <c r="C992" s="4"/>
      <c r="E992" s="4"/>
      <c r="G992" s="3"/>
      <c r="H992" s="3"/>
      <c r="I992" s="3"/>
      <c r="AS992" s="4"/>
      <c r="AT992" s="4"/>
    </row>
    <row r="993" spans="1:46" ht="16.5" customHeight="1">
      <c r="A993" s="4"/>
      <c r="C993" s="4"/>
      <c r="E993" s="4"/>
      <c r="G993" s="3"/>
      <c r="H993" s="3"/>
      <c r="I993" s="3"/>
      <c r="AS993" s="4"/>
      <c r="AT993" s="4"/>
    </row>
    <row r="994" spans="1:46" ht="16.5" customHeight="1">
      <c r="A994" s="4"/>
      <c r="C994" s="4"/>
      <c r="E994" s="4"/>
      <c r="G994" s="3"/>
      <c r="H994" s="3"/>
      <c r="I994" s="3"/>
      <c r="AS994" s="4"/>
      <c r="AT994" s="4"/>
    </row>
    <row r="995" spans="1:46" ht="16.5" customHeight="1">
      <c r="A995" s="4"/>
      <c r="C995" s="4"/>
      <c r="E995" s="4"/>
      <c r="G995" s="3"/>
      <c r="H995" s="3"/>
      <c r="I995" s="3"/>
      <c r="AS995" s="4"/>
      <c r="AT995" s="4"/>
    </row>
    <row r="996" spans="1:46" ht="16.5" customHeight="1">
      <c r="A996" s="4"/>
      <c r="C996" s="4"/>
      <c r="E996" s="4"/>
      <c r="G996" s="3"/>
      <c r="H996" s="3"/>
      <c r="I996" s="3"/>
      <c r="AS996" s="4"/>
      <c r="AT996" s="4"/>
    </row>
    <row r="997" spans="1:46" ht="16.5" customHeight="1">
      <c r="A997" s="4"/>
      <c r="C997" s="4"/>
      <c r="E997" s="4"/>
      <c r="G997" s="3"/>
      <c r="H997" s="3"/>
      <c r="I997" s="3"/>
      <c r="AS997" s="4"/>
      <c r="AT997" s="4"/>
    </row>
    <row r="998" spans="1:46" ht="16.5" customHeight="1">
      <c r="A998" s="4"/>
      <c r="C998" s="4"/>
      <c r="E998" s="4"/>
      <c r="G998" s="3"/>
      <c r="H998" s="3"/>
      <c r="I998" s="3"/>
      <c r="AS998" s="4"/>
      <c r="AT998" s="4"/>
    </row>
    <row r="999" spans="1:46" ht="16.5" customHeight="1">
      <c r="A999" s="4"/>
      <c r="C999" s="4"/>
      <c r="E999" s="4"/>
      <c r="G999" s="3"/>
      <c r="H999" s="3"/>
      <c r="I999" s="3"/>
      <c r="AS999" s="4"/>
      <c r="AT999" s="4"/>
    </row>
    <row r="1000" spans="1:46" ht="16.5" customHeight="1">
      <c r="A1000" s="4"/>
      <c r="C1000" s="4"/>
      <c r="E1000" s="4"/>
      <c r="G1000" s="3"/>
      <c r="H1000" s="3"/>
      <c r="I1000" s="3"/>
      <c r="AS1000" s="4"/>
      <c r="AT1000" s="4"/>
    </row>
  </sheetData>
  <mergeCells count="18">
    <mergeCell ref="AZ1:BB1"/>
    <mergeCell ref="A1:E1"/>
    <mergeCell ref="G1:I1"/>
    <mergeCell ref="L1:P1"/>
    <mergeCell ref="R1:T1"/>
    <mergeCell ref="V1:Y1"/>
    <mergeCell ref="AC1:AD1"/>
    <mergeCell ref="AE1:AF1"/>
    <mergeCell ref="L21:N21"/>
    <mergeCell ref="A25:C25"/>
    <mergeCell ref="AG1:AH1"/>
    <mergeCell ref="AI1:AJ1"/>
    <mergeCell ref="AV1:AX1"/>
    <mergeCell ref="R7:T7"/>
    <mergeCell ref="L11:P11"/>
    <mergeCell ref="A8:C8"/>
    <mergeCell ref="A14:C14"/>
    <mergeCell ref="A20:C20"/>
  </mergeCells>
  <phoneticPr fontId="1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요약</vt:lpstr>
      <vt:lpstr>기초</vt:lpstr>
      <vt:lpstr>공동보유</vt:lpstr>
      <vt:lpstr>단독보유(부부특례)</vt:lpstr>
      <vt:lpstr>취득</vt:lpstr>
      <vt:lpstr>증여</vt:lpstr>
      <vt:lpstr>양도</vt:lpstr>
      <vt:lpstr>부담부증여</vt:lpstr>
      <vt:lpstr>저가양수도</vt:lpstr>
      <vt:lpstr>상속</vt:lpstr>
      <vt:lpstr>t</vt:lpstr>
      <vt:lpstr>주택특징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세무사 장원</cp:lastModifiedBy>
  <cp:lastPrinted>2026-08-17T14:03:44Z</cp:lastPrinted>
  <dcterms:created xsi:type="dcterms:W3CDTF">2026-08-09T12:08:07Z</dcterms:created>
  <dcterms:modified xsi:type="dcterms:W3CDTF">2026-08-17T14:21:33Z</dcterms:modified>
</cp:coreProperties>
</file>